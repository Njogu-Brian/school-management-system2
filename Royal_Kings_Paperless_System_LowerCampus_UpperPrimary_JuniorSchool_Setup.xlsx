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s" sheetId="1" state="visible" r:id="rId1"/>
    <sheet xmlns:r="http://schemas.openxmlformats.org/officeDocument/2006/relationships" name="Teacher Allocation" sheetId="2" state="visible" r:id="rId2"/>
    <sheet xmlns:r="http://schemas.openxmlformats.org/officeDocument/2006/relationships" name="Lower Campus Dashboard" sheetId="3" state="visible" r:id="rId3"/>
    <sheet xmlns:r="http://schemas.openxmlformats.org/officeDocument/2006/relationships" name="Lower Campus Heatmap" sheetId="4" state="visible" r:id="rId4"/>
    <sheet xmlns:r="http://schemas.openxmlformats.org/officeDocument/2006/relationships" name="Students" sheetId="5" state="visible" r:id="rId5"/>
    <sheet xmlns:r="http://schemas.openxmlformats.org/officeDocument/2006/relationships" name="Teachers" sheetId="6" state="visible" r:id="rId6"/>
    <sheet xmlns:r="http://schemas.openxmlformats.org/officeDocument/2006/relationships" name="Class Reports" sheetId="7" state="visible" r:id="rId7"/>
    <sheet xmlns:r="http://schemas.openxmlformats.org/officeDocument/2006/relationships" name="Subject Reports" sheetId="8" state="visible" r:id="rId8"/>
    <sheet xmlns:r="http://schemas.openxmlformats.org/officeDocument/2006/relationships" name="Staff Weekly" sheetId="9" state="visible" r:id="rId9"/>
    <sheet xmlns:r="http://schemas.openxmlformats.org/officeDocument/2006/relationships" name="Student Follow-Up" sheetId="10" state="visible" r:id="rId10"/>
    <sheet xmlns:r="http://schemas.openxmlformats.org/officeDocument/2006/relationships" name="Operations &amp; Facilities" sheetId="11" state="visible" r:id="rId11"/>
    <sheet xmlns:r="http://schemas.openxmlformats.org/officeDocument/2006/relationships" name="Director Dashboard" sheetId="12" state="visible" r:id="rId12"/>
    <sheet xmlns:r="http://schemas.openxmlformats.org/officeDocument/2006/relationships" name="Term Summary" sheetId="13" state="visible" r:id="rId13"/>
    <sheet xmlns:r="http://schemas.openxmlformats.org/officeDocument/2006/relationships" name="Term Performance Report" sheetId="14" state="visible" r:id="rId14"/>
    <sheet xmlns:r="http://schemas.openxmlformats.org/officeDocument/2006/relationships" name="Term Snapshot" sheetId="15" state="visible" r:id="rId15"/>
    <sheet xmlns:r="http://schemas.openxmlformats.org/officeDocument/2006/relationships" name="Teacher Rankings" sheetId="16" state="visible" r:id="rId16"/>
    <sheet xmlns:r="http://schemas.openxmlformats.org/officeDocument/2006/relationships" name="Teacher Term Rankings" sheetId="17" state="visible" r:id="rId17"/>
    <sheet xmlns:r="http://schemas.openxmlformats.org/officeDocument/2006/relationships" name="Teacher Awards" sheetId="18" state="visible" r:id="rId18"/>
    <sheet xmlns:r="http://schemas.openxmlformats.org/officeDocument/2006/relationships" name="Campus &amp; Dept Awards" sheetId="19" state="visible" r:id="rId19"/>
    <sheet xmlns:r="http://schemas.openxmlformats.org/officeDocument/2006/relationships" name="Lists" sheetId="20" state="visible" r:id="rId20"/>
    <sheet xmlns:r="http://schemas.openxmlformats.org/officeDocument/2006/relationships" name="Assessments" sheetId="21" state="visible" r:id="rId21"/>
    <sheet xmlns:r="http://schemas.openxmlformats.org/officeDocument/2006/relationships" name="Student Term Rankings" sheetId="22" state="visible" r:id="rId22"/>
    <sheet xmlns:r="http://schemas.openxmlformats.org/officeDocument/2006/relationships" name="Student Awards" sheetId="23" state="visible" r:id="rId23"/>
    <sheet xmlns:r="http://schemas.openxmlformats.org/officeDocument/2006/relationships" name="Academic Group Dashboard" sheetId="24" state="visible" r:id="rId24"/>
  </sheets>
  <definedNames>
    <definedName name="EarlyYears_Subjects">Lists!$E$2:$E$50</definedName>
    <definedName name="LowerPrimary_Subjects">Lists!$F$2:$F$50</definedName>
    <definedName name="UpperPrimary_Subjects">Lists!$H$2:$H$50</definedName>
    <definedName name="JuniorSchool_Subjects">Lists!$I$2:$I$80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4"/>
    </font>
    <font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4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22" customWidth="1" min="5" max="5"/>
  </cols>
  <sheetData>
    <row r="1">
      <c r="A1" s="5" t="inlineStr">
        <is>
          <t>Campus</t>
        </is>
      </c>
      <c r="B1" s="5" t="inlineStr">
        <is>
          <t>Academic Group</t>
        </is>
      </c>
      <c r="C1" s="5" t="inlineStr">
        <is>
          <t>Level</t>
        </is>
      </c>
      <c r="D1" s="5" t="inlineStr">
        <is>
          <t>Stream</t>
        </is>
      </c>
      <c r="E1" s="5" t="inlineStr">
        <is>
          <t>Class Name</t>
        </is>
      </c>
    </row>
    <row r="2">
      <c r="A2" t="inlineStr">
        <is>
          <t>Upper</t>
        </is>
      </c>
      <c r="B2" t="inlineStr">
        <is>
          <t>Early Years</t>
        </is>
      </c>
      <c r="C2" t="inlineStr">
        <is>
          <t>Foundation</t>
        </is>
      </c>
      <c r="D2" t="inlineStr">
        <is>
          <t>Love</t>
        </is>
      </c>
      <c r="E2" t="inlineStr">
        <is>
          <t>Foundation – Love</t>
        </is>
      </c>
    </row>
    <row r="3">
      <c r="A3" t="inlineStr">
        <is>
          <t>Upper</t>
        </is>
      </c>
      <c r="B3" t="inlineStr">
        <is>
          <t>Early Years</t>
        </is>
      </c>
      <c r="C3" t="inlineStr">
        <is>
          <t>Foundation</t>
        </is>
      </c>
      <c r="D3" t="inlineStr">
        <is>
          <t>Peace</t>
        </is>
      </c>
      <c r="E3" t="inlineStr">
        <is>
          <t>Foundation – Peace</t>
        </is>
      </c>
    </row>
    <row r="4">
      <c r="A4" t="inlineStr">
        <is>
          <t>Upper</t>
        </is>
      </c>
      <c r="B4" t="inlineStr">
        <is>
          <t>Early Years</t>
        </is>
      </c>
      <c r="C4" t="inlineStr">
        <is>
          <t>PP1</t>
        </is>
      </c>
      <c r="D4" t="inlineStr">
        <is>
          <t>Love</t>
        </is>
      </c>
      <c r="E4" t="inlineStr">
        <is>
          <t>PP1 – Love</t>
        </is>
      </c>
    </row>
    <row r="5">
      <c r="A5" t="inlineStr">
        <is>
          <t>Upper</t>
        </is>
      </c>
      <c r="B5" t="inlineStr">
        <is>
          <t>Early Years</t>
        </is>
      </c>
      <c r="C5" t="inlineStr">
        <is>
          <t>PP1</t>
        </is>
      </c>
      <c r="D5" t="inlineStr">
        <is>
          <t>Peace</t>
        </is>
      </c>
      <c r="E5" t="inlineStr">
        <is>
          <t>PP1 – Peace</t>
        </is>
      </c>
    </row>
    <row r="6">
      <c r="A6" t="inlineStr">
        <is>
          <t>Upper</t>
        </is>
      </c>
      <c r="B6" t="inlineStr">
        <is>
          <t>Early Years</t>
        </is>
      </c>
      <c r="C6" t="inlineStr">
        <is>
          <t>PP2</t>
        </is>
      </c>
      <c r="D6" t="inlineStr">
        <is>
          <t>Love</t>
        </is>
      </c>
      <c r="E6" t="inlineStr">
        <is>
          <t>PP2 – Love</t>
        </is>
      </c>
    </row>
    <row r="7">
      <c r="A7" t="inlineStr">
        <is>
          <t>Upper</t>
        </is>
      </c>
      <c r="B7" t="inlineStr">
        <is>
          <t>Early Years</t>
        </is>
      </c>
      <c r="C7" t="inlineStr">
        <is>
          <t>PP2</t>
        </is>
      </c>
      <c r="D7" t="inlineStr">
        <is>
          <t>Peace</t>
        </is>
      </c>
      <c r="E7" t="inlineStr">
        <is>
          <t>PP2 – Peace</t>
        </is>
      </c>
    </row>
    <row r="8">
      <c r="A8" t="inlineStr">
        <is>
          <t>Upper</t>
        </is>
      </c>
      <c r="B8" t="inlineStr">
        <is>
          <t>Lower Primary</t>
        </is>
      </c>
      <c r="C8" t="inlineStr">
        <is>
          <t>Grade 1</t>
        </is>
      </c>
      <c r="D8" t="inlineStr">
        <is>
          <t>Love</t>
        </is>
      </c>
      <c r="E8" t="inlineStr">
        <is>
          <t>Grade 1 – Love</t>
        </is>
      </c>
    </row>
    <row r="9">
      <c r="A9" t="inlineStr">
        <is>
          <t>Upper</t>
        </is>
      </c>
      <c r="B9" t="inlineStr">
        <is>
          <t>Lower Primary</t>
        </is>
      </c>
      <c r="C9" t="inlineStr">
        <is>
          <t>Grade 1</t>
        </is>
      </c>
      <c r="D9" t="inlineStr">
        <is>
          <t>Peace</t>
        </is>
      </c>
      <c r="E9" t="inlineStr">
        <is>
          <t>Grade 1 – Peace</t>
        </is>
      </c>
    </row>
    <row r="10">
      <c r="A10" t="inlineStr">
        <is>
          <t>Upper</t>
        </is>
      </c>
      <c r="B10" t="inlineStr">
        <is>
          <t>Lower Primary</t>
        </is>
      </c>
      <c r="C10" t="inlineStr">
        <is>
          <t>Grade 2</t>
        </is>
      </c>
      <c r="D10" t="inlineStr">
        <is>
          <t>Love</t>
        </is>
      </c>
      <c r="E10" t="inlineStr">
        <is>
          <t>Grade 2 – Love</t>
        </is>
      </c>
    </row>
    <row r="11">
      <c r="A11" t="inlineStr">
        <is>
          <t>Upper</t>
        </is>
      </c>
      <c r="B11" t="inlineStr">
        <is>
          <t>Lower Primary</t>
        </is>
      </c>
      <c r="C11" t="inlineStr">
        <is>
          <t>Grade 2</t>
        </is>
      </c>
      <c r="D11" t="inlineStr">
        <is>
          <t>Peace</t>
        </is>
      </c>
      <c r="E11" t="inlineStr">
        <is>
          <t>Grade 2 – Peace</t>
        </is>
      </c>
    </row>
    <row r="12">
      <c r="A12" t="inlineStr">
        <is>
          <t>Lower</t>
        </is>
      </c>
      <c r="B12" t="inlineStr">
        <is>
          <t>Upper Primary</t>
        </is>
      </c>
      <c r="C12" t="inlineStr">
        <is>
          <t>Grade 4</t>
        </is>
      </c>
      <c r="D12" t="inlineStr">
        <is>
          <t>A</t>
        </is>
      </c>
      <c r="E12" t="inlineStr">
        <is>
          <t>Grade 4 – A</t>
        </is>
      </c>
    </row>
    <row r="13">
      <c r="A13" t="inlineStr">
        <is>
          <t>Lower</t>
        </is>
      </c>
      <c r="B13" t="inlineStr">
        <is>
          <t>Upper Primary</t>
        </is>
      </c>
      <c r="C13" t="inlineStr">
        <is>
          <t>Grade 4</t>
        </is>
      </c>
      <c r="D13" t="inlineStr">
        <is>
          <t>B</t>
        </is>
      </c>
      <c r="E13" t="inlineStr">
        <is>
          <t>Grade 4 – B</t>
        </is>
      </c>
    </row>
    <row r="14">
      <c r="A14" t="inlineStr">
        <is>
          <t>Lower</t>
        </is>
      </c>
      <c r="B14" t="inlineStr">
        <is>
          <t>Upper Primary</t>
        </is>
      </c>
      <c r="C14" t="inlineStr">
        <is>
          <t>Grade 5</t>
        </is>
      </c>
      <c r="D14" t="inlineStr">
        <is>
          <t>A</t>
        </is>
      </c>
      <c r="E14" t="inlineStr">
        <is>
          <t>Grade 5 – A</t>
        </is>
      </c>
    </row>
    <row r="15">
      <c r="A15" t="inlineStr">
        <is>
          <t>Lower</t>
        </is>
      </c>
      <c r="B15" t="inlineStr">
        <is>
          <t>Upper Primary</t>
        </is>
      </c>
      <c r="C15" t="inlineStr">
        <is>
          <t>Grade 5</t>
        </is>
      </c>
      <c r="D15" t="inlineStr">
        <is>
          <t>B</t>
        </is>
      </c>
      <c r="E15" t="inlineStr">
        <is>
          <t>Grade 5 – B</t>
        </is>
      </c>
    </row>
    <row r="16">
      <c r="A16" t="inlineStr">
        <is>
          <t>Lower</t>
        </is>
      </c>
      <c r="B16" t="inlineStr">
        <is>
          <t>Upper Primary</t>
        </is>
      </c>
      <c r="C16" t="inlineStr">
        <is>
          <t>Grade 6</t>
        </is>
      </c>
      <c r="D16" t="inlineStr">
        <is>
          <t>A</t>
        </is>
      </c>
      <c r="E16" t="inlineStr">
        <is>
          <t>Grade 6 – A</t>
        </is>
      </c>
    </row>
    <row r="17">
      <c r="A17" t="inlineStr">
        <is>
          <t>Lower</t>
        </is>
      </c>
      <c r="B17" t="inlineStr">
        <is>
          <t>Upper Primary</t>
        </is>
      </c>
      <c r="C17" t="inlineStr">
        <is>
          <t>Grade 6</t>
        </is>
      </c>
      <c r="D17" t="inlineStr">
        <is>
          <t>B</t>
        </is>
      </c>
      <c r="E17" t="inlineStr">
        <is>
          <t>Grade 6 – B</t>
        </is>
      </c>
    </row>
    <row r="18">
      <c r="A18" t="inlineStr">
        <is>
          <t>Lower</t>
        </is>
      </c>
      <c r="B18" t="inlineStr">
        <is>
          <t>Junior School</t>
        </is>
      </c>
      <c r="C18" t="inlineStr">
        <is>
          <t>Grade 7</t>
        </is>
      </c>
      <c r="D18" t="inlineStr">
        <is>
          <t>A</t>
        </is>
      </c>
      <c r="E18" t="inlineStr">
        <is>
          <t>Grade 7 – A</t>
        </is>
      </c>
    </row>
    <row r="19">
      <c r="A19" t="inlineStr">
        <is>
          <t>Lower</t>
        </is>
      </c>
      <c r="B19" t="inlineStr">
        <is>
          <t>Junior School</t>
        </is>
      </c>
      <c r="C19" t="inlineStr">
        <is>
          <t>Grade 7</t>
        </is>
      </c>
      <c r="D19" t="inlineStr">
        <is>
          <t>B</t>
        </is>
      </c>
      <c r="E19" t="inlineStr">
        <is>
          <t>Grade 7 – B</t>
        </is>
      </c>
    </row>
    <row r="20">
      <c r="A20" t="inlineStr">
        <is>
          <t>Lower</t>
        </is>
      </c>
      <c r="B20" t="inlineStr">
        <is>
          <t>Junior School</t>
        </is>
      </c>
      <c r="C20" t="inlineStr">
        <is>
          <t>Grade 8</t>
        </is>
      </c>
      <c r="D20" t="inlineStr">
        <is>
          <t>A</t>
        </is>
      </c>
      <c r="E20" t="inlineStr">
        <is>
          <t>Grade 8 – A</t>
        </is>
      </c>
    </row>
    <row r="21">
      <c r="A21" t="inlineStr">
        <is>
          <t>Lower</t>
        </is>
      </c>
      <c r="B21" t="inlineStr">
        <is>
          <t>Junior School</t>
        </is>
      </c>
      <c r="C21" t="inlineStr">
        <is>
          <t>Grade 8</t>
        </is>
      </c>
      <c r="D21" t="inlineStr">
        <is>
          <t>B</t>
        </is>
      </c>
      <c r="E21" t="inlineStr">
        <is>
          <t>Grade 8 – B</t>
        </is>
      </c>
    </row>
    <row r="22">
      <c r="A22" t="inlineStr">
        <is>
          <t>Lower</t>
        </is>
      </c>
      <c r="B22" t="inlineStr">
        <is>
          <t>Junior School</t>
        </is>
      </c>
      <c r="C22" t="inlineStr">
        <is>
          <t>Grade 9</t>
        </is>
      </c>
      <c r="D22" t="inlineStr">
        <is>
          <t>A</t>
        </is>
      </c>
      <c r="E22" t="inlineStr">
        <is>
          <t>Grade 9 – A</t>
        </is>
      </c>
    </row>
    <row r="23">
      <c r="A23" t="inlineStr">
        <is>
          <t>Lower</t>
        </is>
      </c>
      <c r="B23" t="inlineStr">
        <is>
          <t>Junior School</t>
        </is>
      </c>
      <c r="C23" t="inlineStr">
        <is>
          <t>Grade 9</t>
        </is>
      </c>
      <c r="D23" t="inlineStr">
        <is>
          <t>B</t>
        </is>
      </c>
      <c r="E23" t="inlineStr">
        <is>
          <t>Grade 9 –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20" customWidth="1" min="4" max="4"/>
    <col width="22" customWidth="1" min="5" max="5"/>
    <col width="14" customWidth="1" min="6" max="6"/>
    <col width="12" customWidth="1" min="7" max="7"/>
    <col width="12" customWidth="1" min="8" max="8"/>
    <col width="28" customWidth="1" min="9" max="9"/>
  </cols>
  <sheetData>
    <row r="1">
      <c r="A1" s="4" t="inlineStr">
        <is>
          <t>SUBJECT TEACHER ALLOCATION (LOWER CAMPUS – UPPER PRIMARY &amp; JUNIOR SCHOOL)</t>
        </is>
      </c>
    </row>
    <row r="2">
      <c r="A2" s="1" t="inlineStr">
        <is>
          <t>Campus</t>
        </is>
      </c>
      <c r="B2" s="1" t="inlineStr">
        <is>
          <t>Section</t>
        </is>
      </c>
      <c r="C2" s="1" t="inlineStr">
        <is>
          <t>Class</t>
        </is>
      </c>
      <c r="D2" s="1" t="inlineStr">
        <is>
          <t>Subject</t>
        </is>
      </c>
      <c r="E2" s="1" t="inlineStr">
        <is>
          <t>Teacher Name</t>
        </is>
      </c>
      <c r="F2" s="1" t="inlineStr">
        <is>
          <t>Role</t>
        </is>
      </c>
      <c r="G2" s="1" t="inlineStr">
        <is>
          <t>Week Start</t>
        </is>
      </c>
      <c r="H2" s="1" t="inlineStr">
        <is>
          <t>Week End</t>
        </is>
      </c>
      <c r="I2" s="1" t="inlineStr">
        <is>
          <t>Notes</t>
        </is>
      </c>
    </row>
    <row r="3">
      <c r="A3" t="inlineStr"/>
      <c r="B3" t="inlineStr"/>
      <c r="C3" t="inlineStr"/>
      <c r="D3" t="inlineStr"/>
      <c r="E3" t="inlineStr"/>
      <c r="F3" t="inlineStr">
        <is>
          <t>Subject Teacher</t>
        </is>
      </c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>
        <is>
          <t>Subject Teacher</t>
        </is>
      </c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>
        <is>
          <t>Subject Teacher</t>
        </is>
      </c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>
        <is>
          <t>Subject Teacher</t>
        </is>
      </c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>
        <is>
          <t>Subject Teacher</t>
        </is>
      </c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>
        <is>
          <t>Subject Teacher</t>
        </is>
      </c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>
        <is>
          <t>Subject Teacher</t>
        </is>
      </c>
      <c r="G9" t="inlineStr"/>
      <c r="H9" t="inlineStr"/>
      <c r="I9" t="inlineStr"/>
    </row>
    <row r="10">
      <c r="A10" t="inlineStr"/>
      <c r="B10" t="inlineStr"/>
      <c r="C10" t="inlineStr"/>
      <c r="D10" t="inlineStr"/>
      <c r="E10" t="inlineStr"/>
      <c r="F10" t="inlineStr">
        <is>
          <t>Subject Teacher</t>
        </is>
      </c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>
        <is>
          <t>Subject Teacher</t>
        </is>
      </c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>
        <is>
          <t>Subject Teacher</t>
        </is>
      </c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>
        <is>
          <t>Subject Teacher</t>
        </is>
      </c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>
        <is>
          <t>Subject Teacher</t>
        </is>
      </c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>
        <is>
          <t>Subject Teacher</t>
        </is>
      </c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>
        <is>
          <t>Subject Teacher</t>
        </is>
      </c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>
        <is>
          <t>Subject Teacher</t>
        </is>
      </c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>
        <is>
          <t>Subject Teacher</t>
        </is>
      </c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>
        <is>
          <t>Subject Teacher</t>
        </is>
      </c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>
        <is>
          <t>Subject Teacher</t>
        </is>
      </c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>
        <is>
          <t>Subject Teacher</t>
        </is>
      </c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>
        <is>
          <t>Subject Teacher</t>
        </is>
      </c>
      <c r="G22" t="inlineStr"/>
      <c r="H22" t="inlineStr"/>
      <c r="I22" t="inlineStr"/>
    </row>
    <row r="23">
      <c r="A23" t="inlineStr"/>
      <c r="B23" t="inlineStr"/>
      <c r="C23" t="inlineStr"/>
      <c r="D23" t="inlineStr"/>
      <c r="E23" t="inlineStr"/>
      <c r="F23" t="inlineStr">
        <is>
          <t>Subject Teacher</t>
        </is>
      </c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>
        <is>
          <t>Subject Teacher</t>
        </is>
      </c>
      <c r="G24" t="inlineStr"/>
      <c r="H24" t="inlineStr"/>
      <c r="I24" t="inlineStr"/>
    </row>
    <row r="25">
      <c r="A25" t="inlineStr"/>
      <c r="B25" t="inlineStr"/>
      <c r="C25" t="inlineStr"/>
      <c r="D25" t="inlineStr"/>
      <c r="E25" t="inlineStr"/>
      <c r="F25" t="inlineStr">
        <is>
          <t>Subject Teacher</t>
        </is>
      </c>
      <c r="G25" t="inlineStr"/>
      <c r="H25" t="inlineStr"/>
      <c r="I25" t="inlineStr"/>
    </row>
    <row r="26">
      <c r="A26" t="inlineStr"/>
      <c r="B26" t="inlineStr"/>
      <c r="C26" t="inlineStr"/>
      <c r="D26" t="inlineStr"/>
      <c r="E26" t="inlineStr"/>
      <c r="F26" t="inlineStr">
        <is>
          <t>Subject Teacher</t>
        </is>
      </c>
      <c r="G26" t="inlineStr"/>
      <c r="H26" t="inlineStr"/>
      <c r="I26" t="inlineStr"/>
    </row>
    <row r="27">
      <c r="A27" t="inlineStr"/>
      <c r="B27" t="inlineStr"/>
      <c r="C27" t="inlineStr"/>
      <c r="D27" t="inlineStr"/>
      <c r="E27" t="inlineStr"/>
      <c r="F27" t="inlineStr">
        <is>
          <t>Subject Teacher</t>
        </is>
      </c>
      <c r="G27" t="inlineStr"/>
      <c r="H27" t="inlineStr"/>
      <c r="I27" t="inlineStr"/>
    </row>
    <row r="28">
      <c r="A28" t="inlineStr"/>
      <c r="B28" t="inlineStr"/>
      <c r="C28" t="inlineStr"/>
      <c r="D28" t="inlineStr"/>
      <c r="E28" t="inlineStr"/>
      <c r="F28" t="inlineStr">
        <is>
          <t>Subject Teacher</t>
        </is>
      </c>
      <c r="G28" t="inlineStr"/>
      <c r="H28" t="inlineStr"/>
      <c r="I28" t="inlineStr"/>
    </row>
    <row r="29">
      <c r="A29" t="inlineStr"/>
      <c r="B29" t="inlineStr"/>
      <c r="C29" t="inlineStr"/>
      <c r="D29" t="inlineStr"/>
      <c r="E29" t="inlineStr"/>
      <c r="F29" t="inlineStr">
        <is>
          <t>Subject Teacher</t>
        </is>
      </c>
      <c r="G29" t="inlineStr"/>
      <c r="H29" t="inlineStr"/>
      <c r="I29" t="inlineStr"/>
    </row>
    <row r="30">
      <c r="A30" t="inlineStr"/>
      <c r="B30" t="inlineStr"/>
      <c r="C30" t="inlineStr"/>
      <c r="D30" t="inlineStr"/>
      <c r="E30" t="inlineStr"/>
      <c r="F30" t="inlineStr">
        <is>
          <t>Subject Teacher</t>
        </is>
      </c>
      <c r="G30" t="inlineStr"/>
      <c r="H30" t="inlineStr"/>
      <c r="I30" t="inlineStr"/>
    </row>
    <row r="31">
      <c r="A31" t="inlineStr"/>
      <c r="B31" t="inlineStr"/>
      <c r="C31" t="inlineStr"/>
      <c r="D31" t="inlineStr"/>
      <c r="E31" t="inlineStr"/>
      <c r="F31" t="inlineStr">
        <is>
          <t>Subject Teacher</t>
        </is>
      </c>
      <c r="G31" t="inlineStr"/>
      <c r="H31" t="inlineStr"/>
      <c r="I31" t="inlineStr"/>
    </row>
    <row r="32">
      <c r="A32" t="inlineStr"/>
      <c r="B32" t="inlineStr"/>
      <c r="C32" t="inlineStr"/>
      <c r="D32" t="inlineStr"/>
      <c r="E32" t="inlineStr"/>
      <c r="F32" t="inlineStr">
        <is>
          <t>Subject Teacher</t>
        </is>
      </c>
      <c r="G32" t="inlineStr"/>
      <c r="H32" t="inlineStr"/>
      <c r="I32" t="inlineStr"/>
    </row>
    <row r="33">
      <c r="A33" t="inlineStr"/>
      <c r="B33" t="inlineStr"/>
      <c r="C33" t="inlineStr"/>
      <c r="D33" t="inlineStr"/>
      <c r="E33" t="inlineStr"/>
      <c r="F33" t="inlineStr">
        <is>
          <t>Subject Teacher</t>
        </is>
      </c>
      <c r="G33" t="inlineStr"/>
      <c r="H33" t="inlineStr"/>
      <c r="I33" t="inlineStr"/>
    </row>
    <row r="34">
      <c r="A34" t="inlineStr"/>
      <c r="B34" t="inlineStr"/>
      <c r="C34" t="inlineStr"/>
      <c r="D34" t="inlineStr"/>
      <c r="E34" t="inlineStr"/>
      <c r="F34" t="inlineStr">
        <is>
          <t>Subject Teacher</t>
        </is>
      </c>
      <c r="G34" t="inlineStr"/>
      <c r="H34" t="inlineStr"/>
      <c r="I34" t="inlineStr"/>
    </row>
    <row r="35">
      <c r="A35" t="inlineStr"/>
      <c r="B35" t="inlineStr"/>
      <c r="C35" t="inlineStr"/>
      <c r="D35" t="inlineStr"/>
      <c r="E35" t="inlineStr"/>
      <c r="F35" t="inlineStr">
        <is>
          <t>Subject Teacher</t>
        </is>
      </c>
      <c r="G35" t="inlineStr"/>
      <c r="H35" t="inlineStr"/>
      <c r="I35" t="inlineStr"/>
    </row>
    <row r="36">
      <c r="A36" t="inlineStr"/>
      <c r="B36" t="inlineStr"/>
      <c r="C36" t="inlineStr"/>
      <c r="D36" t="inlineStr"/>
      <c r="E36" t="inlineStr"/>
      <c r="F36" t="inlineStr">
        <is>
          <t>Subject Teacher</t>
        </is>
      </c>
      <c r="G36" t="inlineStr"/>
      <c r="H36" t="inlineStr"/>
      <c r="I36" t="inlineStr"/>
    </row>
    <row r="37">
      <c r="A37" t="inlineStr"/>
      <c r="B37" t="inlineStr"/>
      <c r="C37" t="inlineStr"/>
      <c r="D37" t="inlineStr"/>
      <c r="E37" t="inlineStr"/>
      <c r="F37" t="inlineStr">
        <is>
          <t>Subject Teacher</t>
        </is>
      </c>
      <c r="G37" t="inlineStr"/>
      <c r="H37" t="inlineStr"/>
      <c r="I37" t="inlineStr"/>
    </row>
    <row r="38">
      <c r="A38" t="inlineStr"/>
      <c r="B38" t="inlineStr"/>
      <c r="C38" t="inlineStr"/>
      <c r="D38" t="inlineStr"/>
      <c r="E38" t="inlineStr"/>
      <c r="F38" t="inlineStr">
        <is>
          <t>Subject Teacher</t>
        </is>
      </c>
      <c r="G38" t="inlineStr"/>
      <c r="H38" t="inlineStr"/>
      <c r="I38" t="inlineStr"/>
    </row>
    <row r="39">
      <c r="A39" t="inlineStr"/>
      <c r="B39" t="inlineStr"/>
      <c r="C39" t="inlineStr"/>
      <c r="D39" t="inlineStr"/>
      <c r="E39" t="inlineStr"/>
      <c r="F39" t="inlineStr">
        <is>
          <t>Subject Teacher</t>
        </is>
      </c>
      <c r="G39" t="inlineStr"/>
      <c r="H39" t="inlineStr"/>
      <c r="I39" t="inlineStr"/>
    </row>
    <row r="40">
      <c r="A40" t="inlineStr"/>
      <c r="B40" t="inlineStr"/>
      <c r="C40" t="inlineStr"/>
      <c r="D40" t="inlineStr"/>
      <c r="E40" t="inlineStr"/>
      <c r="F40" t="inlineStr">
        <is>
          <t>Subject Teacher</t>
        </is>
      </c>
      <c r="G40" t="inlineStr"/>
      <c r="H40" t="inlineStr"/>
      <c r="I40" t="inlineStr"/>
    </row>
    <row r="41">
      <c r="A41" t="inlineStr"/>
      <c r="B41" t="inlineStr"/>
      <c r="C41" t="inlineStr"/>
      <c r="D41" t="inlineStr"/>
      <c r="E41" t="inlineStr"/>
      <c r="F41" t="inlineStr">
        <is>
          <t>Subject Teacher</t>
        </is>
      </c>
      <c r="G41" t="inlineStr"/>
      <c r="H41" t="inlineStr"/>
      <c r="I41" t="inlineStr"/>
    </row>
    <row r="42">
      <c r="A42" t="inlineStr"/>
      <c r="B42" t="inlineStr"/>
      <c r="C42" t="inlineStr"/>
      <c r="D42" t="inlineStr"/>
      <c r="E42" t="inlineStr"/>
      <c r="F42" t="inlineStr">
        <is>
          <t>Subject Teacher</t>
        </is>
      </c>
      <c r="G42" t="inlineStr"/>
      <c r="H42" t="inlineStr"/>
      <c r="I42" t="inlineStr"/>
    </row>
    <row r="43">
      <c r="A43" t="inlineStr"/>
      <c r="B43" t="inlineStr"/>
      <c r="C43" t="inlineStr"/>
      <c r="D43" t="inlineStr"/>
      <c r="E43" t="inlineStr"/>
      <c r="F43" t="inlineStr">
        <is>
          <t>Subject Teacher</t>
        </is>
      </c>
      <c r="G43" t="inlineStr"/>
      <c r="H43" t="inlineStr"/>
      <c r="I43" t="inlineStr"/>
    </row>
    <row r="44">
      <c r="A44" t="inlineStr"/>
      <c r="B44" t="inlineStr"/>
      <c r="C44" t="inlineStr"/>
      <c r="D44" t="inlineStr"/>
      <c r="E44" t="inlineStr"/>
      <c r="F44" t="inlineStr">
        <is>
          <t>Subject Teacher</t>
        </is>
      </c>
      <c r="G44" t="inlineStr"/>
      <c r="H44" t="inlineStr"/>
      <c r="I44" t="inlineStr"/>
    </row>
    <row r="45">
      <c r="A45" t="inlineStr"/>
      <c r="B45" t="inlineStr"/>
      <c r="C45" t="inlineStr"/>
      <c r="D45" t="inlineStr"/>
      <c r="E45" t="inlineStr"/>
      <c r="F45" t="inlineStr">
        <is>
          <t>Subject Teacher</t>
        </is>
      </c>
      <c r="G45" t="inlineStr"/>
      <c r="H45" t="inlineStr"/>
      <c r="I45" t="inlineStr"/>
    </row>
    <row r="46">
      <c r="A46" t="inlineStr"/>
      <c r="B46" t="inlineStr"/>
      <c r="C46" t="inlineStr"/>
      <c r="D46" t="inlineStr"/>
      <c r="E46" t="inlineStr"/>
      <c r="F46" t="inlineStr">
        <is>
          <t>Subject Teacher</t>
        </is>
      </c>
      <c r="G46" t="inlineStr"/>
      <c r="H46" t="inlineStr"/>
      <c r="I46" t="inlineStr"/>
    </row>
    <row r="47">
      <c r="A47" t="inlineStr"/>
      <c r="B47" t="inlineStr"/>
      <c r="C47" t="inlineStr"/>
      <c r="D47" t="inlineStr"/>
      <c r="E47" t="inlineStr"/>
      <c r="F47" t="inlineStr">
        <is>
          <t>Subject Teacher</t>
        </is>
      </c>
      <c r="G47" t="inlineStr"/>
      <c r="H47" t="inlineStr"/>
      <c r="I47" t="inlineStr"/>
    </row>
    <row r="48">
      <c r="A48" t="inlineStr"/>
      <c r="B48" t="inlineStr"/>
      <c r="C48" t="inlineStr"/>
      <c r="D48" t="inlineStr"/>
      <c r="E48" t="inlineStr"/>
      <c r="F48" t="inlineStr">
        <is>
          <t>Subject Teacher</t>
        </is>
      </c>
      <c r="G48" t="inlineStr"/>
      <c r="H48" t="inlineStr"/>
      <c r="I48" t="inlineStr"/>
    </row>
    <row r="49">
      <c r="A49" t="inlineStr"/>
      <c r="B49" t="inlineStr"/>
      <c r="C49" t="inlineStr"/>
      <c r="D49" t="inlineStr"/>
      <c r="E49" t="inlineStr"/>
      <c r="F49" t="inlineStr">
        <is>
          <t>Subject Teacher</t>
        </is>
      </c>
      <c r="G49" t="inlineStr"/>
      <c r="H49" t="inlineStr"/>
      <c r="I49" t="inlineStr"/>
    </row>
    <row r="50">
      <c r="A50" t="inlineStr"/>
      <c r="B50" t="inlineStr"/>
      <c r="C50" t="inlineStr"/>
      <c r="D50" t="inlineStr"/>
      <c r="E50" t="inlineStr"/>
      <c r="F50" t="inlineStr">
        <is>
          <t>Subject Teacher</t>
        </is>
      </c>
      <c r="G50" t="inlineStr"/>
      <c r="H50" t="inlineStr"/>
      <c r="I50" t="inlineStr"/>
    </row>
    <row r="51">
      <c r="A51" t="inlineStr"/>
      <c r="B51" t="inlineStr"/>
      <c r="C51" t="inlineStr"/>
      <c r="D51" t="inlineStr"/>
      <c r="E51" t="inlineStr"/>
      <c r="F51" t="inlineStr">
        <is>
          <t>Subject Teacher</t>
        </is>
      </c>
      <c r="G51" t="inlineStr"/>
      <c r="H51" t="inlineStr"/>
      <c r="I51" t="inlineStr"/>
    </row>
    <row r="52">
      <c r="A52" t="inlineStr"/>
      <c r="B52" t="inlineStr"/>
      <c r="C52" t="inlineStr"/>
      <c r="D52" t="inlineStr"/>
      <c r="E52" t="inlineStr"/>
      <c r="F52" t="inlineStr">
        <is>
          <t>Subject Teacher</t>
        </is>
      </c>
      <c r="G52" t="inlineStr"/>
      <c r="H52" t="inlineStr"/>
      <c r="I52" t="inlineStr"/>
    </row>
    <row r="53">
      <c r="A53" t="inlineStr"/>
      <c r="B53" t="inlineStr"/>
      <c r="C53" t="inlineStr"/>
      <c r="D53" t="inlineStr"/>
      <c r="E53" t="inlineStr"/>
      <c r="F53" t="inlineStr">
        <is>
          <t>Subject Teacher</t>
        </is>
      </c>
      <c r="G53" t="inlineStr"/>
      <c r="H53" t="inlineStr"/>
      <c r="I53" t="inlineStr"/>
    </row>
    <row r="54">
      <c r="A54" t="inlineStr"/>
      <c r="B54" t="inlineStr"/>
      <c r="C54" t="inlineStr"/>
      <c r="D54" t="inlineStr"/>
      <c r="E54" t="inlineStr"/>
      <c r="F54" t="inlineStr">
        <is>
          <t>Subject Teacher</t>
        </is>
      </c>
      <c r="G54" t="inlineStr"/>
      <c r="H54" t="inlineStr"/>
      <c r="I54" t="inlineStr"/>
    </row>
    <row r="55">
      <c r="A55" t="inlineStr"/>
      <c r="B55" t="inlineStr"/>
      <c r="C55" t="inlineStr"/>
      <c r="D55" t="inlineStr"/>
      <c r="E55" t="inlineStr"/>
      <c r="F55" t="inlineStr">
        <is>
          <t>Subject Teacher</t>
        </is>
      </c>
      <c r="G55" t="inlineStr"/>
      <c r="H55" t="inlineStr"/>
      <c r="I55" t="inlineStr"/>
    </row>
    <row r="56">
      <c r="A56" t="inlineStr"/>
      <c r="B56" t="inlineStr"/>
      <c r="C56" t="inlineStr"/>
      <c r="D56" t="inlineStr"/>
      <c r="E56" t="inlineStr"/>
      <c r="F56" t="inlineStr">
        <is>
          <t>Subject Teacher</t>
        </is>
      </c>
      <c r="G56" t="inlineStr"/>
      <c r="H56" t="inlineStr"/>
      <c r="I56" t="inlineStr"/>
    </row>
    <row r="57">
      <c r="A57" t="inlineStr"/>
      <c r="B57" t="inlineStr"/>
      <c r="C57" t="inlineStr"/>
      <c r="D57" t="inlineStr"/>
      <c r="E57" t="inlineStr"/>
      <c r="F57" t="inlineStr">
        <is>
          <t>Subject Teacher</t>
        </is>
      </c>
      <c r="G57" t="inlineStr"/>
      <c r="H57" t="inlineStr"/>
      <c r="I57" t="inlineStr"/>
    </row>
    <row r="58">
      <c r="A58" t="inlineStr"/>
      <c r="B58" t="inlineStr"/>
      <c r="C58" t="inlineStr"/>
      <c r="D58" t="inlineStr"/>
      <c r="E58" t="inlineStr"/>
      <c r="F58" t="inlineStr">
        <is>
          <t>Subject Teacher</t>
        </is>
      </c>
      <c r="G58" t="inlineStr"/>
      <c r="H58" t="inlineStr"/>
      <c r="I58" t="inlineStr"/>
    </row>
    <row r="59">
      <c r="A59" t="inlineStr"/>
      <c r="B59" t="inlineStr"/>
      <c r="C59" t="inlineStr"/>
      <c r="D59" t="inlineStr"/>
      <c r="E59" t="inlineStr"/>
      <c r="F59" t="inlineStr">
        <is>
          <t>Subject Teacher</t>
        </is>
      </c>
      <c r="G59" t="inlineStr"/>
      <c r="H59" t="inlineStr"/>
      <c r="I59" t="inlineStr"/>
    </row>
    <row r="60">
      <c r="A60" t="inlineStr"/>
      <c r="B60" t="inlineStr"/>
      <c r="C60" t="inlineStr"/>
      <c r="D60" t="inlineStr"/>
      <c r="E60" t="inlineStr"/>
      <c r="F60" t="inlineStr">
        <is>
          <t>Subject Teacher</t>
        </is>
      </c>
      <c r="G60" t="inlineStr"/>
      <c r="H60" t="inlineStr"/>
      <c r="I60" t="inlineStr"/>
    </row>
    <row r="61">
      <c r="A61" t="inlineStr"/>
      <c r="B61" t="inlineStr"/>
      <c r="C61" t="inlineStr"/>
      <c r="D61" t="inlineStr"/>
      <c r="E61" t="inlineStr"/>
      <c r="F61" t="inlineStr">
        <is>
          <t>Subject Teacher</t>
        </is>
      </c>
      <c r="G61" t="inlineStr"/>
      <c r="H61" t="inlineStr"/>
      <c r="I61" t="inlineStr"/>
    </row>
    <row r="62">
      <c r="A62" t="inlineStr"/>
      <c r="B62" t="inlineStr"/>
      <c r="C62" t="inlineStr"/>
      <c r="D62" t="inlineStr"/>
      <c r="E62" t="inlineStr"/>
      <c r="F62" t="inlineStr">
        <is>
          <t>Subject Teacher</t>
        </is>
      </c>
      <c r="G62" t="inlineStr"/>
      <c r="H62" t="inlineStr"/>
      <c r="I62" t="inlineStr"/>
    </row>
    <row r="63">
      <c r="A63" t="inlineStr"/>
      <c r="B63" t="inlineStr"/>
      <c r="C63" t="inlineStr"/>
      <c r="D63" t="inlineStr"/>
      <c r="E63" t="inlineStr"/>
      <c r="F63" t="inlineStr">
        <is>
          <t>Subject Teacher</t>
        </is>
      </c>
      <c r="G63" t="inlineStr"/>
      <c r="H63" t="inlineStr"/>
      <c r="I63" t="inlineStr"/>
    </row>
    <row r="64">
      <c r="A64" t="inlineStr"/>
      <c r="B64" t="inlineStr"/>
      <c r="C64" t="inlineStr"/>
      <c r="D64" t="inlineStr"/>
      <c r="E64" t="inlineStr"/>
      <c r="F64" t="inlineStr">
        <is>
          <t>Subject Teacher</t>
        </is>
      </c>
      <c r="G64" t="inlineStr"/>
      <c r="H64" t="inlineStr"/>
      <c r="I64" t="inlineStr"/>
    </row>
    <row r="65">
      <c r="A65" t="inlineStr"/>
      <c r="B65" t="inlineStr"/>
      <c r="C65" t="inlineStr"/>
      <c r="D65" t="inlineStr"/>
      <c r="E65" t="inlineStr"/>
      <c r="F65" t="inlineStr">
        <is>
          <t>Subject Teacher</t>
        </is>
      </c>
      <c r="G65" t="inlineStr"/>
      <c r="H65" t="inlineStr"/>
      <c r="I65" t="inlineStr"/>
    </row>
    <row r="66">
      <c r="A66" t="inlineStr"/>
      <c r="B66" t="inlineStr"/>
      <c r="C66" t="inlineStr"/>
      <c r="D66" t="inlineStr"/>
      <c r="E66" t="inlineStr"/>
      <c r="F66" t="inlineStr">
        <is>
          <t>Subject Teacher</t>
        </is>
      </c>
      <c r="G66" t="inlineStr"/>
      <c r="H66" t="inlineStr"/>
      <c r="I66" t="inlineStr"/>
    </row>
    <row r="67">
      <c r="A67" t="inlineStr"/>
      <c r="B67" t="inlineStr"/>
      <c r="C67" t="inlineStr"/>
      <c r="D67" t="inlineStr"/>
      <c r="E67" t="inlineStr"/>
      <c r="F67" t="inlineStr">
        <is>
          <t>Subject Teacher</t>
        </is>
      </c>
      <c r="G67" t="inlineStr"/>
      <c r="H67" t="inlineStr"/>
      <c r="I67" t="inlineStr"/>
    </row>
    <row r="68">
      <c r="A68" t="inlineStr"/>
      <c r="B68" t="inlineStr"/>
      <c r="C68" t="inlineStr"/>
      <c r="D68" t="inlineStr"/>
      <c r="E68" t="inlineStr"/>
      <c r="F68" t="inlineStr">
        <is>
          <t>Subject Teacher</t>
        </is>
      </c>
      <c r="G68" t="inlineStr"/>
      <c r="H68" t="inlineStr"/>
      <c r="I68" t="inlineStr"/>
    </row>
    <row r="69">
      <c r="A69" t="inlineStr"/>
      <c r="B69" t="inlineStr"/>
      <c r="C69" t="inlineStr"/>
      <c r="D69" t="inlineStr"/>
      <c r="E69" t="inlineStr"/>
      <c r="F69" t="inlineStr">
        <is>
          <t>Subject Teacher</t>
        </is>
      </c>
      <c r="G69" t="inlineStr"/>
      <c r="H69" t="inlineStr"/>
      <c r="I69" t="inlineStr"/>
    </row>
    <row r="70">
      <c r="A70" t="inlineStr"/>
      <c r="B70" t="inlineStr"/>
      <c r="C70" t="inlineStr"/>
      <c r="D70" t="inlineStr"/>
      <c r="E70" t="inlineStr"/>
      <c r="F70" t="inlineStr">
        <is>
          <t>Subject Teacher</t>
        </is>
      </c>
      <c r="G70" t="inlineStr"/>
      <c r="H70" t="inlineStr"/>
      <c r="I70" t="inlineStr"/>
    </row>
    <row r="71">
      <c r="A71" t="inlineStr"/>
      <c r="B71" t="inlineStr"/>
      <c r="C71" t="inlineStr"/>
      <c r="D71" t="inlineStr"/>
      <c r="E71" t="inlineStr"/>
      <c r="F71" t="inlineStr">
        <is>
          <t>Subject Teacher</t>
        </is>
      </c>
      <c r="G71" t="inlineStr"/>
      <c r="H71" t="inlineStr"/>
      <c r="I71" t="inlineStr"/>
    </row>
    <row r="72">
      <c r="A72" t="inlineStr"/>
      <c r="B72" t="inlineStr"/>
      <c r="C72" t="inlineStr"/>
      <c r="D72" t="inlineStr"/>
      <c r="E72" t="inlineStr"/>
      <c r="F72" t="inlineStr">
        <is>
          <t>Subject Teacher</t>
        </is>
      </c>
      <c r="G72" t="inlineStr"/>
      <c r="H72" t="inlineStr"/>
      <c r="I72" t="inlineStr"/>
    </row>
    <row r="73">
      <c r="A73" t="inlineStr"/>
      <c r="B73" t="inlineStr"/>
      <c r="C73" t="inlineStr"/>
      <c r="D73" t="inlineStr"/>
      <c r="E73" t="inlineStr"/>
      <c r="F73" t="inlineStr">
        <is>
          <t>Subject Teacher</t>
        </is>
      </c>
      <c r="G73" t="inlineStr"/>
      <c r="H73" t="inlineStr"/>
      <c r="I73" t="inlineStr"/>
    </row>
    <row r="74">
      <c r="A74" t="inlineStr"/>
      <c r="B74" t="inlineStr"/>
      <c r="C74" t="inlineStr"/>
      <c r="D74" t="inlineStr"/>
      <c r="E74" t="inlineStr"/>
      <c r="F74" t="inlineStr">
        <is>
          <t>Subject Teacher</t>
        </is>
      </c>
      <c r="G74" t="inlineStr"/>
      <c r="H74" t="inlineStr"/>
      <c r="I74" t="inlineStr"/>
    </row>
    <row r="75">
      <c r="A75" t="inlineStr"/>
      <c r="B75" t="inlineStr"/>
      <c r="C75" t="inlineStr"/>
      <c r="D75" t="inlineStr"/>
      <c r="E75" t="inlineStr"/>
      <c r="F75" t="inlineStr">
        <is>
          <t>Subject Teacher</t>
        </is>
      </c>
      <c r="G75" t="inlineStr"/>
      <c r="H75" t="inlineStr"/>
      <c r="I75" t="inlineStr"/>
    </row>
    <row r="76">
      <c r="A76" t="inlineStr"/>
      <c r="B76" t="inlineStr"/>
      <c r="C76" t="inlineStr"/>
      <c r="D76" t="inlineStr"/>
      <c r="E76" t="inlineStr"/>
      <c r="F76" t="inlineStr">
        <is>
          <t>Subject Teacher</t>
        </is>
      </c>
      <c r="G76" t="inlineStr"/>
      <c r="H76" t="inlineStr"/>
      <c r="I76" t="inlineStr"/>
    </row>
    <row r="77">
      <c r="A77" t="inlineStr"/>
      <c r="B77" t="inlineStr"/>
      <c r="C77" t="inlineStr"/>
      <c r="D77" t="inlineStr"/>
      <c r="E77" t="inlineStr"/>
      <c r="F77" t="inlineStr">
        <is>
          <t>Subject Teacher</t>
        </is>
      </c>
      <c r="G77" t="inlineStr"/>
      <c r="H77" t="inlineStr"/>
      <c r="I77" t="inlineStr"/>
    </row>
    <row r="78">
      <c r="A78" t="inlineStr"/>
      <c r="B78" t="inlineStr"/>
      <c r="C78" t="inlineStr"/>
      <c r="D78" t="inlineStr"/>
      <c r="E78" t="inlineStr"/>
      <c r="F78" t="inlineStr">
        <is>
          <t>Subject Teacher</t>
        </is>
      </c>
      <c r="G78" t="inlineStr"/>
      <c r="H78" t="inlineStr"/>
      <c r="I78" t="inlineStr"/>
    </row>
    <row r="79">
      <c r="A79" t="inlineStr"/>
      <c r="B79" t="inlineStr"/>
      <c r="C79" t="inlineStr"/>
      <c r="D79" t="inlineStr"/>
      <c r="E79" t="inlineStr"/>
      <c r="F79" t="inlineStr">
        <is>
          <t>Subject Teacher</t>
        </is>
      </c>
      <c r="G79" t="inlineStr"/>
      <c r="H79" t="inlineStr"/>
      <c r="I79" t="inlineStr"/>
    </row>
    <row r="80">
      <c r="A80" t="inlineStr"/>
      <c r="B80" t="inlineStr"/>
      <c r="C80" t="inlineStr"/>
      <c r="D80" t="inlineStr"/>
      <c r="E80" t="inlineStr"/>
      <c r="F80" t="inlineStr">
        <is>
          <t>Subject Teacher</t>
        </is>
      </c>
      <c r="G80" t="inlineStr"/>
      <c r="H80" t="inlineStr"/>
      <c r="I80" t="inlineStr"/>
    </row>
    <row r="81">
      <c r="A81" t="inlineStr"/>
      <c r="B81" t="inlineStr"/>
      <c r="C81" t="inlineStr"/>
      <c r="D81" t="inlineStr"/>
      <c r="E81" t="inlineStr"/>
      <c r="F81" t="inlineStr">
        <is>
          <t>Subject Teacher</t>
        </is>
      </c>
      <c r="G81" t="inlineStr"/>
      <c r="H81" t="inlineStr"/>
      <c r="I81" t="inlineStr"/>
    </row>
    <row r="82">
      <c r="A82" t="inlineStr"/>
      <c r="B82" t="inlineStr"/>
      <c r="C82" t="inlineStr"/>
      <c r="D82" t="inlineStr"/>
      <c r="E82" t="inlineStr"/>
      <c r="F82" t="inlineStr">
        <is>
          <t>Subject Teacher</t>
        </is>
      </c>
      <c r="G82" t="inlineStr"/>
      <c r="H82" t="inlineStr"/>
      <c r="I82" t="inlineStr"/>
    </row>
    <row r="83">
      <c r="A83" t="inlineStr"/>
      <c r="B83" t="inlineStr"/>
      <c r="C83" t="inlineStr"/>
      <c r="D83" t="inlineStr"/>
      <c r="E83" t="inlineStr"/>
      <c r="F83" t="inlineStr">
        <is>
          <t>Subject Teacher</t>
        </is>
      </c>
      <c r="G83" t="inlineStr"/>
      <c r="H83" t="inlineStr"/>
      <c r="I83" t="inlineStr"/>
    </row>
    <row r="84">
      <c r="A84" t="inlineStr"/>
      <c r="B84" t="inlineStr"/>
      <c r="C84" t="inlineStr"/>
      <c r="D84" t="inlineStr"/>
      <c r="E84" t="inlineStr"/>
      <c r="F84" t="inlineStr">
        <is>
          <t>Subject Teacher</t>
        </is>
      </c>
      <c r="G84" t="inlineStr"/>
      <c r="H84" t="inlineStr"/>
      <c r="I84" t="inlineStr"/>
    </row>
    <row r="85">
      <c r="A85" t="inlineStr"/>
      <c r="B85" t="inlineStr"/>
      <c r="C85" t="inlineStr"/>
      <c r="D85" t="inlineStr"/>
      <c r="E85" t="inlineStr"/>
      <c r="F85" t="inlineStr">
        <is>
          <t>Subject Teacher</t>
        </is>
      </c>
      <c r="G85" t="inlineStr"/>
      <c r="H85" t="inlineStr"/>
      <c r="I85" t="inlineStr"/>
    </row>
    <row r="86">
      <c r="A86" t="inlineStr"/>
      <c r="B86" t="inlineStr"/>
      <c r="C86" t="inlineStr"/>
      <c r="D86" t="inlineStr"/>
      <c r="E86" t="inlineStr"/>
      <c r="F86" t="inlineStr">
        <is>
          <t>Subject Teacher</t>
        </is>
      </c>
      <c r="G86" t="inlineStr"/>
      <c r="H86" t="inlineStr"/>
      <c r="I86" t="inlineStr"/>
    </row>
    <row r="87">
      <c r="A87" t="inlineStr"/>
      <c r="B87" t="inlineStr"/>
      <c r="C87" t="inlineStr"/>
      <c r="D87" t="inlineStr"/>
      <c r="E87" t="inlineStr"/>
      <c r="F87" t="inlineStr">
        <is>
          <t>Subject Teacher</t>
        </is>
      </c>
      <c r="G87" t="inlineStr"/>
      <c r="H87" t="inlineStr"/>
      <c r="I87" t="inlineStr"/>
    </row>
    <row r="88">
      <c r="A88" t="inlineStr"/>
      <c r="B88" t="inlineStr"/>
      <c r="C88" t="inlineStr"/>
      <c r="D88" t="inlineStr"/>
      <c r="E88" t="inlineStr"/>
      <c r="F88" t="inlineStr">
        <is>
          <t>Subject Teacher</t>
        </is>
      </c>
      <c r="G88" t="inlineStr"/>
      <c r="H88" t="inlineStr"/>
      <c r="I88" t="inlineStr"/>
    </row>
    <row r="89">
      <c r="A89" t="inlineStr"/>
      <c r="B89" t="inlineStr"/>
      <c r="C89" t="inlineStr"/>
      <c r="D89" t="inlineStr"/>
      <c r="E89" t="inlineStr"/>
      <c r="F89" t="inlineStr">
        <is>
          <t>Subject Teacher</t>
        </is>
      </c>
      <c r="G89" t="inlineStr"/>
      <c r="H89" t="inlineStr"/>
      <c r="I89" t="inlineStr"/>
    </row>
    <row r="90">
      <c r="A90" t="inlineStr"/>
      <c r="B90" t="inlineStr"/>
      <c r="C90" t="inlineStr"/>
      <c r="D90" t="inlineStr"/>
      <c r="E90" t="inlineStr"/>
      <c r="F90" t="inlineStr">
        <is>
          <t>Subject Teacher</t>
        </is>
      </c>
      <c r="G90" t="inlineStr"/>
      <c r="H90" t="inlineStr"/>
      <c r="I90" t="inlineStr"/>
    </row>
    <row r="91">
      <c r="A91" t="inlineStr"/>
      <c r="B91" t="inlineStr"/>
      <c r="C91" t="inlineStr"/>
      <c r="D91" t="inlineStr"/>
      <c r="E91" t="inlineStr"/>
      <c r="F91" t="inlineStr">
        <is>
          <t>Subject Teacher</t>
        </is>
      </c>
      <c r="G91" t="inlineStr"/>
      <c r="H91" t="inlineStr"/>
      <c r="I91" t="inlineStr"/>
    </row>
    <row r="92">
      <c r="A92" t="inlineStr"/>
      <c r="B92" t="inlineStr"/>
      <c r="C92" t="inlineStr"/>
      <c r="D92" t="inlineStr"/>
      <c r="E92" t="inlineStr"/>
      <c r="F92" t="inlineStr">
        <is>
          <t>Subject Teacher</t>
        </is>
      </c>
      <c r="G92" t="inlineStr"/>
      <c r="H92" t="inlineStr"/>
      <c r="I92" t="inlineStr"/>
    </row>
    <row r="93">
      <c r="A93" t="inlineStr"/>
      <c r="B93" t="inlineStr"/>
      <c r="C93" t="inlineStr"/>
      <c r="D93" t="inlineStr"/>
      <c r="E93" t="inlineStr"/>
      <c r="F93" t="inlineStr">
        <is>
          <t>Subject Teacher</t>
        </is>
      </c>
      <c r="G93" t="inlineStr"/>
      <c r="H93" t="inlineStr"/>
      <c r="I93" t="inlineStr"/>
    </row>
    <row r="94">
      <c r="A94" t="inlineStr"/>
      <c r="B94" t="inlineStr"/>
      <c r="C94" t="inlineStr"/>
      <c r="D94" t="inlineStr"/>
      <c r="E94" t="inlineStr"/>
      <c r="F94" t="inlineStr">
        <is>
          <t>Subject Teacher</t>
        </is>
      </c>
      <c r="G94" t="inlineStr"/>
      <c r="H94" t="inlineStr"/>
      <c r="I94" t="inlineStr"/>
    </row>
    <row r="95">
      <c r="A95" t="inlineStr"/>
      <c r="B95" t="inlineStr"/>
      <c r="C95" t="inlineStr"/>
      <c r="D95" t="inlineStr"/>
      <c r="E95" t="inlineStr"/>
      <c r="F95" t="inlineStr">
        <is>
          <t>Subject Teacher</t>
        </is>
      </c>
      <c r="G95" t="inlineStr"/>
      <c r="H95" t="inlineStr"/>
      <c r="I95" t="inlineStr"/>
    </row>
    <row r="96">
      <c r="A96" t="inlineStr"/>
      <c r="B96" t="inlineStr"/>
      <c r="C96" t="inlineStr"/>
      <c r="D96" t="inlineStr"/>
      <c r="E96" t="inlineStr"/>
      <c r="F96" t="inlineStr">
        <is>
          <t>Subject Teacher</t>
        </is>
      </c>
      <c r="G96" t="inlineStr"/>
      <c r="H96" t="inlineStr"/>
      <c r="I96" t="inlineStr"/>
    </row>
    <row r="97">
      <c r="A97" t="inlineStr"/>
      <c r="B97" t="inlineStr"/>
      <c r="C97" t="inlineStr"/>
      <c r="D97" t="inlineStr"/>
      <c r="E97" t="inlineStr"/>
      <c r="F97" t="inlineStr">
        <is>
          <t>Subject Teacher</t>
        </is>
      </c>
      <c r="G97" t="inlineStr"/>
      <c r="H97" t="inlineStr"/>
      <c r="I97" t="inlineStr"/>
    </row>
    <row r="98">
      <c r="A98" t="inlineStr"/>
      <c r="B98" t="inlineStr"/>
      <c r="C98" t="inlineStr"/>
      <c r="D98" t="inlineStr"/>
      <c r="E98" t="inlineStr"/>
      <c r="F98" t="inlineStr">
        <is>
          <t>Subject Teacher</t>
        </is>
      </c>
      <c r="G98" t="inlineStr"/>
      <c r="H98" t="inlineStr"/>
      <c r="I98" t="inlineStr"/>
    </row>
    <row r="99">
      <c r="A99" t="inlineStr"/>
      <c r="B99" t="inlineStr"/>
      <c r="C99" t="inlineStr"/>
      <c r="D99" t="inlineStr"/>
      <c r="E99" t="inlineStr"/>
      <c r="F99" t="inlineStr">
        <is>
          <t>Subject Teacher</t>
        </is>
      </c>
      <c r="G99" t="inlineStr"/>
      <c r="H99" t="inlineStr"/>
      <c r="I99" t="inlineStr"/>
    </row>
    <row r="100">
      <c r="A100" t="inlineStr"/>
      <c r="B100" t="inlineStr"/>
      <c r="C100" t="inlineStr"/>
      <c r="D100" t="inlineStr"/>
      <c r="E100" t="inlineStr"/>
      <c r="F100" t="inlineStr">
        <is>
          <t>Subject Teacher</t>
        </is>
      </c>
      <c r="G100" t="inlineStr"/>
      <c r="H100" t="inlineStr"/>
      <c r="I100" t="inlineStr"/>
    </row>
    <row r="101">
      <c r="A101" t="inlineStr"/>
      <c r="B101" t="inlineStr"/>
      <c r="C101" t="inlineStr"/>
      <c r="D101" t="inlineStr"/>
      <c r="E101" t="inlineStr"/>
      <c r="F101" t="inlineStr">
        <is>
          <t>Subject Teacher</t>
        </is>
      </c>
      <c r="G101" t="inlineStr"/>
      <c r="H101" t="inlineStr"/>
      <c r="I101" t="inlineStr"/>
    </row>
    <row r="102">
      <c r="A102" t="inlineStr"/>
      <c r="B102" t="inlineStr"/>
      <c r="C102" t="inlineStr"/>
      <c r="D102" t="inlineStr"/>
      <c r="E102" t="inlineStr"/>
      <c r="F102" t="inlineStr">
        <is>
          <t>Subject Teacher</t>
        </is>
      </c>
      <c r="G102" t="inlineStr"/>
      <c r="H102" t="inlineStr"/>
      <c r="I102" t="inlineStr"/>
    </row>
    <row r="103">
      <c r="A103" t="inlineStr"/>
      <c r="B103" t="inlineStr"/>
      <c r="C103" t="inlineStr"/>
      <c r="D103" t="inlineStr"/>
      <c r="E103" t="inlineStr"/>
      <c r="F103" t="inlineStr">
        <is>
          <t>Subject Teacher</t>
        </is>
      </c>
      <c r="G103" t="inlineStr"/>
      <c r="H103" t="inlineStr"/>
      <c r="I103" t="inlineStr"/>
    </row>
    <row r="104">
      <c r="A104" t="inlineStr"/>
      <c r="B104" t="inlineStr"/>
      <c r="C104" t="inlineStr"/>
      <c r="D104" t="inlineStr"/>
      <c r="E104" t="inlineStr"/>
      <c r="F104" t="inlineStr">
        <is>
          <t>Subject Teacher</t>
        </is>
      </c>
      <c r="G104" t="inlineStr"/>
      <c r="H104" t="inlineStr"/>
      <c r="I104" t="inlineStr"/>
    </row>
    <row r="105">
      <c r="A105" t="inlineStr"/>
      <c r="B105" t="inlineStr"/>
      <c r="C105" t="inlineStr"/>
      <c r="D105" t="inlineStr"/>
      <c r="E105" t="inlineStr"/>
      <c r="F105" t="inlineStr">
        <is>
          <t>Subject Teacher</t>
        </is>
      </c>
      <c r="G105" t="inlineStr"/>
      <c r="H105" t="inlineStr"/>
      <c r="I105" t="inlineStr"/>
    </row>
    <row r="106">
      <c r="A106" t="inlineStr"/>
      <c r="B106" t="inlineStr"/>
      <c r="C106" t="inlineStr"/>
      <c r="D106" t="inlineStr"/>
      <c r="E106" t="inlineStr"/>
      <c r="F106" t="inlineStr">
        <is>
          <t>Subject Teacher</t>
        </is>
      </c>
      <c r="G106" t="inlineStr"/>
      <c r="H106" t="inlineStr"/>
      <c r="I106" t="inlineStr"/>
    </row>
    <row r="107">
      <c r="A107" t="inlineStr"/>
      <c r="B107" t="inlineStr"/>
      <c r="C107" t="inlineStr"/>
      <c r="D107" t="inlineStr"/>
      <c r="E107" t="inlineStr"/>
      <c r="F107" t="inlineStr">
        <is>
          <t>Subject Teacher</t>
        </is>
      </c>
      <c r="G107" t="inlineStr"/>
      <c r="H107" t="inlineStr"/>
      <c r="I107" t="inlineStr"/>
    </row>
    <row r="108">
      <c r="A108" t="inlineStr"/>
      <c r="B108" t="inlineStr"/>
      <c r="C108" t="inlineStr"/>
      <c r="D108" t="inlineStr"/>
      <c r="E108" t="inlineStr"/>
      <c r="F108" t="inlineStr">
        <is>
          <t>Subject Teacher</t>
        </is>
      </c>
      <c r="G108" t="inlineStr"/>
      <c r="H108" t="inlineStr"/>
      <c r="I108" t="inlineStr"/>
    </row>
    <row r="109">
      <c r="A109" t="inlineStr"/>
      <c r="B109" t="inlineStr"/>
      <c r="C109" t="inlineStr"/>
      <c r="D109" t="inlineStr"/>
      <c r="E109" t="inlineStr"/>
      <c r="F109" t="inlineStr">
        <is>
          <t>Subject Teacher</t>
        </is>
      </c>
      <c r="G109" t="inlineStr"/>
      <c r="H109" t="inlineStr"/>
      <c r="I109" t="inlineStr"/>
    </row>
    <row r="110">
      <c r="A110" t="inlineStr"/>
      <c r="B110" t="inlineStr"/>
      <c r="C110" t="inlineStr"/>
      <c r="D110" t="inlineStr"/>
      <c r="E110" t="inlineStr"/>
      <c r="F110" t="inlineStr">
        <is>
          <t>Subject Teacher</t>
        </is>
      </c>
      <c r="G110" t="inlineStr"/>
      <c r="H110" t="inlineStr"/>
      <c r="I110" t="inlineStr"/>
    </row>
    <row r="111">
      <c r="A111" t="inlineStr"/>
      <c r="B111" t="inlineStr"/>
      <c r="C111" t="inlineStr"/>
      <c r="D111" t="inlineStr"/>
      <c r="E111" t="inlineStr"/>
      <c r="F111" t="inlineStr">
        <is>
          <t>Subject Teacher</t>
        </is>
      </c>
      <c r="G111" t="inlineStr"/>
      <c r="H111" t="inlineStr"/>
      <c r="I111" t="inlineStr"/>
    </row>
    <row r="112">
      <c r="A112" t="inlineStr"/>
      <c r="B112" t="inlineStr"/>
      <c r="C112" t="inlineStr"/>
      <c r="D112" t="inlineStr"/>
      <c r="E112" t="inlineStr"/>
      <c r="F112" t="inlineStr">
        <is>
          <t>Subject Teacher</t>
        </is>
      </c>
      <c r="G112" t="inlineStr"/>
      <c r="H112" t="inlineStr"/>
      <c r="I112" t="inlineStr"/>
    </row>
    <row r="113">
      <c r="A113" t="inlineStr"/>
      <c r="B113" t="inlineStr"/>
      <c r="C113" t="inlineStr"/>
      <c r="D113" t="inlineStr"/>
      <c r="E113" t="inlineStr"/>
      <c r="F113" t="inlineStr">
        <is>
          <t>Subject Teacher</t>
        </is>
      </c>
      <c r="G113" t="inlineStr"/>
      <c r="H113" t="inlineStr"/>
      <c r="I113" t="inlineStr"/>
    </row>
    <row r="114">
      <c r="A114" t="inlineStr"/>
      <c r="B114" t="inlineStr"/>
      <c r="C114" t="inlineStr"/>
      <c r="D114" t="inlineStr"/>
      <c r="E114" t="inlineStr"/>
      <c r="F114" t="inlineStr">
        <is>
          <t>Subject Teacher</t>
        </is>
      </c>
      <c r="G114" t="inlineStr"/>
      <c r="H114" t="inlineStr"/>
      <c r="I114" t="inlineStr"/>
    </row>
    <row r="115">
      <c r="A115" t="inlineStr"/>
      <c r="B115" t="inlineStr"/>
      <c r="C115" t="inlineStr"/>
      <c r="D115" t="inlineStr"/>
      <c r="E115" t="inlineStr"/>
      <c r="F115" t="inlineStr">
        <is>
          <t>Subject Teacher</t>
        </is>
      </c>
      <c r="G115" t="inlineStr"/>
      <c r="H115" t="inlineStr"/>
      <c r="I115" t="inlineStr"/>
    </row>
    <row r="116">
      <c r="A116" t="inlineStr"/>
      <c r="B116" t="inlineStr"/>
      <c r="C116" t="inlineStr"/>
      <c r="D116" t="inlineStr"/>
      <c r="E116" t="inlineStr"/>
      <c r="F116" t="inlineStr">
        <is>
          <t>Subject Teacher</t>
        </is>
      </c>
      <c r="G116" t="inlineStr"/>
      <c r="H116" t="inlineStr"/>
      <c r="I116" t="inlineStr"/>
    </row>
    <row r="117">
      <c r="A117" t="inlineStr"/>
      <c r="B117" t="inlineStr"/>
      <c r="C117" t="inlineStr"/>
      <c r="D117" t="inlineStr"/>
      <c r="E117" t="inlineStr"/>
      <c r="F117" t="inlineStr">
        <is>
          <t>Subject Teacher</t>
        </is>
      </c>
      <c r="G117" t="inlineStr"/>
      <c r="H117" t="inlineStr"/>
      <c r="I117" t="inlineStr"/>
    </row>
    <row r="118">
      <c r="A118" t="inlineStr"/>
      <c r="B118" t="inlineStr"/>
      <c r="C118" t="inlineStr"/>
      <c r="D118" t="inlineStr"/>
      <c r="E118" t="inlineStr"/>
      <c r="F118" t="inlineStr">
        <is>
          <t>Subject Teacher</t>
        </is>
      </c>
      <c r="G118" t="inlineStr"/>
      <c r="H118" t="inlineStr"/>
      <c r="I118" t="inlineStr"/>
    </row>
    <row r="119">
      <c r="A119" t="inlineStr"/>
      <c r="B119" t="inlineStr"/>
      <c r="C119" t="inlineStr"/>
      <c r="D119" t="inlineStr"/>
      <c r="E119" t="inlineStr"/>
      <c r="F119" t="inlineStr">
        <is>
          <t>Subject Teacher</t>
        </is>
      </c>
      <c r="G119" t="inlineStr"/>
      <c r="H119" t="inlineStr"/>
      <c r="I119" t="inlineStr"/>
    </row>
    <row r="120">
      <c r="A120" t="inlineStr"/>
      <c r="B120" t="inlineStr"/>
      <c r="C120" t="inlineStr"/>
      <c r="D120" t="inlineStr"/>
      <c r="E120" t="inlineStr"/>
      <c r="F120" t="inlineStr">
        <is>
          <t>Subject Teacher</t>
        </is>
      </c>
      <c r="G120" t="inlineStr"/>
      <c r="H120" t="inlineStr"/>
      <c r="I120" t="inlineStr"/>
    </row>
    <row r="121">
      <c r="A121" t="inlineStr"/>
      <c r="B121" t="inlineStr"/>
      <c r="C121" t="inlineStr"/>
      <c r="D121" t="inlineStr"/>
      <c r="E121" t="inlineStr"/>
      <c r="F121" t="inlineStr">
        <is>
          <t>Subject Teacher</t>
        </is>
      </c>
      <c r="G121" t="inlineStr"/>
      <c r="H121" t="inlineStr"/>
      <c r="I121" t="inlineStr"/>
    </row>
    <row r="122">
      <c r="A122" t="inlineStr"/>
      <c r="B122" t="inlineStr"/>
      <c r="C122" t="inlineStr"/>
      <c r="D122" t="inlineStr"/>
      <c r="E122" t="inlineStr"/>
      <c r="F122" t="inlineStr">
        <is>
          <t>Subject Teacher</t>
        </is>
      </c>
      <c r="G122" t="inlineStr"/>
      <c r="H122" t="inlineStr"/>
      <c r="I122" t="inlineStr"/>
    </row>
    <row r="123">
      <c r="A123" t="inlineStr"/>
      <c r="B123" t="inlineStr"/>
      <c r="C123" t="inlineStr"/>
      <c r="D123" t="inlineStr"/>
      <c r="E123" t="inlineStr"/>
      <c r="F123" t="inlineStr">
        <is>
          <t>Subject Teacher</t>
        </is>
      </c>
      <c r="G123" t="inlineStr"/>
      <c r="H123" t="inlineStr"/>
      <c r="I123" t="inlineStr"/>
    </row>
    <row r="124">
      <c r="A124" t="inlineStr"/>
      <c r="B124" t="inlineStr"/>
      <c r="C124" t="inlineStr"/>
      <c r="D124" t="inlineStr"/>
      <c r="E124" t="inlineStr"/>
      <c r="F124" t="inlineStr">
        <is>
          <t>Subject Teacher</t>
        </is>
      </c>
      <c r="G124" t="inlineStr"/>
      <c r="H124" t="inlineStr"/>
      <c r="I124" t="inlineStr"/>
    </row>
    <row r="125">
      <c r="A125" t="inlineStr"/>
      <c r="B125" t="inlineStr"/>
      <c r="C125" t="inlineStr"/>
      <c r="D125" t="inlineStr"/>
      <c r="E125" t="inlineStr"/>
      <c r="F125" t="inlineStr">
        <is>
          <t>Subject Teacher</t>
        </is>
      </c>
      <c r="G125" t="inlineStr"/>
      <c r="H125" t="inlineStr"/>
      <c r="I125" t="inlineStr"/>
    </row>
    <row r="126">
      <c r="A126" t="inlineStr"/>
      <c r="B126" t="inlineStr"/>
      <c r="C126" t="inlineStr"/>
      <c r="D126" t="inlineStr"/>
      <c r="E126" t="inlineStr"/>
      <c r="F126" t="inlineStr">
        <is>
          <t>Subject Teacher</t>
        </is>
      </c>
      <c r="G126" t="inlineStr"/>
      <c r="H126" t="inlineStr"/>
      <c r="I126" t="inlineStr"/>
    </row>
    <row r="127">
      <c r="A127" t="inlineStr"/>
      <c r="B127" t="inlineStr"/>
      <c r="C127" t="inlineStr"/>
      <c r="D127" t="inlineStr"/>
      <c r="E127" t="inlineStr"/>
      <c r="F127" t="inlineStr">
        <is>
          <t>Subject Teacher</t>
        </is>
      </c>
      <c r="G127" t="inlineStr"/>
      <c r="H127" t="inlineStr"/>
      <c r="I127" t="inlineStr"/>
    </row>
    <row r="128">
      <c r="A128" t="inlineStr"/>
      <c r="B128" t="inlineStr"/>
      <c r="C128" t="inlineStr"/>
      <c r="D128" t="inlineStr"/>
      <c r="E128" t="inlineStr"/>
      <c r="F128" t="inlineStr">
        <is>
          <t>Subject Teacher</t>
        </is>
      </c>
      <c r="G128" t="inlineStr"/>
      <c r="H128" t="inlineStr"/>
      <c r="I128" t="inlineStr"/>
    </row>
    <row r="129">
      <c r="A129" t="inlineStr"/>
      <c r="B129" t="inlineStr"/>
      <c r="C129" t="inlineStr"/>
      <c r="D129" t="inlineStr"/>
      <c r="E129" t="inlineStr"/>
      <c r="F129" t="inlineStr">
        <is>
          <t>Subject Teacher</t>
        </is>
      </c>
      <c r="G129" t="inlineStr"/>
      <c r="H129" t="inlineStr"/>
      <c r="I129" t="inlineStr"/>
    </row>
    <row r="130">
      <c r="A130" t="inlineStr"/>
      <c r="B130" t="inlineStr"/>
      <c r="C130" t="inlineStr"/>
      <c r="D130" t="inlineStr"/>
      <c r="E130" t="inlineStr"/>
      <c r="F130" t="inlineStr">
        <is>
          <t>Subject Teacher</t>
        </is>
      </c>
      <c r="G130" t="inlineStr"/>
      <c r="H130" t="inlineStr"/>
      <c r="I130" t="inlineStr"/>
    </row>
    <row r="131">
      <c r="A131" t="inlineStr"/>
      <c r="B131" t="inlineStr"/>
      <c r="C131" t="inlineStr"/>
      <c r="D131" t="inlineStr"/>
      <c r="E131" t="inlineStr"/>
      <c r="F131" t="inlineStr">
        <is>
          <t>Subject Teacher</t>
        </is>
      </c>
      <c r="G131" t="inlineStr"/>
      <c r="H131" t="inlineStr"/>
      <c r="I131" t="inlineStr"/>
    </row>
    <row r="132">
      <c r="A132" t="inlineStr"/>
      <c r="B132" t="inlineStr"/>
      <c r="C132" t="inlineStr"/>
      <c r="D132" t="inlineStr"/>
      <c r="E132" t="inlineStr"/>
      <c r="F132" t="inlineStr">
        <is>
          <t>Subject Teacher</t>
        </is>
      </c>
      <c r="G132" t="inlineStr"/>
      <c r="H132" t="inlineStr"/>
      <c r="I132" t="inlineStr"/>
    </row>
    <row r="133">
      <c r="A133" t="inlineStr"/>
      <c r="B133" t="inlineStr"/>
      <c r="C133" t="inlineStr"/>
      <c r="D133" t="inlineStr"/>
      <c r="E133" t="inlineStr"/>
      <c r="F133" t="inlineStr">
        <is>
          <t>Subject Teacher</t>
        </is>
      </c>
      <c r="G133" t="inlineStr"/>
      <c r="H133" t="inlineStr"/>
      <c r="I133" t="inlineStr"/>
    </row>
    <row r="134">
      <c r="A134" t="inlineStr"/>
      <c r="B134" t="inlineStr"/>
      <c r="C134" t="inlineStr"/>
      <c r="D134" t="inlineStr"/>
      <c r="E134" t="inlineStr"/>
      <c r="F134" t="inlineStr">
        <is>
          <t>Subject Teacher</t>
        </is>
      </c>
      <c r="G134" t="inlineStr"/>
      <c r="H134" t="inlineStr"/>
      <c r="I134" t="inlineStr"/>
    </row>
    <row r="135">
      <c r="A135" t="inlineStr"/>
      <c r="B135" t="inlineStr"/>
      <c r="C135" t="inlineStr"/>
      <c r="D135" t="inlineStr"/>
      <c r="E135" t="inlineStr"/>
      <c r="F135" t="inlineStr">
        <is>
          <t>Subject Teacher</t>
        </is>
      </c>
      <c r="G135" t="inlineStr"/>
      <c r="H135" t="inlineStr"/>
      <c r="I135" t="inlineStr"/>
    </row>
    <row r="136">
      <c r="A136" t="inlineStr"/>
      <c r="B136" t="inlineStr"/>
      <c r="C136" t="inlineStr"/>
      <c r="D136" t="inlineStr"/>
      <c r="E136" t="inlineStr"/>
      <c r="F136" t="inlineStr">
        <is>
          <t>Subject Teacher</t>
        </is>
      </c>
      <c r="G136" t="inlineStr"/>
      <c r="H136" t="inlineStr"/>
      <c r="I136" t="inlineStr"/>
    </row>
    <row r="137">
      <c r="A137" t="inlineStr"/>
      <c r="B137" t="inlineStr"/>
      <c r="C137" t="inlineStr"/>
      <c r="D137" t="inlineStr"/>
      <c r="E137" t="inlineStr"/>
      <c r="F137" t="inlineStr">
        <is>
          <t>Subject Teacher</t>
        </is>
      </c>
      <c r="G137" t="inlineStr"/>
      <c r="H137" t="inlineStr"/>
      <c r="I137" t="inlineStr"/>
    </row>
    <row r="138">
      <c r="A138" t="inlineStr"/>
      <c r="B138" t="inlineStr"/>
      <c r="C138" t="inlineStr"/>
      <c r="D138" t="inlineStr"/>
      <c r="E138" t="inlineStr"/>
      <c r="F138" t="inlineStr">
        <is>
          <t>Subject Teacher</t>
        </is>
      </c>
      <c r="G138" t="inlineStr"/>
      <c r="H138" t="inlineStr"/>
      <c r="I138" t="inlineStr"/>
    </row>
    <row r="139">
      <c r="A139" t="inlineStr"/>
      <c r="B139" t="inlineStr"/>
      <c r="C139" t="inlineStr"/>
      <c r="D139" t="inlineStr"/>
      <c r="E139" t="inlineStr"/>
      <c r="F139" t="inlineStr">
        <is>
          <t>Subject Teacher</t>
        </is>
      </c>
      <c r="G139" t="inlineStr"/>
      <c r="H139" t="inlineStr"/>
      <c r="I139" t="inlineStr"/>
    </row>
    <row r="140">
      <c r="A140" t="inlineStr"/>
      <c r="B140" t="inlineStr"/>
      <c r="C140" t="inlineStr"/>
      <c r="D140" t="inlineStr"/>
      <c r="E140" t="inlineStr"/>
      <c r="F140" t="inlineStr">
        <is>
          <t>Subject Teacher</t>
        </is>
      </c>
      <c r="G140" t="inlineStr"/>
      <c r="H140" t="inlineStr"/>
      <c r="I140" t="inlineStr"/>
    </row>
    <row r="141">
      <c r="A141" t="inlineStr"/>
      <c r="B141" t="inlineStr"/>
      <c r="C141" t="inlineStr"/>
      <c r="D141" t="inlineStr"/>
      <c r="E141" t="inlineStr"/>
      <c r="F141" t="inlineStr">
        <is>
          <t>Subject Teacher</t>
        </is>
      </c>
      <c r="G141" t="inlineStr"/>
      <c r="H141" t="inlineStr"/>
      <c r="I141" t="inlineStr"/>
    </row>
    <row r="142">
      <c r="A142" t="inlineStr"/>
      <c r="B142" t="inlineStr"/>
      <c r="C142" t="inlineStr"/>
      <c r="D142" t="inlineStr"/>
      <c r="E142" t="inlineStr"/>
      <c r="F142" t="inlineStr">
        <is>
          <t>Subject Teacher</t>
        </is>
      </c>
      <c r="G142" t="inlineStr"/>
      <c r="H142" t="inlineStr"/>
      <c r="I142" t="inlineStr"/>
    </row>
    <row r="143">
      <c r="A143" t="inlineStr"/>
      <c r="B143" t="inlineStr"/>
      <c r="C143" t="inlineStr"/>
      <c r="D143" t="inlineStr"/>
      <c r="E143" t="inlineStr"/>
      <c r="F143" t="inlineStr">
        <is>
          <t>Subject Teacher</t>
        </is>
      </c>
      <c r="G143" t="inlineStr"/>
      <c r="H143" t="inlineStr"/>
      <c r="I143" t="inlineStr"/>
    </row>
    <row r="144">
      <c r="A144" t="inlineStr"/>
      <c r="B144" t="inlineStr"/>
      <c r="C144" t="inlineStr"/>
      <c r="D144" t="inlineStr"/>
      <c r="E144" t="inlineStr"/>
      <c r="F144" t="inlineStr">
        <is>
          <t>Subject Teacher</t>
        </is>
      </c>
      <c r="G144" t="inlineStr"/>
      <c r="H144" t="inlineStr"/>
      <c r="I144" t="inlineStr"/>
    </row>
    <row r="145">
      <c r="A145" t="inlineStr"/>
      <c r="B145" t="inlineStr"/>
      <c r="C145" t="inlineStr"/>
      <c r="D145" t="inlineStr"/>
      <c r="E145" t="inlineStr"/>
      <c r="F145" t="inlineStr">
        <is>
          <t>Subject Teacher</t>
        </is>
      </c>
      <c r="G145" t="inlineStr"/>
      <c r="H145" t="inlineStr"/>
      <c r="I145" t="inlineStr"/>
    </row>
    <row r="146">
      <c r="A146" t="inlineStr"/>
      <c r="B146" t="inlineStr"/>
      <c r="C146" t="inlineStr"/>
      <c r="D146" t="inlineStr"/>
      <c r="E146" t="inlineStr"/>
      <c r="F146" t="inlineStr">
        <is>
          <t>Subject Teacher</t>
        </is>
      </c>
      <c r="G146" t="inlineStr"/>
      <c r="H146" t="inlineStr"/>
      <c r="I146" t="inlineStr"/>
    </row>
    <row r="147">
      <c r="A147" t="inlineStr"/>
      <c r="B147" t="inlineStr"/>
      <c r="C147" t="inlineStr"/>
      <c r="D147" t="inlineStr"/>
      <c r="E147" t="inlineStr"/>
      <c r="F147" t="inlineStr">
        <is>
          <t>Subject Teacher</t>
        </is>
      </c>
      <c r="G147" t="inlineStr"/>
      <c r="H147" t="inlineStr"/>
      <c r="I147" t="inlineStr"/>
    </row>
    <row r="148">
      <c r="A148" t="inlineStr"/>
      <c r="B148" t="inlineStr"/>
      <c r="C148" t="inlineStr"/>
      <c r="D148" t="inlineStr"/>
      <c r="E148" t="inlineStr"/>
      <c r="F148" t="inlineStr">
        <is>
          <t>Subject Teacher</t>
        </is>
      </c>
      <c r="G148" t="inlineStr"/>
      <c r="H148" t="inlineStr"/>
      <c r="I148" t="inlineStr"/>
    </row>
    <row r="149">
      <c r="A149" t="inlineStr"/>
      <c r="B149" t="inlineStr"/>
      <c r="C149" t="inlineStr"/>
      <c r="D149" t="inlineStr"/>
      <c r="E149" t="inlineStr"/>
      <c r="F149" t="inlineStr">
        <is>
          <t>Subject Teacher</t>
        </is>
      </c>
      <c r="G149" t="inlineStr"/>
      <c r="H149" t="inlineStr"/>
      <c r="I149" t="inlineStr"/>
    </row>
    <row r="150">
      <c r="A150" t="inlineStr"/>
      <c r="B150" t="inlineStr"/>
      <c r="C150" t="inlineStr"/>
      <c r="D150" t="inlineStr"/>
      <c r="E150" t="inlineStr"/>
      <c r="F150" t="inlineStr">
        <is>
          <t>Subject Teacher</t>
        </is>
      </c>
      <c r="G150" t="inlineStr"/>
      <c r="H150" t="inlineStr"/>
      <c r="I150" t="inlineStr"/>
    </row>
    <row r="151">
      <c r="A151" t="inlineStr"/>
      <c r="B151" t="inlineStr"/>
      <c r="C151" t="inlineStr"/>
      <c r="D151" t="inlineStr"/>
      <c r="E151" t="inlineStr"/>
      <c r="F151" t="inlineStr">
        <is>
          <t>Subject Teacher</t>
        </is>
      </c>
      <c r="G151" t="inlineStr"/>
      <c r="H151" t="inlineStr"/>
      <c r="I151" t="inlineStr"/>
    </row>
    <row r="152">
      <c r="A152" t="inlineStr"/>
      <c r="B152" t="inlineStr"/>
      <c r="C152" t="inlineStr"/>
      <c r="D152" t="inlineStr"/>
      <c r="E152" t="inlineStr"/>
      <c r="F152" t="inlineStr">
        <is>
          <t>Subject Teacher</t>
        </is>
      </c>
      <c r="G152" t="inlineStr"/>
      <c r="H152" t="inlineStr"/>
      <c r="I152" t="inlineStr"/>
    </row>
    <row r="153">
      <c r="A153" t="inlineStr"/>
      <c r="B153" t="inlineStr"/>
      <c r="C153" t="inlineStr"/>
      <c r="D153" t="inlineStr"/>
      <c r="E153" t="inlineStr"/>
      <c r="F153" t="inlineStr">
        <is>
          <t>Subject Teacher</t>
        </is>
      </c>
      <c r="G153" t="inlineStr"/>
      <c r="H153" t="inlineStr"/>
      <c r="I153" t="inlineStr"/>
    </row>
    <row r="154">
      <c r="A154" t="inlineStr"/>
      <c r="B154" t="inlineStr"/>
      <c r="C154" t="inlineStr"/>
      <c r="D154" t="inlineStr"/>
      <c r="E154" t="inlineStr"/>
      <c r="F154" t="inlineStr">
        <is>
          <t>Subject Teacher</t>
        </is>
      </c>
      <c r="G154" t="inlineStr"/>
      <c r="H154" t="inlineStr"/>
      <c r="I154" t="inlineStr"/>
    </row>
    <row r="155">
      <c r="A155" t="inlineStr"/>
      <c r="B155" t="inlineStr"/>
      <c r="C155" t="inlineStr"/>
      <c r="D155" t="inlineStr"/>
      <c r="E155" t="inlineStr"/>
      <c r="F155" t="inlineStr">
        <is>
          <t>Subject Teacher</t>
        </is>
      </c>
      <c r="G155" t="inlineStr"/>
      <c r="H155" t="inlineStr"/>
      <c r="I155" t="inlineStr"/>
    </row>
    <row r="156">
      <c r="A156" t="inlineStr"/>
      <c r="B156" t="inlineStr"/>
      <c r="C156" t="inlineStr"/>
      <c r="D156" t="inlineStr"/>
      <c r="E156" t="inlineStr"/>
      <c r="F156" t="inlineStr">
        <is>
          <t>Subject Teacher</t>
        </is>
      </c>
      <c r="G156" t="inlineStr"/>
      <c r="H156" t="inlineStr"/>
      <c r="I156" t="inlineStr"/>
    </row>
    <row r="157">
      <c r="A157" t="inlineStr"/>
      <c r="B157" t="inlineStr"/>
      <c r="C157" t="inlineStr"/>
      <c r="D157" t="inlineStr"/>
      <c r="E157" t="inlineStr"/>
      <c r="F157" t="inlineStr">
        <is>
          <t>Subject Teacher</t>
        </is>
      </c>
      <c r="G157" t="inlineStr"/>
      <c r="H157" t="inlineStr"/>
      <c r="I157" t="inlineStr"/>
    </row>
    <row r="158">
      <c r="A158" t="inlineStr"/>
      <c r="B158" t="inlineStr"/>
      <c r="C158" t="inlineStr"/>
      <c r="D158" t="inlineStr"/>
      <c r="E158" t="inlineStr"/>
      <c r="F158" t="inlineStr">
        <is>
          <t>Subject Teacher</t>
        </is>
      </c>
      <c r="G158" t="inlineStr"/>
      <c r="H158" t="inlineStr"/>
      <c r="I158" t="inlineStr"/>
    </row>
    <row r="159">
      <c r="A159" t="inlineStr"/>
      <c r="B159" t="inlineStr"/>
      <c r="C159" t="inlineStr"/>
      <c r="D159" t="inlineStr"/>
      <c r="E159" t="inlineStr"/>
      <c r="F159" t="inlineStr">
        <is>
          <t>Subject Teacher</t>
        </is>
      </c>
      <c r="G159" t="inlineStr"/>
      <c r="H159" t="inlineStr"/>
      <c r="I159" t="inlineStr"/>
    </row>
    <row r="160">
      <c r="A160" t="inlineStr"/>
      <c r="B160" t="inlineStr"/>
      <c r="C160" t="inlineStr"/>
      <c r="D160" t="inlineStr"/>
      <c r="E160" t="inlineStr"/>
      <c r="F160" t="inlineStr">
        <is>
          <t>Subject Teacher</t>
        </is>
      </c>
      <c r="G160" t="inlineStr"/>
      <c r="H160" t="inlineStr"/>
      <c r="I160" t="inlineStr"/>
    </row>
    <row r="161">
      <c r="A161" t="inlineStr"/>
      <c r="B161" t="inlineStr"/>
      <c r="C161" t="inlineStr"/>
      <c r="D161" t="inlineStr"/>
      <c r="E161" t="inlineStr"/>
      <c r="F161" t="inlineStr">
        <is>
          <t>Subject Teacher</t>
        </is>
      </c>
      <c r="G161" t="inlineStr"/>
      <c r="H161" t="inlineStr"/>
      <c r="I161" t="inlineStr"/>
    </row>
    <row r="162">
      <c r="A162" t="inlineStr"/>
      <c r="B162" t="inlineStr"/>
      <c r="C162" t="inlineStr"/>
      <c r="D162" t="inlineStr"/>
      <c r="E162" t="inlineStr"/>
      <c r="F162" t="inlineStr">
        <is>
          <t>Subject Teacher</t>
        </is>
      </c>
      <c r="G162" t="inlineStr"/>
      <c r="H162" t="inlineStr"/>
      <c r="I162" t="inlineStr"/>
    </row>
    <row r="163">
      <c r="A163" t="inlineStr"/>
      <c r="B163" t="inlineStr"/>
      <c r="C163" t="inlineStr"/>
      <c r="D163" t="inlineStr"/>
      <c r="E163" t="inlineStr"/>
      <c r="F163" t="inlineStr">
        <is>
          <t>Subject Teacher</t>
        </is>
      </c>
      <c r="G163" t="inlineStr"/>
      <c r="H163" t="inlineStr"/>
      <c r="I163" t="inlineStr"/>
    </row>
    <row r="164">
      <c r="A164" t="inlineStr"/>
      <c r="B164" t="inlineStr"/>
      <c r="C164" t="inlineStr"/>
      <c r="D164" t="inlineStr"/>
      <c r="E164" t="inlineStr"/>
      <c r="F164" t="inlineStr">
        <is>
          <t>Subject Teacher</t>
        </is>
      </c>
      <c r="G164" t="inlineStr"/>
      <c r="H164" t="inlineStr"/>
      <c r="I164" t="inlineStr"/>
    </row>
    <row r="165">
      <c r="A165" t="inlineStr"/>
      <c r="B165" t="inlineStr"/>
      <c r="C165" t="inlineStr"/>
      <c r="D165" t="inlineStr"/>
      <c r="E165" t="inlineStr"/>
      <c r="F165" t="inlineStr">
        <is>
          <t>Subject Teacher</t>
        </is>
      </c>
      <c r="G165" t="inlineStr"/>
      <c r="H165" t="inlineStr"/>
      <c r="I165" t="inlineStr"/>
    </row>
    <row r="166">
      <c r="A166" t="inlineStr"/>
      <c r="B166" t="inlineStr"/>
      <c r="C166" t="inlineStr"/>
      <c r="D166" t="inlineStr"/>
      <c r="E166" t="inlineStr"/>
      <c r="F166" t="inlineStr">
        <is>
          <t>Subject Teacher</t>
        </is>
      </c>
      <c r="G166" t="inlineStr"/>
      <c r="H166" t="inlineStr"/>
      <c r="I166" t="inlineStr"/>
    </row>
    <row r="167">
      <c r="A167" t="inlineStr"/>
      <c r="B167" t="inlineStr"/>
      <c r="C167" t="inlineStr"/>
      <c r="D167" t="inlineStr"/>
      <c r="E167" t="inlineStr"/>
      <c r="F167" t="inlineStr">
        <is>
          <t>Subject Teacher</t>
        </is>
      </c>
      <c r="G167" t="inlineStr"/>
      <c r="H167" t="inlineStr"/>
      <c r="I167" t="inlineStr"/>
    </row>
    <row r="168">
      <c r="A168" t="inlineStr"/>
      <c r="B168" t="inlineStr"/>
      <c r="C168" t="inlineStr"/>
      <c r="D168" t="inlineStr"/>
      <c r="E168" t="inlineStr"/>
      <c r="F168" t="inlineStr">
        <is>
          <t>Subject Teacher</t>
        </is>
      </c>
      <c r="G168" t="inlineStr"/>
      <c r="H168" t="inlineStr"/>
      <c r="I168" t="inlineStr"/>
    </row>
    <row r="169">
      <c r="A169" t="inlineStr"/>
      <c r="B169" t="inlineStr"/>
      <c r="C169" t="inlineStr"/>
      <c r="D169" t="inlineStr"/>
      <c r="E169" t="inlineStr"/>
      <c r="F169" t="inlineStr">
        <is>
          <t>Subject Teacher</t>
        </is>
      </c>
      <c r="G169" t="inlineStr"/>
      <c r="H169" t="inlineStr"/>
      <c r="I169" t="inlineStr"/>
    </row>
    <row r="170">
      <c r="A170" t="inlineStr"/>
      <c r="B170" t="inlineStr"/>
      <c r="C170" t="inlineStr"/>
      <c r="D170" t="inlineStr"/>
      <c r="E170" t="inlineStr"/>
      <c r="F170" t="inlineStr">
        <is>
          <t>Subject Teacher</t>
        </is>
      </c>
      <c r="G170" t="inlineStr"/>
      <c r="H170" t="inlineStr"/>
      <c r="I170" t="inlineStr"/>
    </row>
    <row r="171">
      <c r="A171" t="inlineStr"/>
      <c r="B171" t="inlineStr"/>
      <c r="C171" t="inlineStr"/>
      <c r="D171" t="inlineStr"/>
      <c r="E171" t="inlineStr"/>
      <c r="F171" t="inlineStr">
        <is>
          <t>Subject Teacher</t>
        </is>
      </c>
      <c r="G171" t="inlineStr"/>
      <c r="H171" t="inlineStr"/>
      <c r="I171" t="inlineStr"/>
    </row>
    <row r="172">
      <c r="A172" t="inlineStr"/>
      <c r="B172" t="inlineStr"/>
      <c r="C172" t="inlineStr"/>
      <c r="D172" t="inlineStr"/>
      <c r="E172" t="inlineStr"/>
      <c r="F172" t="inlineStr">
        <is>
          <t>Subject Teacher</t>
        </is>
      </c>
      <c r="G172" t="inlineStr"/>
      <c r="H172" t="inlineStr"/>
      <c r="I172" t="inlineStr"/>
    </row>
    <row r="173">
      <c r="A173" t="inlineStr"/>
      <c r="B173" t="inlineStr"/>
      <c r="C173" t="inlineStr"/>
      <c r="D173" t="inlineStr"/>
      <c r="E173" t="inlineStr"/>
      <c r="F173" t="inlineStr">
        <is>
          <t>Subject Teacher</t>
        </is>
      </c>
      <c r="G173" t="inlineStr"/>
      <c r="H173" t="inlineStr"/>
      <c r="I173" t="inlineStr"/>
    </row>
    <row r="174">
      <c r="A174" t="inlineStr"/>
      <c r="B174" t="inlineStr"/>
      <c r="C174" t="inlineStr"/>
      <c r="D174" t="inlineStr"/>
      <c r="E174" t="inlineStr"/>
      <c r="F174" t="inlineStr">
        <is>
          <t>Subject Teacher</t>
        </is>
      </c>
      <c r="G174" t="inlineStr"/>
      <c r="H174" t="inlineStr"/>
      <c r="I174" t="inlineStr"/>
    </row>
    <row r="175">
      <c r="A175" t="inlineStr"/>
      <c r="B175" t="inlineStr"/>
      <c r="C175" t="inlineStr"/>
      <c r="D175" t="inlineStr"/>
      <c r="E175" t="inlineStr"/>
      <c r="F175" t="inlineStr">
        <is>
          <t>Subject Teacher</t>
        </is>
      </c>
      <c r="G175" t="inlineStr"/>
      <c r="H175" t="inlineStr"/>
      <c r="I175" t="inlineStr"/>
    </row>
    <row r="176">
      <c r="A176" t="inlineStr"/>
      <c r="B176" t="inlineStr"/>
      <c r="C176" t="inlineStr"/>
      <c r="D176" t="inlineStr"/>
      <c r="E176" t="inlineStr"/>
      <c r="F176" t="inlineStr">
        <is>
          <t>Subject Teacher</t>
        </is>
      </c>
      <c r="G176" t="inlineStr"/>
      <c r="H176" t="inlineStr"/>
      <c r="I176" t="inlineStr"/>
    </row>
    <row r="177">
      <c r="A177" t="inlineStr"/>
      <c r="B177" t="inlineStr"/>
      <c r="C177" t="inlineStr"/>
      <c r="D177" t="inlineStr"/>
      <c r="E177" t="inlineStr"/>
      <c r="F177" t="inlineStr">
        <is>
          <t>Subject Teacher</t>
        </is>
      </c>
      <c r="G177" t="inlineStr"/>
      <c r="H177" t="inlineStr"/>
      <c r="I177" t="inlineStr"/>
    </row>
    <row r="178">
      <c r="A178" t="inlineStr"/>
      <c r="B178" t="inlineStr"/>
      <c r="C178" t="inlineStr"/>
      <c r="D178" t="inlineStr"/>
      <c r="E178" t="inlineStr"/>
      <c r="F178" t="inlineStr">
        <is>
          <t>Subject Teacher</t>
        </is>
      </c>
      <c r="G178" t="inlineStr"/>
      <c r="H178" t="inlineStr"/>
      <c r="I178" t="inlineStr"/>
    </row>
    <row r="179">
      <c r="A179" t="inlineStr"/>
      <c r="B179" t="inlineStr"/>
      <c r="C179" t="inlineStr"/>
      <c r="D179" t="inlineStr"/>
      <c r="E179" t="inlineStr"/>
      <c r="F179" t="inlineStr">
        <is>
          <t>Subject Teacher</t>
        </is>
      </c>
      <c r="G179" t="inlineStr"/>
      <c r="H179" t="inlineStr"/>
      <c r="I179" t="inlineStr"/>
    </row>
    <row r="180">
      <c r="A180" t="inlineStr"/>
      <c r="B180" t="inlineStr"/>
      <c r="C180" t="inlineStr"/>
      <c r="D180" t="inlineStr"/>
      <c r="E180" t="inlineStr"/>
      <c r="F180" t="inlineStr">
        <is>
          <t>Subject Teacher</t>
        </is>
      </c>
      <c r="G180" t="inlineStr"/>
      <c r="H180" t="inlineStr"/>
      <c r="I180" t="inlineStr"/>
    </row>
    <row r="181">
      <c r="A181" t="inlineStr"/>
      <c r="B181" t="inlineStr"/>
      <c r="C181" t="inlineStr"/>
      <c r="D181" t="inlineStr"/>
      <c r="E181" t="inlineStr"/>
      <c r="F181" t="inlineStr">
        <is>
          <t>Subject Teacher</t>
        </is>
      </c>
      <c r="G181" t="inlineStr"/>
      <c r="H181" t="inlineStr"/>
      <c r="I181" t="inlineStr"/>
    </row>
    <row r="182">
      <c r="A182" t="inlineStr"/>
      <c r="B182" t="inlineStr"/>
      <c r="C182" t="inlineStr"/>
      <c r="D182" t="inlineStr"/>
      <c r="E182" t="inlineStr"/>
      <c r="F182" t="inlineStr">
        <is>
          <t>Subject Teacher</t>
        </is>
      </c>
      <c r="G182" t="inlineStr"/>
      <c r="H182" t="inlineStr"/>
      <c r="I182" t="inlineStr"/>
    </row>
    <row r="183">
      <c r="A183" t="inlineStr"/>
      <c r="B183" t="inlineStr"/>
      <c r="C183" t="inlineStr"/>
      <c r="D183" t="inlineStr"/>
      <c r="E183" t="inlineStr"/>
      <c r="F183" t="inlineStr">
        <is>
          <t>Subject Teacher</t>
        </is>
      </c>
      <c r="G183" t="inlineStr"/>
      <c r="H183" t="inlineStr"/>
      <c r="I183" t="inlineStr"/>
    </row>
    <row r="184">
      <c r="A184" t="inlineStr"/>
      <c r="B184" t="inlineStr"/>
      <c r="C184" t="inlineStr"/>
      <c r="D184" t="inlineStr"/>
      <c r="E184" t="inlineStr"/>
      <c r="F184" t="inlineStr">
        <is>
          <t>Subject Teacher</t>
        </is>
      </c>
      <c r="G184" t="inlineStr"/>
      <c r="H184" t="inlineStr"/>
      <c r="I184" t="inlineStr"/>
    </row>
    <row r="185">
      <c r="A185" t="inlineStr"/>
      <c r="B185" t="inlineStr"/>
      <c r="C185" t="inlineStr"/>
      <c r="D185" t="inlineStr"/>
      <c r="E185" t="inlineStr"/>
      <c r="F185" t="inlineStr">
        <is>
          <t>Subject Teacher</t>
        </is>
      </c>
      <c r="G185" t="inlineStr"/>
      <c r="H185" t="inlineStr"/>
      <c r="I185" t="inlineStr"/>
    </row>
    <row r="186">
      <c r="A186" t="inlineStr"/>
      <c r="B186" t="inlineStr"/>
      <c r="C186" t="inlineStr"/>
      <c r="D186" t="inlineStr"/>
      <c r="E186" t="inlineStr"/>
      <c r="F186" t="inlineStr">
        <is>
          <t>Subject Teacher</t>
        </is>
      </c>
      <c r="G186" t="inlineStr"/>
      <c r="H186" t="inlineStr"/>
      <c r="I186" t="inlineStr"/>
    </row>
    <row r="187">
      <c r="A187" t="inlineStr"/>
      <c r="B187" t="inlineStr"/>
      <c r="C187" t="inlineStr"/>
      <c r="D187" t="inlineStr"/>
      <c r="E187" t="inlineStr"/>
      <c r="F187" t="inlineStr">
        <is>
          <t>Subject Teacher</t>
        </is>
      </c>
      <c r="G187" t="inlineStr"/>
      <c r="H187" t="inlineStr"/>
      <c r="I187" t="inlineStr"/>
    </row>
    <row r="188">
      <c r="A188" t="inlineStr"/>
      <c r="B188" t="inlineStr"/>
      <c r="C188" t="inlineStr"/>
      <c r="D188" t="inlineStr"/>
      <c r="E188" t="inlineStr"/>
      <c r="F188" t="inlineStr">
        <is>
          <t>Subject Teacher</t>
        </is>
      </c>
      <c r="G188" t="inlineStr"/>
      <c r="H188" t="inlineStr"/>
      <c r="I188" t="inlineStr"/>
    </row>
    <row r="189">
      <c r="A189" t="inlineStr"/>
      <c r="B189" t="inlineStr"/>
      <c r="C189" t="inlineStr"/>
      <c r="D189" t="inlineStr"/>
      <c r="E189" t="inlineStr"/>
      <c r="F189" t="inlineStr">
        <is>
          <t>Subject Teacher</t>
        </is>
      </c>
      <c r="G189" t="inlineStr"/>
      <c r="H189" t="inlineStr"/>
      <c r="I189" t="inlineStr"/>
    </row>
    <row r="190">
      <c r="A190" t="inlineStr"/>
      <c r="B190" t="inlineStr"/>
      <c r="C190" t="inlineStr"/>
      <c r="D190" t="inlineStr"/>
      <c r="E190" t="inlineStr"/>
      <c r="F190" t="inlineStr">
        <is>
          <t>Subject Teacher</t>
        </is>
      </c>
      <c r="G190" t="inlineStr"/>
      <c r="H190" t="inlineStr"/>
      <c r="I190" t="inlineStr"/>
    </row>
    <row r="191">
      <c r="A191" t="inlineStr"/>
      <c r="B191" t="inlineStr"/>
      <c r="C191" t="inlineStr"/>
      <c r="D191" t="inlineStr"/>
      <c r="E191" t="inlineStr"/>
      <c r="F191" t="inlineStr">
        <is>
          <t>Subject Teacher</t>
        </is>
      </c>
      <c r="G191" t="inlineStr"/>
      <c r="H191" t="inlineStr"/>
      <c r="I191" t="inlineStr"/>
    </row>
    <row r="192">
      <c r="A192" t="inlineStr"/>
      <c r="B192" t="inlineStr"/>
      <c r="C192" t="inlineStr"/>
      <c r="D192" t="inlineStr"/>
      <c r="E192" t="inlineStr"/>
      <c r="F192" t="inlineStr">
        <is>
          <t>Subject Teacher</t>
        </is>
      </c>
      <c r="G192" t="inlineStr"/>
      <c r="H192" t="inlineStr"/>
      <c r="I192" t="inlineStr"/>
    </row>
    <row r="193">
      <c r="A193" t="inlineStr"/>
      <c r="B193" t="inlineStr"/>
      <c r="C193" t="inlineStr"/>
      <c r="D193" t="inlineStr"/>
      <c r="E193" t="inlineStr"/>
      <c r="F193" t="inlineStr">
        <is>
          <t>Subject Teacher</t>
        </is>
      </c>
      <c r="G193" t="inlineStr"/>
      <c r="H193" t="inlineStr"/>
      <c r="I193" t="inlineStr"/>
    </row>
    <row r="194">
      <c r="A194" t="inlineStr"/>
      <c r="B194" t="inlineStr"/>
      <c r="C194" t="inlineStr"/>
      <c r="D194" t="inlineStr"/>
      <c r="E194" t="inlineStr"/>
      <c r="F194" t="inlineStr">
        <is>
          <t>Subject Teacher</t>
        </is>
      </c>
      <c r="G194" t="inlineStr"/>
      <c r="H194" t="inlineStr"/>
      <c r="I194" t="inlineStr"/>
    </row>
    <row r="195">
      <c r="A195" t="inlineStr"/>
      <c r="B195" t="inlineStr"/>
      <c r="C195" t="inlineStr"/>
      <c r="D195" t="inlineStr"/>
      <c r="E195" t="inlineStr"/>
      <c r="F195" t="inlineStr">
        <is>
          <t>Subject Teacher</t>
        </is>
      </c>
      <c r="G195" t="inlineStr"/>
      <c r="H195" t="inlineStr"/>
      <c r="I195" t="inlineStr"/>
    </row>
    <row r="196">
      <c r="A196" t="inlineStr"/>
      <c r="B196" t="inlineStr"/>
      <c r="C196" t="inlineStr"/>
      <c r="D196" t="inlineStr"/>
      <c r="E196" t="inlineStr"/>
      <c r="F196" t="inlineStr">
        <is>
          <t>Subject Teacher</t>
        </is>
      </c>
      <c r="G196" t="inlineStr"/>
      <c r="H196" t="inlineStr"/>
      <c r="I196" t="inlineStr"/>
    </row>
    <row r="197">
      <c r="A197" t="inlineStr"/>
      <c r="B197" t="inlineStr"/>
      <c r="C197" t="inlineStr"/>
      <c r="D197" t="inlineStr"/>
      <c r="E197" t="inlineStr"/>
      <c r="F197" t="inlineStr">
        <is>
          <t>Subject Teacher</t>
        </is>
      </c>
      <c r="G197" t="inlineStr"/>
      <c r="H197" t="inlineStr"/>
      <c r="I197" t="inlineStr"/>
    </row>
    <row r="198">
      <c r="A198" t="inlineStr"/>
      <c r="B198" t="inlineStr"/>
      <c r="C198" t="inlineStr"/>
      <c r="D198" t="inlineStr"/>
      <c r="E198" t="inlineStr"/>
      <c r="F198" t="inlineStr">
        <is>
          <t>Subject Teacher</t>
        </is>
      </c>
      <c r="G198" t="inlineStr"/>
      <c r="H198" t="inlineStr"/>
      <c r="I198" t="inlineStr"/>
    </row>
    <row r="199">
      <c r="A199" t="inlineStr"/>
      <c r="B199" t="inlineStr"/>
      <c r="C199" t="inlineStr"/>
      <c r="D199" t="inlineStr"/>
      <c r="E199" t="inlineStr"/>
      <c r="F199" t="inlineStr">
        <is>
          <t>Subject Teacher</t>
        </is>
      </c>
      <c r="G199" t="inlineStr"/>
      <c r="H199" t="inlineStr"/>
      <c r="I199" t="inlineStr"/>
    </row>
    <row r="200">
      <c r="A200" t="inlineStr"/>
      <c r="B200" t="inlineStr"/>
      <c r="C200" t="inlineStr"/>
      <c r="D200" t="inlineStr"/>
      <c r="E200" t="inlineStr"/>
      <c r="F200" t="inlineStr">
        <is>
          <t>Subject Teacher</t>
        </is>
      </c>
      <c r="G200" t="inlineStr"/>
      <c r="H200" t="inlineStr"/>
      <c r="I200" t="inlineStr"/>
    </row>
    <row r="201">
      <c r="A201" t="inlineStr"/>
      <c r="B201" t="inlineStr"/>
      <c r="C201" t="inlineStr"/>
      <c r="D201" t="inlineStr"/>
      <c r="E201" t="inlineStr"/>
      <c r="F201" t="inlineStr">
        <is>
          <t>Subject Teacher</t>
        </is>
      </c>
      <c r="G201" t="inlineStr"/>
      <c r="H201" t="inlineStr"/>
      <c r="I201" t="inlineStr"/>
    </row>
    <row r="202">
      <c r="A202" t="inlineStr"/>
      <c r="B202" t="inlineStr"/>
      <c r="C202" t="inlineStr"/>
      <c r="D202" t="inlineStr"/>
      <c r="E202" t="inlineStr"/>
      <c r="F202" t="inlineStr">
        <is>
          <t>Subject Teacher</t>
        </is>
      </c>
      <c r="G202" t="inlineStr"/>
      <c r="H202" t="inlineStr"/>
      <c r="I202" t="inlineStr"/>
    </row>
    <row r="203">
      <c r="A203" t="inlineStr"/>
      <c r="B203" t="inlineStr"/>
      <c r="C203" t="inlineStr"/>
      <c r="D203" t="inlineStr"/>
      <c r="E203" t="inlineStr"/>
      <c r="F203" t="inlineStr">
        <is>
          <t>Subject Teacher</t>
        </is>
      </c>
      <c r="G203" t="inlineStr"/>
      <c r="H203" t="inlineStr"/>
      <c r="I203" t="inlineStr"/>
    </row>
    <row r="204">
      <c r="A204" t="inlineStr"/>
      <c r="B204" t="inlineStr"/>
      <c r="C204" t="inlineStr"/>
      <c r="D204" t="inlineStr"/>
      <c r="E204" t="inlineStr"/>
      <c r="F204" t="inlineStr">
        <is>
          <t>Subject Teacher</t>
        </is>
      </c>
      <c r="G204" t="inlineStr"/>
      <c r="H204" t="inlineStr"/>
      <c r="I204" t="inlineStr"/>
    </row>
    <row r="205">
      <c r="A205" t="inlineStr"/>
      <c r="B205" t="inlineStr"/>
      <c r="C205" t="inlineStr"/>
      <c r="D205" t="inlineStr"/>
      <c r="E205" t="inlineStr"/>
      <c r="F205" t="inlineStr">
        <is>
          <t>Subject Teacher</t>
        </is>
      </c>
      <c r="G205" t="inlineStr"/>
      <c r="H205" t="inlineStr"/>
      <c r="I205" t="inlineStr"/>
    </row>
    <row r="206">
      <c r="A206" t="inlineStr"/>
      <c r="B206" t="inlineStr"/>
      <c r="C206" t="inlineStr"/>
      <c r="D206" t="inlineStr"/>
      <c r="E206" t="inlineStr"/>
      <c r="F206" t="inlineStr">
        <is>
          <t>Subject Teacher</t>
        </is>
      </c>
      <c r="G206" t="inlineStr"/>
      <c r="H206" t="inlineStr"/>
      <c r="I206" t="inlineStr"/>
    </row>
    <row r="207">
      <c r="A207" t="inlineStr"/>
      <c r="B207" t="inlineStr"/>
      <c r="C207" t="inlineStr"/>
      <c r="D207" t="inlineStr"/>
      <c r="E207" t="inlineStr"/>
      <c r="F207" t="inlineStr">
        <is>
          <t>Subject Teacher</t>
        </is>
      </c>
      <c r="G207" t="inlineStr"/>
      <c r="H207" t="inlineStr"/>
      <c r="I207" t="inlineStr"/>
    </row>
    <row r="208">
      <c r="A208" t="inlineStr"/>
      <c r="B208" t="inlineStr"/>
      <c r="C208" t="inlineStr"/>
      <c r="D208" t="inlineStr"/>
      <c r="E208" t="inlineStr"/>
      <c r="F208" t="inlineStr">
        <is>
          <t>Subject Teacher</t>
        </is>
      </c>
      <c r="G208" t="inlineStr"/>
      <c r="H208" t="inlineStr"/>
      <c r="I208" t="inlineStr"/>
    </row>
    <row r="209">
      <c r="A209" t="inlineStr"/>
      <c r="B209" t="inlineStr"/>
      <c r="C209" t="inlineStr"/>
      <c r="D209" t="inlineStr"/>
      <c r="E209" t="inlineStr"/>
      <c r="F209" t="inlineStr">
        <is>
          <t>Subject Teacher</t>
        </is>
      </c>
      <c r="G209" t="inlineStr"/>
      <c r="H209" t="inlineStr"/>
      <c r="I209" t="inlineStr"/>
    </row>
    <row r="210">
      <c r="A210" t="inlineStr"/>
      <c r="B210" t="inlineStr"/>
      <c r="C210" t="inlineStr"/>
      <c r="D210" t="inlineStr"/>
      <c r="E210" t="inlineStr"/>
      <c r="F210" t="inlineStr">
        <is>
          <t>Subject Teacher</t>
        </is>
      </c>
      <c r="G210" t="inlineStr"/>
      <c r="H210" t="inlineStr"/>
      <c r="I210" t="inlineStr"/>
    </row>
    <row r="211">
      <c r="A211" t="inlineStr"/>
      <c r="B211" t="inlineStr"/>
      <c r="C211" t="inlineStr"/>
      <c r="D211" t="inlineStr"/>
      <c r="E211" t="inlineStr"/>
      <c r="F211" t="inlineStr">
        <is>
          <t>Subject Teacher</t>
        </is>
      </c>
      <c r="G211" t="inlineStr"/>
      <c r="H211" t="inlineStr"/>
      <c r="I211" t="inlineStr"/>
    </row>
    <row r="212">
      <c r="A212" t="inlineStr"/>
      <c r="B212" t="inlineStr"/>
      <c r="C212" t="inlineStr"/>
      <c r="D212" t="inlineStr"/>
      <c r="E212" t="inlineStr"/>
      <c r="F212" t="inlineStr">
        <is>
          <t>Subject Teacher</t>
        </is>
      </c>
      <c r="G212" t="inlineStr"/>
      <c r="H212" t="inlineStr"/>
      <c r="I212" t="inlineStr"/>
    </row>
    <row r="213">
      <c r="A213" t="inlineStr"/>
      <c r="B213" t="inlineStr"/>
      <c r="C213" t="inlineStr"/>
      <c r="D213" t="inlineStr"/>
      <c r="E213" t="inlineStr"/>
      <c r="F213" t="inlineStr">
        <is>
          <t>Subject Teacher</t>
        </is>
      </c>
      <c r="G213" t="inlineStr"/>
      <c r="H213" t="inlineStr"/>
      <c r="I213" t="inlineStr"/>
    </row>
    <row r="214">
      <c r="A214" t="inlineStr"/>
      <c r="B214" t="inlineStr"/>
      <c r="C214" t="inlineStr"/>
      <c r="D214" t="inlineStr"/>
      <c r="E214" t="inlineStr"/>
      <c r="F214" t="inlineStr">
        <is>
          <t>Subject Teacher</t>
        </is>
      </c>
      <c r="G214" t="inlineStr"/>
      <c r="H214" t="inlineStr"/>
      <c r="I214" t="inlineStr"/>
    </row>
    <row r="215">
      <c r="A215" t="inlineStr"/>
      <c r="B215" t="inlineStr"/>
      <c r="C215" t="inlineStr"/>
      <c r="D215" t="inlineStr"/>
      <c r="E215" t="inlineStr"/>
      <c r="F215" t="inlineStr">
        <is>
          <t>Subject Teacher</t>
        </is>
      </c>
      <c r="G215" t="inlineStr"/>
      <c r="H215" t="inlineStr"/>
      <c r="I215" t="inlineStr"/>
    </row>
    <row r="216">
      <c r="A216" t="inlineStr"/>
      <c r="B216" t="inlineStr"/>
      <c r="C216" t="inlineStr"/>
      <c r="D216" t="inlineStr"/>
      <c r="E216" t="inlineStr"/>
      <c r="F216" t="inlineStr">
        <is>
          <t>Subject Teacher</t>
        </is>
      </c>
      <c r="G216" t="inlineStr"/>
      <c r="H216" t="inlineStr"/>
      <c r="I216" t="inlineStr"/>
    </row>
    <row r="217">
      <c r="A217" t="inlineStr"/>
      <c r="B217" t="inlineStr"/>
      <c r="C217" t="inlineStr"/>
      <c r="D217" t="inlineStr"/>
      <c r="E217" t="inlineStr"/>
      <c r="F217" t="inlineStr">
        <is>
          <t>Subject Teacher</t>
        </is>
      </c>
      <c r="G217" t="inlineStr"/>
      <c r="H217" t="inlineStr"/>
      <c r="I217" t="inlineStr"/>
    </row>
    <row r="218">
      <c r="A218" t="inlineStr"/>
      <c r="B218" t="inlineStr"/>
      <c r="C218" t="inlineStr"/>
      <c r="D218" t="inlineStr"/>
      <c r="E218" t="inlineStr"/>
      <c r="F218" t="inlineStr">
        <is>
          <t>Subject Teacher</t>
        </is>
      </c>
      <c r="G218" t="inlineStr"/>
      <c r="H218" t="inlineStr"/>
      <c r="I218" t="inlineStr"/>
    </row>
    <row r="219">
      <c r="A219" t="inlineStr"/>
      <c r="B219" t="inlineStr"/>
      <c r="C219" t="inlineStr"/>
      <c r="D219" t="inlineStr"/>
      <c r="E219" t="inlineStr"/>
      <c r="F219" t="inlineStr">
        <is>
          <t>Subject Teacher</t>
        </is>
      </c>
      <c r="G219" t="inlineStr"/>
      <c r="H219" t="inlineStr"/>
      <c r="I219" t="inlineStr"/>
    </row>
    <row r="220">
      <c r="A220" t="inlineStr"/>
      <c r="B220" t="inlineStr"/>
      <c r="C220" t="inlineStr"/>
      <c r="D220" t="inlineStr"/>
      <c r="E220" t="inlineStr"/>
      <c r="F220" t="inlineStr">
        <is>
          <t>Subject Teacher</t>
        </is>
      </c>
      <c r="G220" t="inlineStr"/>
      <c r="H220" t="inlineStr"/>
      <c r="I220" t="inlineStr"/>
    </row>
    <row r="221">
      <c r="A221" t="inlineStr"/>
      <c r="B221" t="inlineStr"/>
      <c r="C221" t="inlineStr"/>
      <c r="D221" t="inlineStr"/>
      <c r="E221" t="inlineStr"/>
      <c r="F221" t="inlineStr">
        <is>
          <t>Subject Teacher</t>
        </is>
      </c>
      <c r="G221" t="inlineStr"/>
      <c r="H221" t="inlineStr"/>
      <c r="I221" t="inlineStr"/>
    </row>
    <row r="222">
      <c r="A222" t="inlineStr"/>
      <c r="B222" t="inlineStr"/>
      <c r="C222" t="inlineStr"/>
      <c r="D222" t="inlineStr"/>
      <c r="E222" t="inlineStr"/>
      <c r="F222" t="inlineStr">
        <is>
          <t>Subject Teacher</t>
        </is>
      </c>
      <c r="G222" t="inlineStr"/>
      <c r="H222" t="inlineStr"/>
      <c r="I222" t="inlineStr"/>
    </row>
    <row r="223">
      <c r="A223" t="inlineStr"/>
      <c r="B223" t="inlineStr"/>
      <c r="C223" t="inlineStr"/>
      <c r="D223" t="inlineStr"/>
      <c r="E223" t="inlineStr"/>
      <c r="F223" t="inlineStr">
        <is>
          <t>Subject Teacher</t>
        </is>
      </c>
      <c r="G223" t="inlineStr"/>
      <c r="H223" t="inlineStr"/>
      <c r="I223" t="inlineStr"/>
    </row>
    <row r="224">
      <c r="A224" t="inlineStr"/>
      <c r="B224" t="inlineStr"/>
      <c r="C224" t="inlineStr"/>
      <c r="D224" t="inlineStr"/>
      <c r="E224" t="inlineStr"/>
      <c r="F224" t="inlineStr">
        <is>
          <t>Subject Teacher</t>
        </is>
      </c>
      <c r="G224" t="inlineStr"/>
      <c r="H224" t="inlineStr"/>
      <c r="I224" t="inlineStr"/>
    </row>
    <row r="225">
      <c r="A225" t="inlineStr"/>
      <c r="B225" t="inlineStr"/>
      <c r="C225" t="inlineStr"/>
      <c r="D225" t="inlineStr"/>
      <c r="E225" t="inlineStr"/>
      <c r="F225" t="inlineStr">
        <is>
          <t>Subject Teacher</t>
        </is>
      </c>
      <c r="G225" t="inlineStr"/>
      <c r="H225" t="inlineStr"/>
      <c r="I225" t="inlineStr"/>
    </row>
    <row r="226">
      <c r="A226" t="inlineStr"/>
      <c r="B226" t="inlineStr"/>
      <c r="C226" t="inlineStr"/>
      <c r="D226" t="inlineStr"/>
      <c r="E226" t="inlineStr"/>
      <c r="F226" t="inlineStr">
        <is>
          <t>Subject Teacher</t>
        </is>
      </c>
      <c r="G226" t="inlineStr"/>
      <c r="H226" t="inlineStr"/>
      <c r="I226" t="inlineStr"/>
    </row>
    <row r="227">
      <c r="A227" t="inlineStr"/>
      <c r="B227" t="inlineStr"/>
      <c r="C227" t="inlineStr"/>
      <c r="D227" t="inlineStr"/>
      <c r="E227" t="inlineStr"/>
      <c r="F227" t="inlineStr">
        <is>
          <t>Subject Teacher</t>
        </is>
      </c>
      <c r="G227" t="inlineStr"/>
      <c r="H227" t="inlineStr"/>
      <c r="I227" t="inlineStr"/>
    </row>
    <row r="228">
      <c r="A228" t="inlineStr"/>
      <c r="B228" t="inlineStr"/>
      <c r="C228" t="inlineStr"/>
      <c r="D228" t="inlineStr"/>
      <c r="E228" t="inlineStr"/>
      <c r="F228" t="inlineStr">
        <is>
          <t>Subject Teacher</t>
        </is>
      </c>
      <c r="G228" t="inlineStr"/>
      <c r="H228" t="inlineStr"/>
      <c r="I228" t="inlineStr"/>
    </row>
    <row r="229">
      <c r="A229" t="inlineStr"/>
      <c r="B229" t="inlineStr"/>
      <c r="C229" t="inlineStr"/>
      <c r="D229" t="inlineStr"/>
      <c r="E229" t="inlineStr"/>
      <c r="F229" t="inlineStr">
        <is>
          <t>Subject Teacher</t>
        </is>
      </c>
      <c r="G229" t="inlineStr"/>
      <c r="H229" t="inlineStr"/>
      <c r="I229" t="inlineStr"/>
    </row>
    <row r="230">
      <c r="A230" t="inlineStr"/>
      <c r="B230" t="inlineStr"/>
      <c r="C230" t="inlineStr"/>
      <c r="D230" t="inlineStr"/>
      <c r="E230" t="inlineStr"/>
      <c r="F230" t="inlineStr">
        <is>
          <t>Subject Teacher</t>
        </is>
      </c>
      <c r="G230" t="inlineStr"/>
      <c r="H230" t="inlineStr"/>
      <c r="I230" t="inlineStr"/>
    </row>
    <row r="231">
      <c r="A231" t="inlineStr"/>
      <c r="B231" t="inlineStr"/>
      <c r="C231" t="inlineStr"/>
      <c r="D231" t="inlineStr"/>
      <c r="E231" t="inlineStr"/>
      <c r="F231" t="inlineStr">
        <is>
          <t>Subject Teacher</t>
        </is>
      </c>
      <c r="G231" t="inlineStr"/>
      <c r="H231" t="inlineStr"/>
      <c r="I231" t="inlineStr"/>
    </row>
    <row r="232">
      <c r="A232" t="inlineStr"/>
      <c r="B232" t="inlineStr"/>
      <c r="C232" t="inlineStr"/>
      <c r="D232" t="inlineStr"/>
      <c r="E232" t="inlineStr"/>
      <c r="F232" t="inlineStr">
        <is>
          <t>Subject Teacher</t>
        </is>
      </c>
      <c r="G232" t="inlineStr"/>
      <c r="H232" t="inlineStr"/>
      <c r="I232" t="inlineStr"/>
    </row>
    <row r="233">
      <c r="A233" t="inlineStr"/>
      <c r="B233" t="inlineStr"/>
      <c r="C233" t="inlineStr"/>
      <c r="D233" t="inlineStr"/>
      <c r="E233" t="inlineStr"/>
      <c r="F233" t="inlineStr">
        <is>
          <t>Subject Teacher</t>
        </is>
      </c>
      <c r="G233" t="inlineStr"/>
      <c r="H233" t="inlineStr"/>
      <c r="I233" t="inlineStr"/>
    </row>
    <row r="234">
      <c r="A234" t="inlineStr"/>
      <c r="B234" t="inlineStr"/>
      <c r="C234" t="inlineStr"/>
      <c r="D234" t="inlineStr"/>
      <c r="E234" t="inlineStr"/>
      <c r="F234" t="inlineStr">
        <is>
          <t>Subject Teacher</t>
        </is>
      </c>
      <c r="G234" t="inlineStr"/>
      <c r="H234" t="inlineStr"/>
      <c r="I234" t="inlineStr"/>
    </row>
    <row r="235">
      <c r="A235" t="inlineStr"/>
      <c r="B235" t="inlineStr"/>
      <c r="C235" t="inlineStr"/>
      <c r="D235" t="inlineStr"/>
      <c r="E235" t="inlineStr"/>
      <c r="F235" t="inlineStr">
        <is>
          <t>Subject Teacher</t>
        </is>
      </c>
      <c r="G235" t="inlineStr"/>
      <c r="H235" t="inlineStr"/>
      <c r="I235" t="inlineStr"/>
    </row>
    <row r="236">
      <c r="A236" t="inlineStr"/>
      <c r="B236" t="inlineStr"/>
      <c r="C236" t="inlineStr"/>
      <c r="D236" t="inlineStr"/>
      <c r="E236" t="inlineStr"/>
      <c r="F236" t="inlineStr">
        <is>
          <t>Subject Teacher</t>
        </is>
      </c>
      <c r="G236" t="inlineStr"/>
      <c r="H236" t="inlineStr"/>
      <c r="I236" t="inlineStr"/>
    </row>
    <row r="237">
      <c r="A237" t="inlineStr"/>
      <c r="B237" t="inlineStr"/>
      <c r="C237" t="inlineStr"/>
      <c r="D237" t="inlineStr"/>
      <c r="E237" t="inlineStr"/>
      <c r="F237" t="inlineStr">
        <is>
          <t>Subject Teacher</t>
        </is>
      </c>
      <c r="G237" t="inlineStr"/>
      <c r="H237" t="inlineStr"/>
      <c r="I237" t="inlineStr"/>
    </row>
    <row r="238">
      <c r="A238" t="inlineStr"/>
      <c r="B238" t="inlineStr"/>
      <c r="C238" t="inlineStr"/>
      <c r="D238" t="inlineStr"/>
      <c r="E238" t="inlineStr"/>
      <c r="F238" t="inlineStr">
        <is>
          <t>Subject Teacher</t>
        </is>
      </c>
      <c r="G238" t="inlineStr"/>
      <c r="H238" t="inlineStr"/>
      <c r="I238" t="inlineStr"/>
    </row>
    <row r="239">
      <c r="A239" t="inlineStr"/>
      <c r="B239" t="inlineStr"/>
      <c r="C239" t="inlineStr"/>
      <c r="D239" t="inlineStr"/>
      <c r="E239" t="inlineStr"/>
      <c r="F239" t="inlineStr">
        <is>
          <t>Subject Teacher</t>
        </is>
      </c>
      <c r="G239" t="inlineStr"/>
      <c r="H239" t="inlineStr"/>
      <c r="I239" t="inlineStr"/>
    </row>
    <row r="240">
      <c r="A240" t="inlineStr"/>
      <c r="B240" t="inlineStr"/>
      <c r="C240" t="inlineStr"/>
      <c r="D240" t="inlineStr"/>
      <c r="E240" t="inlineStr"/>
      <c r="F240" t="inlineStr">
        <is>
          <t>Subject Teacher</t>
        </is>
      </c>
      <c r="G240" t="inlineStr"/>
      <c r="H240" t="inlineStr"/>
      <c r="I240" t="inlineStr"/>
    </row>
    <row r="241">
      <c r="A241" t="inlineStr"/>
      <c r="B241" t="inlineStr"/>
      <c r="C241" t="inlineStr"/>
      <c r="D241" t="inlineStr"/>
      <c r="E241" t="inlineStr"/>
      <c r="F241" t="inlineStr">
        <is>
          <t>Subject Teacher</t>
        </is>
      </c>
      <c r="G241" t="inlineStr"/>
      <c r="H241" t="inlineStr"/>
      <c r="I241" t="inlineStr"/>
    </row>
    <row r="242">
      <c r="A242" t="inlineStr"/>
      <c r="B242" t="inlineStr"/>
      <c r="C242" t="inlineStr"/>
      <c r="D242" t="inlineStr"/>
      <c r="E242" t="inlineStr"/>
      <c r="F242" t="inlineStr">
        <is>
          <t>Subject Teacher</t>
        </is>
      </c>
      <c r="G242" t="inlineStr"/>
      <c r="H242" t="inlineStr"/>
      <c r="I242" t="inlineStr"/>
    </row>
    <row r="243">
      <c r="A243" t="inlineStr"/>
      <c r="B243" t="inlineStr"/>
      <c r="C243" t="inlineStr"/>
      <c r="D243" t="inlineStr"/>
      <c r="E243" t="inlineStr"/>
      <c r="F243" t="inlineStr">
        <is>
          <t>Subject Teacher</t>
        </is>
      </c>
      <c r="G243" t="inlineStr"/>
      <c r="H243" t="inlineStr"/>
      <c r="I243" t="inlineStr"/>
    </row>
    <row r="244">
      <c r="A244" t="inlineStr"/>
      <c r="B244" t="inlineStr"/>
      <c r="C244" t="inlineStr"/>
      <c r="D244" t="inlineStr"/>
      <c r="E244" t="inlineStr"/>
      <c r="F244" t="inlineStr">
        <is>
          <t>Subject Teacher</t>
        </is>
      </c>
      <c r="G244" t="inlineStr"/>
      <c r="H244" t="inlineStr"/>
      <c r="I244" t="inlineStr"/>
    </row>
    <row r="245">
      <c r="A245" t="inlineStr"/>
      <c r="B245" t="inlineStr"/>
      <c r="C245" t="inlineStr"/>
      <c r="D245" t="inlineStr"/>
      <c r="E245" t="inlineStr"/>
      <c r="F245" t="inlineStr">
        <is>
          <t>Subject Teacher</t>
        </is>
      </c>
      <c r="G245" t="inlineStr"/>
      <c r="H245" t="inlineStr"/>
      <c r="I245" t="inlineStr"/>
    </row>
    <row r="246">
      <c r="A246" t="inlineStr"/>
      <c r="B246" t="inlineStr"/>
      <c r="C246" t="inlineStr"/>
      <c r="D246" t="inlineStr"/>
      <c r="E246" t="inlineStr"/>
      <c r="F246" t="inlineStr">
        <is>
          <t>Subject Teacher</t>
        </is>
      </c>
      <c r="G246" t="inlineStr"/>
      <c r="H246" t="inlineStr"/>
      <c r="I246" t="inlineStr"/>
    </row>
    <row r="247">
      <c r="A247" t="inlineStr"/>
      <c r="B247" t="inlineStr"/>
      <c r="C247" t="inlineStr"/>
      <c r="D247" t="inlineStr"/>
      <c r="E247" t="inlineStr"/>
      <c r="F247" t="inlineStr">
        <is>
          <t>Subject Teacher</t>
        </is>
      </c>
      <c r="G247" t="inlineStr"/>
      <c r="H247" t="inlineStr"/>
      <c r="I247" t="inlineStr"/>
    </row>
    <row r="248">
      <c r="A248" t="inlineStr"/>
      <c r="B248" t="inlineStr"/>
      <c r="C248" t="inlineStr"/>
      <c r="D248" t="inlineStr"/>
      <c r="E248" t="inlineStr"/>
      <c r="F248" t="inlineStr">
        <is>
          <t>Subject Teacher</t>
        </is>
      </c>
      <c r="G248" t="inlineStr"/>
      <c r="H248" t="inlineStr"/>
      <c r="I248" t="inlineStr"/>
    </row>
    <row r="249">
      <c r="A249" t="inlineStr"/>
      <c r="B249" t="inlineStr"/>
      <c r="C249" t="inlineStr"/>
      <c r="D249" t="inlineStr"/>
      <c r="E249" t="inlineStr"/>
      <c r="F249" t="inlineStr">
        <is>
          <t>Subject Teacher</t>
        </is>
      </c>
      <c r="G249" t="inlineStr"/>
      <c r="H249" t="inlineStr"/>
      <c r="I249" t="inlineStr"/>
    </row>
    <row r="250">
      <c r="A250" t="inlineStr"/>
      <c r="B250" t="inlineStr"/>
      <c r="C250" t="inlineStr"/>
      <c r="D250" t="inlineStr"/>
      <c r="E250" t="inlineStr"/>
      <c r="F250" t="inlineStr">
        <is>
          <t>Subject Teacher</t>
        </is>
      </c>
      <c r="G250" t="inlineStr"/>
      <c r="H250" t="inlineStr"/>
      <c r="I250" t="inlineStr"/>
    </row>
    <row r="251">
      <c r="A251" t="inlineStr"/>
      <c r="B251" t="inlineStr"/>
      <c r="C251" t="inlineStr"/>
      <c r="D251" t="inlineStr"/>
      <c r="E251" t="inlineStr"/>
      <c r="F251" t="inlineStr">
        <is>
          <t>Subject Teacher</t>
        </is>
      </c>
      <c r="G251" t="inlineStr"/>
      <c r="H251" t="inlineStr"/>
      <c r="I251" t="inlineStr"/>
    </row>
    <row r="252">
      <c r="A252" t="inlineStr"/>
      <c r="B252" t="inlineStr"/>
      <c r="C252" t="inlineStr"/>
      <c r="D252" t="inlineStr"/>
      <c r="E252" t="inlineStr"/>
      <c r="F252" t="inlineStr">
        <is>
          <t>Subject Teacher</t>
        </is>
      </c>
      <c r="G252" t="inlineStr"/>
      <c r="H252" t="inlineStr"/>
      <c r="I252" t="inlineStr"/>
    </row>
    <row r="253">
      <c r="A253" t="inlineStr"/>
      <c r="B253" t="inlineStr"/>
      <c r="C253" t="inlineStr"/>
      <c r="D253" t="inlineStr"/>
      <c r="E253" t="inlineStr"/>
      <c r="F253" t="inlineStr">
        <is>
          <t>Subject Teacher</t>
        </is>
      </c>
      <c r="G253" t="inlineStr"/>
      <c r="H253" t="inlineStr"/>
      <c r="I253" t="inlineStr"/>
    </row>
    <row r="254">
      <c r="A254" t="inlineStr"/>
      <c r="B254" t="inlineStr"/>
      <c r="C254" t="inlineStr"/>
      <c r="D254" t="inlineStr"/>
      <c r="E254" t="inlineStr"/>
      <c r="F254" t="inlineStr">
        <is>
          <t>Subject Teacher</t>
        </is>
      </c>
      <c r="G254" t="inlineStr"/>
      <c r="H254" t="inlineStr"/>
      <c r="I254" t="inlineStr"/>
    </row>
    <row r="255">
      <c r="A255" t="inlineStr"/>
      <c r="B255" t="inlineStr"/>
      <c r="C255" t="inlineStr"/>
      <c r="D255" t="inlineStr"/>
      <c r="E255" t="inlineStr"/>
      <c r="F255" t="inlineStr">
        <is>
          <t>Subject Teacher</t>
        </is>
      </c>
      <c r="G255" t="inlineStr"/>
      <c r="H255" t="inlineStr"/>
      <c r="I255" t="inlineStr"/>
    </row>
    <row r="256">
      <c r="A256" t="inlineStr"/>
      <c r="B256" t="inlineStr"/>
      <c r="C256" t="inlineStr"/>
      <c r="D256" t="inlineStr"/>
      <c r="E256" t="inlineStr"/>
      <c r="F256" t="inlineStr">
        <is>
          <t>Subject Teacher</t>
        </is>
      </c>
      <c r="G256" t="inlineStr"/>
      <c r="H256" t="inlineStr"/>
      <c r="I256" t="inlineStr"/>
    </row>
    <row r="257">
      <c r="A257" t="inlineStr"/>
      <c r="B257" t="inlineStr"/>
      <c r="C257" t="inlineStr"/>
      <c r="D257" t="inlineStr"/>
      <c r="E257" t="inlineStr"/>
      <c r="F257" t="inlineStr">
        <is>
          <t>Subject Teacher</t>
        </is>
      </c>
      <c r="G257" t="inlineStr"/>
      <c r="H257" t="inlineStr"/>
      <c r="I257" t="inlineStr"/>
    </row>
    <row r="258">
      <c r="A258" t="inlineStr"/>
      <c r="B258" t="inlineStr"/>
      <c r="C258" t="inlineStr"/>
      <c r="D258" t="inlineStr"/>
      <c r="E258" t="inlineStr"/>
      <c r="F258" t="inlineStr">
        <is>
          <t>Subject Teacher</t>
        </is>
      </c>
      <c r="G258" t="inlineStr"/>
      <c r="H258" t="inlineStr"/>
      <c r="I258" t="inlineStr"/>
    </row>
    <row r="259">
      <c r="A259" t="inlineStr"/>
      <c r="B259" t="inlineStr"/>
      <c r="C259" t="inlineStr"/>
      <c r="D259" t="inlineStr"/>
      <c r="E259" t="inlineStr"/>
      <c r="F259" t="inlineStr">
        <is>
          <t>Subject Teacher</t>
        </is>
      </c>
      <c r="G259" t="inlineStr"/>
      <c r="H259" t="inlineStr"/>
      <c r="I259" t="inlineStr"/>
    </row>
    <row r="260">
      <c r="A260" t="inlineStr"/>
      <c r="B260" t="inlineStr"/>
      <c r="C260" t="inlineStr"/>
      <c r="D260" t="inlineStr"/>
      <c r="E260" t="inlineStr"/>
      <c r="F260" t="inlineStr">
        <is>
          <t>Subject Teacher</t>
        </is>
      </c>
      <c r="G260" t="inlineStr"/>
      <c r="H260" t="inlineStr"/>
      <c r="I260" t="inlineStr"/>
    </row>
    <row r="261">
      <c r="A261" t="inlineStr"/>
      <c r="B261" t="inlineStr"/>
      <c r="C261" t="inlineStr"/>
      <c r="D261" t="inlineStr"/>
      <c r="E261" t="inlineStr"/>
      <c r="F261" t="inlineStr">
        <is>
          <t>Subject Teacher</t>
        </is>
      </c>
      <c r="G261" t="inlineStr"/>
      <c r="H261" t="inlineStr"/>
      <c r="I261" t="inlineStr"/>
    </row>
    <row r="262">
      <c r="A262" t="inlineStr"/>
      <c r="B262" t="inlineStr"/>
      <c r="C262" t="inlineStr"/>
      <c r="D262" t="inlineStr"/>
      <c r="E262" t="inlineStr"/>
      <c r="F262" t="inlineStr">
        <is>
          <t>Subject Teacher</t>
        </is>
      </c>
      <c r="G262" t="inlineStr"/>
      <c r="H262" t="inlineStr"/>
      <c r="I262" t="inlineStr"/>
    </row>
    <row r="263">
      <c r="A263" t="inlineStr"/>
      <c r="B263" t="inlineStr"/>
      <c r="C263" t="inlineStr"/>
      <c r="D263" t="inlineStr"/>
      <c r="E263" t="inlineStr"/>
      <c r="F263" t="inlineStr">
        <is>
          <t>Subject Teacher</t>
        </is>
      </c>
      <c r="G263" t="inlineStr"/>
      <c r="H263" t="inlineStr"/>
      <c r="I263" t="inlineStr"/>
    </row>
    <row r="264">
      <c r="A264" t="inlineStr"/>
      <c r="B264" t="inlineStr"/>
      <c r="C264" t="inlineStr"/>
      <c r="D264" t="inlineStr"/>
      <c r="E264" t="inlineStr"/>
      <c r="F264" t="inlineStr">
        <is>
          <t>Subject Teacher</t>
        </is>
      </c>
      <c r="G264" t="inlineStr"/>
      <c r="H264" t="inlineStr"/>
      <c r="I264" t="inlineStr"/>
    </row>
    <row r="265">
      <c r="A265" t="inlineStr"/>
      <c r="B265" t="inlineStr"/>
      <c r="C265" t="inlineStr"/>
      <c r="D265" t="inlineStr"/>
      <c r="E265" t="inlineStr"/>
      <c r="F265" t="inlineStr">
        <is>
          <t>Subject Teacher</t>
        </is>
      </c>
      <c r="G265" t="inlineStr"/>
      <c r="H265" t="inlineStr"/>
      <c r="I265" t="inlineStr"/>
    </row>
    <row r="266">
      <c r="A266" t="inlineStr"/>
      <c r="B266" t="inlineStr"/>
      <c r="C266" t="inlineStr"/>
      <c r="D266" t="inlineStr"/>
      <c r="E266" t="inlineStr"/>
      <c r="F266" t="inlineStr">
        <is>
          <t>Subject Teacher</t>
        </is>
      </c>
      <c r="G266" t="inlineStr"/>
      <c r="H266" t="inlineStr"/>
      <c r="I266" t="inlineStr"/>
    </row>
    <row r="267">
      <c r="A267" t="inlineStr"/>
      <c r="B267" t="inlineStr"/>
      <c r="C267" t="inlineStr"/>
      <c r="D267" t="inlineStr"/>
      <c r="E267" t="inlineStr"/>
      <c r="F267" t="inlineStr">
        <is>
          <t>Subject Teacher</t>
        </is>
      </c>
      <c r="G267" t="inlineStr"/>
      <c r="H267" t="inlineStr"/>
      <c r="I267" t="inlineStr"/>
    </row>
    <row r="268">
      <c r="A268" t="inlineStr"/>
      <c r="B268" t="inlineStr"/>
      <c r="C268" t="inlineStr"/>
      <c r="D268" t="inlineStr"/>
      <c r="E268" t="inlineStr"/>
      <c r="F268" t="inlineStr">
        <is>
          <t>Subject Teacher</t>
        </is>
      </c>
      <c r="G268" t="inlineStr"/>
      <c r="H268" t="inlineStr"/>
      <c r="I268" t="inlineStr"/>
    </row>
    <row r="269">
      <c r="A269" t="inlineStr"/>
      <c r="B269" t="inlineStr"/>
      <c r="C269" t="inlineStr"/>
      <c r="D269" t="inlineStr"/>
      <c r="E269" t="inlineStr"/>
      <c r="F269" t="inlineStr">
        <is>
          <t>Subject Teacher</t>
        </is>
      </c>
      <c r="G269" t="inlineStr"/>
      <c r="H269" t="inlineStr"/>
      <c r="I269" t="inlineStr"/>
    </row>
    <row r="270">
      <c r="A270" t="inlineStr"/>
      <c r="B270" t="inlineStr"/>
      <c r="C270" t="inlineStr"/>
      <c r="D270" t="inlineStr"/>
      <c r="E270" t="inlineStr"/>
      <c r="F270" t="inlineStr">
        <is>
          <t>Subject Teacher</t>
        </is>
      </c>
      <c r="G270" t="inlineStr"/>
      <c r="H270" t="inlineStr"/>
      <c r="I270" t="inlineStr"/>
    </row>
    <row r="271">
      <c r="A271" t="inlineStr"/>
      <c r="B271" t="inlineStr"/>
      <c r="C271" t="inlineStr"/>
      <c r="D271" t="inlineStr"/>
      <c r="E271" t="inlineStr"/>
      <c r="F271" t="inlineStr">
        <is>
          <t>Subject Teacher</t>
        </is>
      </c>
      <c r="G271" t="inlineStr"/>
      <c r="H271" t="inlineStr"/>
      <c r="I271" t="inlineStr"/>
    </row>
    <row r="272">
      <c r="A272" t="inlineStr"/>
      <c r="B272" t="inlineStr"/>
      <c r="C272" t="inlineStr"/>
      <c r="D272" t="inlineStr"/>
      <c r="E272" t="inlineStr"/>
      <c r="F272" t="inlineStr">
        <is>
          <t>Subject Teacher</t>
        </is>
      </c>
      <c r="G272" t="inlineStr"/>
      <c r="H272" t="inlineStr"/>
      <c r="I272" t="inlineStr"/>
    </row>
    <row r="273">
      <c r="A273" t="inlineStr"/>
      <c r="B273" t="inlineStr"/>
      <c r="C273" t="inlineStr"/>
      <c r="D273" t="inlineStr"/>
      <c r="E273" t="inlineStr"/>
      <c r="F273" t="inlineStr">
        <is>
          <t>Subject Teacher</t>
        </is>
      </c>
      <c r="G273" t="inlineStr"/>
      <c r="H273" t="inlineStr"/>
      <c r="I273" t="inlineStr"/>
    </row>
    <row r="274">
      <c r="A274" t="inlineStr"/>
      <c r="B274" t="inlineStr"/>
      <c r="C274" t="inlineStr"/>
      <c r="D274" t="inlineStr"/>
      <c r="E274" t="inlineStr"/>
      <c r="F274" t="inlineStr">
        <is>
          <t>Subject Teacher</t>
        </is>
      </c>
      <c r="G274" t="inlineStr"/>
      <c r="H274" t="inlineStr"/>
      <c r="I274" t="inlineStr"/>
    </row>
    <row r="275">
      <c r="A275" t="inlineStr"/>
      <c r="B275" t="inlineStr"/>
      <c r="C275" t="inlineStr"/>
      <c r="D275" t="inlineStr"/>
      <c r="E275" t="inlineStr"/>
      <c r="F275" t="inlineStr">
        <is>
          <t>Subject Teacher</t>
        </is>
      </c>
      <c r="G275" t="inlineStr"/>
      <c r="H275" t="inlineStr"/>
      <c r="I275" t="inlineStr"/>
    </row>
    <row r="276">
      <c r="A276" t="inlineStr"/>
      <c r="B276" t="inlineStr"/>
      <c r="C276" t="inlineStr"/>
      <c r="D276" t="inlineStr"/>
      <c r="E276" t="inlineStr"/>
      <c r="F276" t="inlineStr">
        <is>
          <t>Subject Teacher</t>
        </is>
      </c>
      <c r="G276" t="inlineStr"/>
      <c r="H276" t="inlineStr"/>
      <c r="I276" t="inlineStr"/>
    </row>
    <row r="277">
      <c r="A277" t="inlineStr"/>
      <c r="B277" t="inlineStr"/>
      <c r="C277" t="inlineStr"/>
      <c r="D277" t="inlineStr"/>
      <c r="E277" t="inlineStr"/>
      <c r="F277" t="inlineStr">
        <is>
          <t>Subject Teacher</t>
        </is>
      </c>
      <c r="G277" t="inlineStr"/>
      <c r="H277" t="inlineStr"/>
      <c r="I277" t="inlineStr"/>
    </row>
    <row r="278">
      <c r="A278" t="inlineStr"/>
      <c r="B278" t="inlineStr"/>
      <c r="C278" t="inlineStr"/>
      <c r="D278" t="inlineStr"/>
      <c r="E278" t="inlineStr"/>
      <c r="F278" t="inlineStr">
        <is>
          <t>Subject Teacher</t>
        </is>
      </c>
      <c r="G278" t="inlineStr"/>
      <c r="H278" t="inlineStr"/>
      <c r="I278" t="inlineStr"/>
    </row>
    <row r="279">
      <c r="A279" t="inlineStr"/>
      <c r="B279" t="inlineStr"/>
      <c r="C279" t="inlineStr"/>
      <c r="D279" t="inlineStr"/>
      <c r="E279" t="inlineStr"/>
      <c r="F279" t="inlineStr">
        <is>
          <t>Subject Teacher</t>
        </is>
      </c>
      <c r="G279" t="inlineStr"/>
      <c r="H279" t="inlineStr"/>
      <c r="I279" t="inlineStr"/>
    </row>
    <row r="280">
      <c r="A280" t="inlineStr"/>
      <c r="B280" t="inlineStr"/>
      <c r="C280" t="inlineStr"/>
      <c r="D280" t="inlineStr"/>
      <c r="E280" t="inlineStr"/>
      <c r="F280" t="inlineStr">
        <is>
          <t>Subject Teacher</t>
        </is>
      </c>
      <c r="G280" t="inlineStr"/>
      <c r="H280" t="inlineStr"/>
      <c r="I280" t="inlineStr"/>
    </row>
    <row r="281">
      <c r="A281" t="inlineStr"/>
      <c r="B281" t="inlineStr"/>
      <c r="C281" t="inlineStr"/>
      <c r="D281" t="inlineStr"/>
      <c r="E281" t="inlineStr"/>
      <c r="F281" t="inlineStr">
        <is>
          <t>Subject Teacher</t>
        </is>
      </c>
      <c r="G281" t="inlineStr"/>
      <c r="H281" t="inlineStr"/>
      <c r="I281" t="inlineStr"/>
    </row>
    <row r="282">
      <c r="A282" t="inlineStr"/>
      <c r="B282" t="inlineStr"/>
      <c r="C282" t="inlineStr"/>
      <c r="D282" t="inlineStr"/>
      <c r="E282" t="inlineStr"/>
      <c r="F282" t="inlineStr">
        <is>
          <t>Subject Teacher</t>
        </is>
      </c>
      <c r="G282" t="inlineStr"/>
      <c r="H282" t="inlineStr"/>
      <c r="I282" t="inlineStr"/>
    </row>
    <row r="283">
      <c r="A283" t="inlineStr"/>
      <c r="B283" t="inlineStr"/>
      <c r="C283" t="inlineStr"/>
      <c r="D283" t="inlineStr"/>
      <c r="E283" t="inlineStr"/>
      <c r="F283" t="inlineStr">
        <is>
          <t>Subject Teacher</t>
        </is>
      </c>
      <c r="G283" t="inlineStr"/>
      <c r="H283" t="inlineStr"/>
      <c r="I283" t="inlineStr"/>
    </row>
    <row r="284">
      <c r="A284" t="inlineStr"/>
      <c r="B284" t="inlineStr"/>
      <c r="C284" t="inlineStr"/>
      <c r="D284" t="inlineStr"/>
      <c r="E284" t="inlineStr"/>
      <c r="F284" t="inlineStr">
        <is>
          <t>Subject Teacher</t>
        </is>
      </c>
      <c r="G284" t="inlineStr"/>
      <c r="H284" t="inlineStr"/>
      <c r="I284" t="inlineStr"/>
    </row>
    <row r="285">
      <c r="A285" t="inlineStr"/>
      <c r="B285" t="inlineStr"/>
      <c r="C285" t="inlineStr"/>
      <c r="D285" t="inlineStr"/>
      <c r="E285" t="inlineStr"/>
      <c r="F285" t="inlineStr">
        <is>
          <t>Subject Teacher</t>
        </is>
      </c>
      <c r="G285" t="inlineStr"/>
      <c r="H285" t="inlineStr"/>
      <c r="I285" t="inlineStr"/>
    </row>
    <row r="286">
      <c r="A286" t="inlineStr"/>
      <c r="B286" t="inlineStr"/>
      <c r="C286" t="inlineStr"/>
      <c r="D286" t="inlineStr"/>
      <c r="E286" t="inlineStr"/>
      <c r="F286" t="inlineStr">
        <is>
          <t>Subject Teacher</t>
        </is>
      </c>
      <c r="G286" t="inlineStr"/>
      <c r="H286" t="inlineStr"/>
      <c r="I286" t="inlineStr"/>
    </row>
    <row r="287">
      <c r="A287" t="inlineStr"/>
      <c r="B287" t="inlineStr"/>
      <c r="C287" t="inlineStr"/>
      <c r="D287" t="inlineStr"/>
      <c r="E287" t="inlineStr"/>
      <c r="F287" t="inlineStr">
        <is>
          <t>Subject Teacher</t>
        </is>
      </c>
      <c r="G287" t="inlineStr"/>
      <c r="H287" t="inlineStr"/>
      <c r="I287" t="inlineStr"/>
    </row>
    <row r="288">
      <c r="A288" t="inlineStr"/>
      <c r="B288" t="inlineStr"/>
      <c r="C288" t="inlineStr"/>
      <c r="D288" t="inlineStr"/>
      <c r="E288" t="inlineStr"/>
      <c r="F288" t="inlineStr">
        <is>
          <t>Subject Teacher</t>
        </is>
      </c>
      <c r="G288" t="inlineStr"/>
      <c r="H288" t="inlineStr"/>
      <c r="I288" t="inlineStr"/>
    </row>
    <row r="289">
      <c r="A289" t="inlineStr"/>
      <c r="B289" t="inlineStr"/>
      <c r="C289" t="inlineStr"/>
      <c r="D289" t="inlineStr"/>
      <c r="E289" t="inlineStr"/>
      <c r="F289" t="inlineStr">
        <is>
          <t>Subject Teacher</t>
        </is>
      </c>
      <c r="G289" t="inlineStr"/>
      <c r="H289" t="inlineStr"/>
      <c r="I289" t="inlineStr"/>
    </row>
    <row r="290">
      <c r="A290" t="inlineStr"/>
      <c r="B290" t="inlineStr"/>
      <c r="C290" t="inlineStr"/>
      <c r="D290" t="inlineStr"/>
      <c r="E290" t="inlineStr"/>
      <c r="F290" t="inlineStr">
        <is>
          <t>Subject Teacher</t>
        </is>
      </c>
      <c r="G290" t="inlineStr"/>
      <c r="H290" t="inlineStr"/>
      <c r="I290" t="inlineStr"/>
    </row>
    <row r="291">
      <c r="A291" t="inlineStr"/>
      <c r="B291" t="inlineStr"/>
      <c r="C291" t="inlineStr"/>
      <c r="D291" t="inlineStr"/>
      <c r="E291" t="inlineStr"/>
      <c r="F291" t="inlineStr">
        <is>
          <t>Subject Teacher</t>
        </is>
      </c>
      <c r="G291" t="inlineStr"/>
      <c r="H291" t="inlineStr"/>
      <c r="I291" t="inlineStr"/>
    </row>
    <row r="292">
      <c r="A292" t="inlineStr"/>
      <c r="B292" t="inlineStr"/>
      <c r="C292" t="inlineStr"/>
      <c r="D292" t="inlineStr"/>
      <c r="E292" t="inlineStr"/>
      <c r="F292" t="inlineStr">
        <is>
          <t>Subject Teacher</t>
        </is>
      </c>
      <c r="G292" t="inlineStr"/>
      <c r="H292" t="inlineStr"/>
      <c r="I292" t="inlineStr"/>
    </row>
    <row r="293">
      <c r="A293" t="inlineStr"/>
      <c r="B293" t="inlineStr"/>
      <c r="C293" t="inlineStr"/>
      <c r="D293" t="inlineStr"/>
      <c r="E293" t="inlineStr"/>
      <c r="F293" t="inlineStr">
        <is>
          <t>Subject Teacher</t>
        </is>
      </c>
      <c r="G293" t="inlineStr"/>
      <c r="H293" t="inlineStr"/>
      <c r="I293" t="inlineStr"/>
    </row>
    <row r="294">
      <c r="A294" t="inlineStr"/>
      <c r="B294" t="inlineStr"/>
      <c r="C294" t="inlineStr"/>
      <c r="D294" t="inlineStr"/>
      <c r="E294" t="inlineStr"/>
      <c r="F294" t="inlineStr">
        <is>
          <t>Subject Teacher</t>
        </is>
      </c>
      <c r="G294" t="inlineStr"/>
      <c r="H294" t="inlineStr"/>
      <c r="I294" t="inlineStr"/>
    </row>
    <row r="295">
      <c r="A295" t="inlineStr"/>
      <c r="B295" t="inlineStr"/>
      <c r="C295" t="inlineStr"/>
      <c r="D295" t="inlineStr"/>
      <c r="E295" t="inlineStr"/>
      <c r="F295" t="inlineStr">
        <is>
          <t>Subject Teacher</t>
        </is>
      </c>
      <c r="G295" t="inlineStr"/>
      <c r="H295" t="inlineStr"/>
      <c r="I295" t="inlineStr"/>
    </row>
    <row r="296">
      <c r="A296" t="inlineStr"/>
      <c r="B296" t="inlineStr"/>
      <c r="C296" t="inlineStr"/>
      <c r="D296" t="inlineStr"/>
      <c r="E296" t="inlineStr"/>
      <c r="F296" t="inlineStr">
        <is>
          <t>Subject Teacher</t>
        </is>
      </c>
      <c r="G296" t="inlineStr"/>
      <c r="H296" t="inlineStr"/>
      <c r="I296" t="inlineStr"/>
    </row>
    <row r="297">
      <c r="A297" t="inlineStr"/>
      <c r="B297" t="inlineStr"/>
      <c r="C297" t="inlineStr"/>
      <c r="D297" t="inlineStr"/>
      <c r="E297" t="inlineStr"/>
      <c r="F297" t="inlineStr">
        <is>
          <t>Subject Teacher</t>
        </is>
      </c>
      <c r="G297" t="inlineStr"/>
      <c r="H297" t="inlineStr"/>
      <c r="I297" t="inlineStr"/>
    </row>
    <row r="298">
      <c r="A298" t="inlineStr"/>
      <c r="B298" t="inlineStr"/>
      <c r="C298" t="inlineStr"/>
      <c r="D298" t="inlineStr"/>
      <c r="E298" t="inlineStr"/>
      <c r="F298" t="inlineStr">
        <is>
          <t>Subject Teacher</t>
        </is>
      </c>
      <c r="G298" t="inlineStr"/>
      <c r="H298" t="inlineStr"/>
      <c r="I298" t="inlineStr"/>
    </row>
    <row r="299">
      <c r="A299" t="inlineStr"/>
      <c r="B299" t="inlineStr"/>
      <c r="C299" t="inlineStr"/>
      <c r="D299" t="inlineStr"/>
      <c r="E299" t="inlineStr"/>
      <c r="F299" t="inlineStr">
        <is>
          <t>Subject Teacher</t>
        </is>
      </c>
      <c r="G299" t="inlineStr"/>
      <c r="H299" t="inlineStr"/>
      <c r="I299" t="inlineStr"/>
    </row>
    <row r="300">
      <c r="A300" t="inlineStr"/>
      <c r="B300" t="inlineStr"/>
      <c r="C300" t="inlineStr"/>
      <c r="D300" t="inlineStr"/>
      <c r="E300" t="inlineStr"/>
      <c r="F300" t="inlineStr">
        <is>
          <t>Subject Teacher</t>
        </is>
      </c>
      <c r="G300" t="inlineStr"/>
      <c r="H300" t="inlineStr"/>
      <c r="I300" t="inlineStr"/>
    </row>
    <row r="301">
      <c r="A301" t="inlineStr"/>
      <c r="B301" t="inlineStr"/>
      <c r="C301" t="inlineStr"/>
      <c r="D301" t="inlineStr"/>
      <c r="E301" t="inlineStr"/>
      <c r="F301" t="inlineStr">
        <is>
          <t>Subject Teacher</t>
        </is>
      </c>
      <c r="G301" t="inlineStr"/>
      <c r="H301" t="inlineStr"/>
      <c r="I301" t="inlineStr"/>
    </row>
    <row r="302">
      <c r="A302" t="inlineStr"/>
      <c r="B302" t="inlineStr"/>
      <c r="C302" t="inlineStr"/>
      <c r="D302" t="inlineStr"/>
      <c r="E302" t="inlineStr"/>
      <c r="F302" t="inlineStr">
        <is>
          <t>Subject Teacher</t>
        </is>
      </c>
      <c r="G302" t="inlineStr"/>
      <c r="H302" t="inlineStr"/>
      <c r="I302" t="inlineStr"/>
    </row>
  </sheetData>
  <dataValidations count="4">
    <dataValidation sqref="A3:A500" showDropDown="0" showInputMessage="0" showErrorMessage="0" allowBlank="1" type="list">
      <formula1>"Upper,Lower"</formula1>
    </dataValidation>
    <dataValidation sqref="B3:B500" showDropDown="0" showInputMessage="0" showErrorMessage="0" allowBlank="1" type="list">
      <formula1>"Early Years,Lower Primary,Upper Primary,Junior School"</formula1>
    </dataValidation>
    <dataValidation sqref="C3:C500" showDropDown="0" showInputMessage="0" showErrorMessage="0" allowBlank="1" type="list">
      <formula1>=Classes!$E$2:$E$200</formula1>
    </dataValidation>
    <dataValidation sqref="D3:D500" showDropDown="0" showInputMessage="0" showErrorMessage="0" allowBlank="1" type="list">
      <formula1>=IF($B3="Early Years",EarlyYears_Subjects,IF($B3="Lower Primary",LowerPrimary_Subjects,IF($B3="Upper Primary",UpperPrimary_Subjects,IF($B3="Junior School",JuniorSchool_Subjects,LowerPrimary_Subjects))))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</cols>
  <sheetData>
    <row r="1">
      <c r="A1" s="4" t="inlineStr">
        <is>
          <t>ROYAL KINGS PREMIER SCHOOL</t>
        </is>
      </c>
    </row>
    <row r="2">
      <c r="A2" s="3" t="inlineStr">
        <is>
          <t>LOWER CAMPUS DASHBOARD (UPPER PRIMARY &amp; JUNIOR SCHOOL)</t>
        </is>
      </c>
    </row>
    <row r="4">
      <c r="A4" t="inlineStr">
        <is>
          <t>Week Ending (optional):</t>
        </is>
      </c>
      <c r="B4" t="inlineStr"/>
    </row>
    <row r="6">
      <c r="A6" s="3" t="inlineStr">
        <is>
          <t>SECTION PERFORMANCE (AVERAGE %)</t>
        </is>
      </c>
    </row>
    <row r="7">
      <c r="A7" s="6" t="inlineStr">
        <is>
          <t>Section</t>
        </is>
      </c>
      <c r="B7" s="6" t="inlineStr">
        <is>
          <t>Average %</t>
        </is>
      </c>
      <c r="C7" s="6" t="inlineStr">
        <is>
          <t>Status</t>
        </is>
      </c>
    </row>
    <row r="8">
      <c r="A8" t="inlineStr">
        <is>
          <t>Upper Primary</t>
        </is>
      </c>
      <c r="B8">
        <f>IF($B$4="",ROUND(AVERAGEIFS(Assessments!$J:$J,Assessments!$C:$C,"Lower",Assessments!$K:$K,"Upper Primary"),0),ROUND(AVERAGEIFS(Assessments!$J:$J,Assessments!$C:$C,"Lower",Assessments!$K:$K,"Upper Primary",Assessments!$B:$B,$B$4),0))</f>
        <v/>
      </c>
      <c r="C8">
        <f>IF(B8="","",IF(B8&gt;=70,"🟢",IF(B8&gt;=50,"🟠","🔴")))</f>
        <v/>
      </c>
    </row>
    <row r="9">
      <c r="A9" t="inlineStr">
        <is>
          <t>Junior School</t>
        </is>
      </c>
      <c r="B9">
        <f>IF($B$4="",ROUND(AVERAGEIFS(Assessments!$J:$J,Assessments!$C:$C,"Lower",Assessments!$K:$K,"Junior School"),0),ROUND(AVERAGEIFS(Assessments!$J:$J,Assessments!$C:$C,"Lower",Assessments!$K:$K,"Junior School",Assessments!$B:$B,$B$4),0))</f>
        <v/>
      </c>
      <c r="C9">
        <f>IF(B9="","",IF(B9&gt;=70,"🟢",IF(B9&gt;=50,"🟠","🔴")))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4" t="inlineStr">
        <is>
          <t>ROYAL KINGS PREMIER SCHOOL</t>
        </is>
      </c>
    </row>
    <row r="2">
      <c r="A2" s="3" t="inlineStr">
        <is>
          <t>LOWER CAMPUS HEATMAP TEMPLATE (GRADE 4–9)</t>
        </is>
      </c>
    </row>
    <row r="4">
      <c r="A4" s="7" t="inlineStr">
        <is>
          <t>Auto-colors class averages by subject once Assessments data includes Grade 4–9 classes &amp; subjects.</t>
        </is>
      </c>
    </row>
    <row r="6">
      <c r="A6" s="1" t="inlineStr">
        <is>
          <t>Section</t>
        </is>
      </c>
      <c r="B6" s="1" t="inlineStr">
        <is>
          <t>Class</t>
        </is>
      </c>
      <c r="C6" s="1" t="inlineStr">
        <is>
          <t>English</t>
        </is>
      </c>
      <c r="D6" s="1" t="inlineStr">
        <is>
          <t>Kiswahili</t>
        </is>
      </c>
      <c r="E6" s="1" t="inlineStr">
        <is>
          <t>Mathematics</t>
        </is>
      </c>
      <c r="F6" s="1" t="inlineStr">
        <is>
          <t>Science</t>
        </is>
      </c>
      <c r="G6" s="1" t="inlineStr">
        <is>
          <t>Integrated Science</t>
        </is>
      </c>
      <c r="H6" s="1" t="inlineStr">
        <is>
          <t>Social Studies</t>
        </is>
      </c>
      <c r="I6" s="1" t="inlineStr">
        <is>
          <t>CRE</t>
        </is>
      </c>
      <c r="J6" s="1" t="inlineStr">
        <is>
          <t>Computer Studies</t>
        </is>
      </c>
      <c r="K6" s="1" t="inlineStr">
        <is>
          <t>Class Avg %</t>
        </is>
      </c>
    </row>
    <row r="7">
      <c r="A7" s="8" t="inlineStr">
        <is>
          <t>Upper Primary</t>
        </is>
      </c>
      <c r="B7" t="inlineStr">
        <is>
          <t>Grade 4 – A</t>
        </is>
      </c>
      <c r="C7" s="8">
        <f>IFERROR(ROUND(AVERAGEIFS(Assessments!$J:$J,Assessments!$C:$C,"Lower",Assessments!$K:$K,"Upper Primary",Assessments!$D:$D,"Grade 4 – A",Assessments!$E:$E,"English"),0),"")</f>
        <v/>
      </c>
      <c r="D7" s="8">
        <f>IFERROR(ROUND(AVERAGEIFS(Assessments!$J:$J,Assessments!$C:$C,"Lower",Assessments!$K:$K,"Upper Primary",Assessments!$D:$D,"Grade 4 – A",Assessments!$E:$E,"Kiswahili"),0),"")</f>
        <v/>
      </c>
      <c r="E7" s="8">
        <f>IFERROR(ROUND(AVERAGEIFS(Assessments!$J:$J,Assessments!$C:$C,"Lower",Assessments!$K:$K,"Upper Primary",Assessments!$D:$D,"Grade 4 – A",Assessments!$E:$E,"Mathematics"),0),"")</f>
        <v/>
      </c>
      <c r="F7" s="8">
        <f>IFERROR(ROUND(AVERAGEIFS(Assessments!$J:$J,Assessments!$C:$C,"Lower",Assessments!$K:$K,"Upper Primary",Assessments!$D:$D,"Grade 4 – A",Assessments!$E:$E,"Science"),0),"")</f>
        <v/>
      </c>
      <c r="G7" s="8">
        <f>IFERROR(ROUND(AVERAGEIFS(Assessments!$J:$J,Assessments!$C:$C,"Lower",Assessments!$K:$K,"Upper Primary",Assessments!$D:$D,"Grade 4 – A",Assessments!$E:$E,"Integrated Science"),0),"")</f>
        <v/>
      </c>
      <c r="H7" s="8">
        <f>IFERROR(ROUND(AVERAGEIFS(Assessments!$J:$J,Assessments!$C:$C,"Lower",Assessments!$K:$K,"Upper Primary",Assessments!$D:$D,"Grade 4 – A",Assessments!$E:$E,"Social Studies"),0),"")</f>
        <v/>
      </c>
      <c r="I7" s="8">
        <f>IFERROR(ROUND(AVERAGEIFS(Assessments!$J:$J,Assessments!$C:$C,"Lower",Assessments!$K:$K,"Upper Primary",Assessments!$D:$D,"Grade 4 – A",Assessments!$E:$E,"CRE"),0),"")</f>
        <v/>
      </c>
      <c r="J7" s="8">
        <f>IFERROR(ROUND(AVERAGEIFS(Assessments!$J:$J,Assessments!$C:$C,"Lower",Assessments!$K:$K,"Upper Primary",Assessments!$D:$D,"Grade 4 – A",Assessments!$E:$E,"Computer Studies"),0),"")</f>
        <v/>
      </c>
      <c r="K7" s="6">
        <f>IFERROR(ROUND(AVERAGEIFS(Assessments!$J:$J,Assessments!$C:$C,"Lower",Assessments!$K:$K,"Upper Primary",Assessments!$D:$D,"Grade 4 – A"),0),"")</f>
        <v/>
      </c>
    </row>
    <row r="8">
      <c r="A8" s="8" t="inlineStr">
        <is>
          <t>Upper Primary</t>
        </is>
      </c>
      <c r="B8" t="inlineStr">
        <is>
          <t>Grade 4 – B</t>
        </is>
      </c>
      <c r="C8" s="8">
        <f>IFERROR(ROUND(AVERAGEIFS(Assessments!$J:$J,Assessments!$C:$C,"Lower",Assessments!$K:$K,"Upper Primary",Assessments!$D:$D,"Grade 4 – B",Assessments!$E:$E,"English"),0),"")</f>
        <v/>
      </c>
      <c r="D8" s="8">
        <f>IFERROR(ROUND(AVERAGEIFS(Assessments!$J:$J,Assessments!$C:$C,"Lower",Assessments!$K:$K,"Upper Primary",Assessments!$D:$D,"Grade 4 – B",Assessments!$E:$E,"Kiswahili"),0),"")</f>
        <v/>
      </c>
      <c r="E8" s="8">
        <f>IFERROR(ROUND(AVERAGEIFS(Assessments!$J:$J,Assessments!$C:$C,"Lower",Assessments!$K:$K,"Upper Primary",Assessments!$D:$D,"Grade 4 – B",Assessments!$E:$E,"Mathematics"),0),"")</f>
        <v/>
      </c>
      <c r="F8" s="8">
        <f>IFERROR(ROUND(AVERAGEIFS(Assessments!$J:$J,Assessments!$C:$C,"Lower",Assessments!$K:$K,"Upper Primary",Assessments!$D:$D,"Grade 4 – B",Assessments!$E:$E,"Science"),0),"")</f>
        <v/>
      </c>
      <c r="G8" s="8">
        <f>IFERROR(ROUND(AVERAGEIFS(Assessments!$J:$J,Assessments!$C:$C,"Lower",Assessments!$K:$K,"Upper Primary",Assessments!$D:$D,"Grade 4 – B",Assessments!$E:$E,"Integrated Science"),0),"")</f>
        <v/>
      </c>
      <c r="H8" s="8">
        <f>IFERROR(ROUND(AVERAGEIFS(Assessments!$J:$J,Assessments!$C:$C,"Lower",Assessments!$K:$K,"Upper Primary",Assessments!$D:$D,"Grade 4 – B",Assessments!$E:$E,"Social Studies"),0),"")</f>
        <v/>
      </c>
      <c r="I8" s="8">
        <f>IFERROR(ROUND(AVERAGEIFS(Assessments!$J:$J,Assessments!$C:$C,"Lower",Assessments!$K:$K,"Upper Primary",Assessments!$D:$D,"Grade 4 – B",Assessments!$E:$E,"CRE"),0),"")</f>
        <v/>
      </c>
      <c r="J8" s="8">
        <f>IFERROR(ROUND(AVERAGEIFS(Assessments!$J:$J,Assessments!$C:$C,"Lower",Assessments!$K:$K,"Upper Primary",Assessments!$D:$D,"Grade 4 – B",Assessments!$E:$E,"Computer Studies"),0),"")</f>
        <v/>
      </c>
      <c r="K8" s="6">
        <f>IFERROR(ROUND(AVERAGEIFS(Assessments!$J:$J,Assessments!$C:$C,"Lower",Assessments!$K:$K,"Upper Primary",Assessments!$D:$D,"Grade 4 – B"),0),"")</f>
        <v/>
      </c>
    </row>
    <row r="9">
      <c r="A9" s="8" t="inlineStr">
        <is>
          <t>Upper Primary</t>
        </is>
      </c>
      <c r="B9" t="inlineStr">
        <is>
          <t>Grade 5 – A</t>
        </is>
      </c>
      <c r="C9" s="8">
        <f>IFERROR(ROUND(AVERAGEIFS(Assessments!$J:$J,Assessments!$C:$C,"Lower",Assessments!$K:$K,"Upper Primary",Assessments!$D:$D,"Grade 5 – A",Assessments!$E:$E,"English"),0),"")</f>
        <v/>
      </c>
      <c r="D9" s="8">
        <f>IFERROR(ROUND(AVERAGEIFS(Assessments!$J:$J,Assessments!$C:$C,"Lower",Assessments!$K:$K,"Upper Primary",Assessments!$D:$D,"Grade 5 – A",Assessments!$E:$E,"Kiswahili"),0),"")</f>
        <v/>
      </c>
      <c r="E9" s="8">
        <f>IFERROR(ROUND(AVERAGEIFS(Assessments!$J:$J,Assessments!$C:$C,"Lower",Assessments!$K:$K,"Upper Primary",Assessments!$D:$D,"Grade 5 – A",Assessments!$E:$E,"Mathematics"),0),"")</f>
        <v/>
      </c>
      <c r="F9" s="8">
        <f>IFERROR(ROUND(AVERAGEIFS(Assessments!$J:$J,Assessments!$C:$C,"Lower",Assessments!$K:$K,"Upper Primary",Assessments!$D:$D,"Grade 5 – A",Assessments!$E:$E,"Science"),0),"")</f>
        <v/>
      </c>
      <c r="G9" s="8">
        <f>IFERROR(ROUND(AVERAGEIFS(Assessments!$J:$J,Assessments!$C:$C,"Lower",Assessments!$K:$K,"Upper Primary",Assessments!$D:$D,"Grade 5 – A",Assessments!$E:$E,"Integrated Science"),0),"")</f>
        <v/>
      </c>
      <c r="H9" s="8">
        <f>IFERROR(ROUND(AVERAGEIFS(Assessments!$J:$J,Assessments!$C:$C,"Lower",Assessments!$K:$K,"Upper Primary",Assessments!$D:$D,"Grade 5 – A",Assessments!$E:$E,"Social Studies"),0),"")</f>
        <v/>
      </c>
      <c r="I9" s="8">
        <f>IFERROR(ROUND(AVERAGEIFS(Assessments!$J:$J,Assessments!$C:$C,"Lower",Assessments!$K:$K,"Upper Primary",Assessments!$D:$D,"Grade 5 – A",Assessments!$E:$E,"CRE"),0),"")</f>
        <v/>
      </c>
      <c r="J9" s="8">
        <f>IFERROR(ROUND(AVERAGEIFS(Assessments!$J:$J,Assessments!$C:$C,"Lower",Assessments!$K:$K,"Upper Primary",Assessments!$D:$D,"Grade 5 – A",Assessments!$E:$E,"Computer Studies"),0),"")</f>
        <v/>
      </c>
      <c r="K9" s="6">
        <f>IFERROR(ROUND(AVERAGEIFS(Assessments!$J:$J,Assessments!$C:$C,"Lower",Assessments!$K:$K,"Upper Primary",Assessments!$D:$D,"Grade 5 – A"),0),"")</f>
        <v/>
      </c>
    </row>
    <row r="10">
      <c r="A10" s="8" t="inlineStr">
        <is>
          <t>Upper Primary</t>
        </is>
      </c>
      <c r="B10" t="inlineStr">
        <is>
          <t>Grade 5 – B</t>
        </is>
      </c>
      <c r="C10" s="8">
        <f>IFERROR(ROUND(AVERAGEIFS(Assessments!$J:$J,Assessments!$C:$C,"Lower",Assessments!$K:$K,"Upper Primary",Assessments!$D:$D,"Grade 5 – B",Assessments!$E:$E,"English"),0),"")</f>
        <v/>
      </c>
      <c r="D10" s="8">
        <f>IFERROR(ROUND(AVERAGEIFS(Assessments!$J:$J,Assessments!$C:$C,"Lower",Assessments!$K:$K,"Upper Primary",Assessments!$D:$D,"Grade 5 – B",Assessments!$E:$E,"Kiswahili"),0),"")</f>
        <v/>
      </c>
      <c r="E10" s="8">
        <f>IFERROR(ROUND(AVERAGEIFS(Assessments!$J:$J,Assessments!$C:$C,"Lower",Assessments!$K:$K,"Upper Primary",Assessments!$D:$D,"Grade 5 – B",Assessments!$E:$E,"Mathematics"),0),"")</f>
        <v/>
      </c>
      <c r="F10" s="8">
        <f>IFERROR(ROUND(AVERAGEIFS(Assessments!$J:$J,Assessments!$C:$C,"Lower",Assessments!$K:$K,"Upper Primary",Assessments!$D:$D,"Grade 5 – B",Assessments!$E:$E,"Science"),0),"")</f>
        <v/>
      </c>
      <c r="G10" s="8">
        <f>IFERROR(ROUND(AVERAGEIFS(Assessments!$J:$J,Assessments!$C:$C,"Lower",Assessments!$K:$K,"Upper Primary",Assessments!$D:$D,"Grade 5 – B",Assessments!$E:$E,"Integrated Science"),0),"")</f>
        <v/>
      </c>
      <c r="H10" s="8">
        <f>IFERROR(ROUND(AVERAGEIFS(Assessments!$J:$J,Assessments!$C:$C,"Lower",Assessments!$K:$K,"Upper Primary",Assessments!$D:$D,"Grade 5 – B",Assessments!$E:$E,"Social Studies"),0),"")</f>
        <v/>
      </c>
      <c r="I10" s="8">
        <f>IFERROR(ROUND(AVERAGEIFS(Assessments!$J:$J,Assessments!$C:$C,"Lower",Assessments!$K:$K,"Upper Primary",Assessments!$D:$D,"Grade 5 – B",Assessments!$E:$E,"CRE"),0),"")</f>
        <v/>
      </c>
      <c r="J10" s="8">
        <f>IFERROR(ROUND(AVERAGEIFS(Assessments!$J:$J,Assessments!$C:$C,"Lower",Assessments!$K:$K,"Upper Primary",Assessments!$D:$D,"Grade 5 – B",Assessments!$E:$E,"Computer Studies"),0),"")</f>
        <v/>
      </c>
      <c r="K10" s="6">
        <f>IFERROR(ROUND(AVERAGEIFS(Assessments!$J:$J,Assessments!$C:$C,"Lower",Assessments!$K:$K,"Upper Primary",Assessments!$D:$D,"Grade 5 – B"),0),"")</f>
        <v/>
      </c>
    </row>
    <row r="11">
      <c r="A11" s="8" t="inlineStr">
        <is>
          <t>Upper Primary</t>
        </is>
      </c>
      <c r="B11" t="inlineStr">
        <is>
          <t>Grade 6 – A</t>
        </is>
      </c>
      <c r="C11" s="8">
        <f>IFERROR(ROUND(AVERAGEIFS(Assessments!$J:$J,Assessments!$C:$C,"Lower",Assessments!$K:$K,"Upper Primary",Assessments!$D:$D,"Grade 6 – A",Assessments!$E:$E,"English"),0),"")</f>
        <v/>
      </c>
      <c r="D11" s="8">
        <f>IFERROR(ROUND(AVERAGEIFS(Assessments!$J:$J,Assessments!$C:$C,"Lower",Assessments!$K:$K,"Upper Primary",Assessments!$D:$D,"Grade 6 – A",Assessments!$E:$E,"Kiswahili"),0),"")</f>
        <v/>
      </c>
      <c r="E11" s="8">
        <f>IFERROR(ROUND(AVERAGEIFS(Assessments!$J:$J,Assessments!$C:$C,"Lower",Assessments!$K:$K,"Upper Primary",Assessments!$D:$D,"Grade 6 – A",Assessments!$E:$E,"Mathematics"),0),"")</f>
        <v/>
      </c>
      <c r="F11" s="8">
        <f>IFERROR(ROUND(AVERAGEIFS(Assessments!$J:$J,Assessments!$C:$C,"Lower",Assessments!$K:$K,"Upper Primary",Assessments!$D:$D,"Grade 6 – A",Assessments!$E:$E,"Science"),0),"")</f>
        <v/>
      </c>
      <c r="G11" s="8">
        <f>IFERROR(ROUND(AVERAGEIFS(Assessments!$J:$J,Assessments!$C:$C,"Lower",Assessments!$K:$K,"Upper Primary",Assessments!$D:$D,"Grade 6 – A",Assessments!$E:$E,"Integrated Science"),0),"")</f>
        <v/>
      </c>
      <c r="H11" s="8">
        <f>IFERROR(ROUND(AVERAGEIFS(Assessments!$J:$J,Assessments!$C:$C,"Lower",Assessments!$K:$K,"Upper Primary",Assessments!$D:$D,"Grade 6 – A",Assessments!$E:$E,"Social Studies"),0),"")</f>
        <v/>
      </c>
      <c r="I11" s="8">
        <f>IFERROR(ROUND(AVERAGEIFS(Assessments!$J:$J,Assessments!$C:$C,"Lower",Assessments!$K:$K,"Upper Primary",Assessments!$D:$D,"Grade 6 – A",Assessments!$E:$E,"CRE"),0),"")</f>
        <v/>
      </c>
      <c r="J11" s="8">
        <f>IFERROR(ROUND(AVERAGEIFS(Assessments!$J:$J,Assessments!$C:$C,"Lower",Assessments!$K:$K,"Upper Primary",Assessments!$D:$D,"Grade 6 – A",Assessments!$E:$E,"Computer Studies"),0),"")</f>
        <v/>
      </c>
      <c r="K11" s="6">
        <f>IFERROR(ROUND(AVERAGEIFS(Assessments!$J:$J,Assessments!$C:$C,"Lower",Assessments!$K:$K,"Upper Primary",Assessments!$D:$D,"Grade 6 – A"),0),"")</f>
        <v/>
      </c>
    </row>
    <row r="12">
      <c r="A12" s="8" t="inlineStr">
        <is>
          <t>Upper Primary</t>
        </is>
      </c>
      <c r="B12" t="inlineStr">
        <is>
          <t>Grade 6 – B</t>
        </is>
      </c>
      <c r="C12" s="8">
        <f>IFERROR(ROUND(AVERAGEIFS(Assessments!$J:$J,Assessments!$C:$C,"Lower",Assessments!$K:$K,"Upper Primary",Assessments!$D:$D,"Grade 6 – B",Assessments!$E:$E,"English"),0),"")</f>
        <v/>
      </c>
      <c r="D12" s="8">
        <f>IFERROR(ROUND(AVERAGEIFS(Assessments!$J:$J,Assessments!$C:$C,"Lower",Assessments!$K:$K,"Upper Primary",Assessments!$D:$D,"Grade 6 – B",Assessments!$E:$E,"Kiswahili"),0),"")</f>
        <v/>
      </c>
      <c r="E12" s="8">
        <f>IFERROR(ROUND(AVERAGEIFS(Assessments!$J:$J,Assessments!$C:$C,"Lower",Assessments!$K:$K,"Upper Primary",Assessments!$D:$D,"Grade 6 – B",Assessments!$E:$E,"Mathematics"),0),"")</f>
        <v/>
      </c>
      <c r="F12" s="8">
        <f>IFERROR(ROUND(AVERAGEIFS(Assessments!$J:$J,Assessments!$C:$C,"Lower",Assessments!$K:$K,"Upper Primary",Assessments!$D:$D,"Grade 6 – B",Assessments!$E:$E,"Science"),0),"")</f>
        <v/>
      </c>
      <c r="G12" s="8">
        <f>IFERROR(ROUND(AVERAGEIFS(Assessments!$J:$J,Assessments!$C:$C,"Lower",Assessments!$K:$K,"Upper Primary",Assessments!$D:$D,"Grade 6 – B",Assessments!$E:$E,"Integrated Science"),0),"")</f>
        <v/>
      </c>
      <c r="H12" s="8">
        <f>IFERROR(ROUND(AVERAGEIFS(Assessments!$J:$J,Assessments!$C:$C,"Lower",Assessments!$K:$K,"Upper Primary",Assessments!$D:$D,"Grade 6 – B",Assessments!$E:$E,"Social Studies"),0),"")</f>
        <v/>
      </c>
      <c r="I12" s="8">
        <f>IFERROR(ROUND(AVERAGEIFS(Assessments!$J:$J,Assessments!$C:$C,"Lower",Assessments!$K:$K,"Upper Primary",Assessments!$D:$D,"Grade 6 – B",Assessments!$E:$E,"CRE"),0),"")</f>
        <v/>
      </c>
      <c r="J12" s="8">
        <f>IFERROR(ROUND(AVERAGEIFS(Assessments!$J:$J,Assessments!$C:$C,"Lower",Assessments!$K:$K,"Upper Primary",Assessments!$D:$D,"Grade 6 – B",Assessments!$E:$E,"Computer Studies"),0),"")</f>
        <v/>
      </c>
      <c r="K12" s="6">
        <f>IFERROR(ROUND(AVERAGEIFS(Assessments!$J:$J,Assessments!$C:$C,"Lower",Assessments!$K:$K,"Upper Primary",Assessments!$D:$D,"Grade 6 – B"),0),"")</f>
        <v/>
      </c>
    </row>
    <row r="13">
      <c r="A13" s="8" t="inlineStr">
        <is>
          <t>Junior School</t>
        </is>
      </c>
      <c r="B13" t="inlineStr">
        <is>
          <t>Grade 7 – A</t>
        </is>
      </c>
      <c r="C13" s="8">
        <f>IFERROR(ROUND(AVERAGEIFS(Assessments!$J:$J,Assessments!$C:$C,"Lower",Assessments!$K:$K,"Junior School",Assessments!$D:$D,"Grade 7 – A",Assessments!$E:$E,"English"),0),"")</f>
        <v/>
      </c>
      <c r="D13" s="8">
        <f>IFERROR(ROUND(AVERAGEIFS(Assessments!$J:$J,Assessments!$C:$C,"Lower",Assessments!$K:$K,"Junior School",Assessments!$D:$D,"Grade 7 – A",Assessments!$E:$E,"Kiswahili"),0),"")</f>
        <v/>
      </c>
      <c r="E13" s="8">
        <f>IFERROR(ROUND(AVERAGEIFS(Assessments!$J:$J,Assessments!$C:$C,"Lower",Assessments!$K:$K,"Junior School",Assessments!$D:$D,"Grade 7 – A",Assessments!$E:$E,"Mathematics"),0),"")</f>
        <v/>
      </c>
      <c r="F13" s="8">
        <f>IFERROR(ROUND(AVERAGEIFS(Assessments!$J:$J,Assessments!$C:$C,"Lower",Assessments!$K:$K,"Junior School",Assessments!$D:$D,"Grade 7 – A",Assessments!$E:$E,"Science"),0),"")</f>
        <v/>
      </c>
      <c r="G13" s="8">
        <f>IFERROR(ROUND(AVERAGEIFS(Assessments!$J:$J,Assessments!$C:$C,"Lower",Assessments!$K:$K,"Junior School",Assessments!$D:$D,"Grade 7 – A",Assessments!$E:$E,"Integrated Science"),0),"")</f>
        <v/>
      </c>
      <c r="H13" s="8">
        <f>IFERROR(ROUND(AVERAGEIFS(Assessments!$J:$J,Assessments!$C:$C,"Lower",Assessments!$K:$K,"Junior School",Assessments!$D:$D,"Grade 7 – A",Assessments!$E:$E,"Social Studies"),0),"")</f>
        <v/>
      </c>
      <c r="I13" s="8">
        <f>IFERROR(ROUND(AVERAGEIFS(Assessments!$J:$J,Assessments!$C:$C,"Lower",Assessments!$K:$K,"Junior School",Assessments!$D:$D,"Grade 7 – A",Assessments!$E:$E,"CRE"),0),"")</f>
        <v/>
      </c>
      <c r="J13" s="8">
        <f>IFERROR(ROUND(AVERAGEIFS(Assessments!$J:$J,Assessments!$C:$C,"Lower",Assessments!$K:$K,"Junior School",Assessments!$D:$D,"Grade 7 – A",Assessments!$E:$E,"Computer Studies"),0),"")</f>
        <v/>
      </c>
      <c r="K13" s="6">
        <f>IFERROR(ROUND(AVERAGEIFS(Assessments!$J:$J,Assessments!$C:$C,"Lower",Assessments!$K:$K,"Junior School",Assessments!$D:$D,"Grade 7 – A"),0),"")</f>
        <v/>
      </c>
    </row>
    <row r="14">
      <c r="A14" s="8" t="inlineStr">
        <is>
          <t>Junior School</t>
        </is>
      </c>
      <c r="B14" t="inlineStr">
        <is>
          <t>Grade 7 – B</t>
        </is>
      </c>
      <c r="C14" s="8">
        <f>IFERROR(ROUND(AVERAGEIFS(Assessments!$J:$J,Assessments!$C:$C,"Lower",Assessments!$K:$K,"Junior School",Assessments!$D:$D,"Grade 7 – B",Assessments!$E:$E,"English"),0),"")</f>
        <v/>
      </c>
      <c r="D14" s="8">
        <f>IFERROR(ROUND(AVERAGEIFS(Assessments!$J:$J,Assessments!$C:$C,"Lower",Assessments!$K:$K,"Junior School",Assessments!$D:$D,"Grade 7 – B",Assessments!$E:$E,"Kiswahili"),0),"")</f>
        <v/>
      </c>
      <c r="E14" s="8">
        <f>IFERROR(ROUND(AVERAGEIFS(Assessments!$J:$J,Assessments!$C:$C,"Lower",Assessments!$K:$K,"Junior School",Assessments!$D:$D,"Grade 7 – B",Assessments!$E:$E,"Mathematics"),0),"")</f>
        <v/>
      </c>
      <c r="F14" s="8">
        <f>IFERROR(ROUND(AVERAGEIFS(Assessments!$J:$J,Assessments!$C:$C,"Lower",Assessments!$K:$K,"Junior School",Assessments!$D:$D,"Grade 7 – B",Assessments!$E:$E,"Science"),0),"")</f>
        <v/>
      </c>
      <c r="G14" s="8">
        <f>IFERROR(ROUND(AVERAGEIFS(Assessments!$J:$J,Assessments!$C:$C,"Lower",Assessments!$K:$K,"Junior School",Assessments!$D:$D,"Grade 7 – B",Assessments!$E:$E,"Integrated Science"),0),"")</f>
        <v/>
      </c>
      <c r="H14" s="8">
        <f>IFERROR(ROUND(AVERAGEIFS(Assessments!$J:$J,Assessments!$C:$C,"Lower",Assessments!$K:$K,"Junior School",Assessments!$D:$D,"Grade 7 – B",Assessments!$E:$E,"Social Studies"),0),"")</f>
        <v/>
      </c>
      <c r="I14" s="8">
        <f>IFERROR(ROUND(AVERAGEIFS(Assessments!$J:$J,Assessments!$C:$C,"Lower",Assessments!$K:$K,"Junior School",Assessments!$D:$D,"Grade 7 – B",Assessments!$E:$E,"CRE"),0),"")</f>
        <v/>
      </c>
      <c r="J14" s="8">
        <f>IFERROR(ROUND(AVERAGEIFS(Assessments!$J:$J,Assessments!$C:$C,"Lower",Assessments!$K:$K,"Junior School",Assessments!$D:$D,"Grade 7 – B",Assessments!$E:$E,"Computer Studies"),0),"")</f>
        <v/>
      </c>
      <c r="K14" s="6">
        <f>IFERROR(ROUND(AVERAGEIFS(Assessments!$J:$J,Assessments!$C:$C,"Lower",Assessments!$K:$K,"Junior School",Assessments!$D:$D,"Grade 7 – B"),0),"")</f>
        <v/>
      </c>
    </row>
    <row r="15">
      <c r="A15" s="8" t="inlineStr">
        <is>
          <t>Junior School</t>
        </is>
      </c>
      <c r="B15" t="inlineStr">
        <is>
          <t>Grade 8 – A</t>
        </is>
      </c>
      <c r="C15" s="8">
        <f>IFERROR(ROUND(AVERAGEIFS(Assessments!$J:$J,Assessments!$C:$C,"Lower",Assessments!$K:$K,"Junior School",Assessments!$D:$D,"Grade 8 – A",Assessments!$E:$E,"English"),0),"")</f>
        <v/>
      </c>
      <c r="D15" s="8">
        <f>IFERROR(ROUND(AVERAGEIFS(Assessments!$J:$J,Assessments!$C:$C,"Lower",Assessments!$K:$K,"Junior School",Assessments!$D:$D,"Grade 8 – A",Assessments!$E:$E,"Kiswahili"),0),"")</f>
        <v/>
      </c>
      <c r="E15" s="8">
        <f>IFERROR(ROUND(AVERAGEIFS(Assessments!$J:$J,Assessments!$C:$C,"Lower",Assessments!$K:$K,"Junior School",Assessments!$D:$D,"Grade 8 – A",Assessments!$E:$E,"Mathematics"),0),"")</f>
        <v/>
      </c>
      <c r="F15" s="8">
        <f>IFERROR(ROUND(AVERAGEIFS(Assessments!$J:$J,Assessments!$C:$C,"Lower",Assessments!$K:$K,"Junior School",Assessments!$D:$D,"Grade 8 – A",Assessments!$E:$E,"Science"),0),"")</f>
        <v/>
      </c>
      <c r="G15" s="8">
        <f>IFERROR(ROUND(AVERAGEIFS(Assessments!$J:$J,Assessments!$C:$C,"Lower",Assessments!$K:$K,"Junior School",Assessments!$D:$D,"Grade 8 – A",Assessments!$E:$E,"Integrated Science"),0),"")</f>
        <v/>
      </c>
      <c r="H15" s="8">
        <f>IFERROR(ROUND(AVERAGEIFS(Assessments!$J:$J,Assessments!$C:$C,"Lower",Assessments!$K:$K,"Junior School",Assessments!$D:$D,"Grade 8 – A",Assessments!$E:$E,"Social Studies"),0),"")</f>
        <v/>
      </c>
      <c r="I15" s="8">
        <f>IFERROR(ROUND(AVERAGEIFS(Assessments!$J:$J,Assessments!$C:$C,"Lower",Assessments!$K:$K,"Junior School",Assessments!$D:$D,"Grade 8 – A",Assessments!$E:$E,"CRE"),0),"")</f>
        <v/>
      </c>
      <c r="J15" s="8">
        <f>IFERROR(ROUND(AVERAGEIFS(Assessments!$J:$J,Assessments!$C:$C,"Lower",Assessments!$K:$K,"Junior School",Assessments!$D:$D,"Grade 8 – A",Assessments!$E:$E,"Computer Studies"),0),"")</f>
        <v/>
      </c>
      <c r="K15" s="6">
        <f>IFERROR(ROUND(AVERAGEIFS(Assessments!$J:$J,Assessments!$C:$C,"Lower",Assessments!$K:$K,"Junior School",Assessments!$D:$D,"Grade 8 – A"),0),"")</f>
        <v/>
      </c>
    </row>
    <row r="16">
      <c r="A16" s="8" t="inlineStr">
        <is>
          <t>Junior School</t>
        </is>
      </c>
      <c r="B16" t="inlineStr">
        <is>
          <t>Grade 8 – B</t>
        </is>
      </c>
      <c r="C16" s="8">
        <f>IFERROR(ROUND(AVERAGEIFS(Assessments!$J:$J,Assessments!$C:$C,"Lower",Assessments!$K:$K,"Junior School",Assessments!$D:$D,"Grade 8 – B",Assessments!$E:$E,"English"),0),"")</f>
        <v/>
      </c>
      <c r="D16" s="8">
        <f>IFERROR(ROUND(AVERAGEIFS(Assessments!$J:$J,Assessments!$C:$C,"Lower",Assessments!$K:$K,"Junior School",Assessments!$D:$D,"Grade 8 – B",Assessments!$E:$E,"Kiswahili"),0),"")</f>
        <v/>
      </c>
      <c r="E16" s="8">
        <f>IFERROR(ROUND(AVERAGEIFS(Assessments!$J:$J,Assessments!$C:$C,"Lower",Assessments!$K:$K,"Junior School",Assessments!$D:$D,"Grade 8 – B",Assessments!$E:$E,"Mathematics"),0),"")</f>
        <v/>
      </c>
      <c r="F16" s="8">
        <f>IFERROR(ROUND(AVERAGEIFS(Assessments!$J:$J,Assessments!$C:$C,"Lower",Assessments!$K:$K,"Junior School",Assessments!$D:$D,"Grade 8 – B",Assessments!$E:$E,"Science"),0),"")</f>
        <v/>
      </c>
      <c r="G16" s="8">
        <f>IFERROR(ROUND(AVERAGEIFS(Assessments!$J:$J,Assessments!$C:$C,"Lower",Assessments!$K:$K,"Junior School",Assessments!$D:$D,"Grade 8 – B",Assessments!$E:$E,"Integrated Science"),0),"")</f>
        <v/>
      </c>
      <c r="H16" s="8">
        <f>IFERROR(ROUND(AVERAGEIFS(Assessments!$J:$J,Assessments!$C:$C,"Lower",Assessments!$K:$K,"Junior School",Assessments!$D:$D,"Grade 8 – B",Assessments!$E:$E,"Social Studies"),0),"")</f>
        <v/>
      </c>
      <c r="I16" s="8">
        <f>IFERROR(ROUND(AVERAGEIFS(Assessments!$J:$J,Assessments!$C:$C,"Lower",Assessments!$K:$K,"Junior School",Assessments!$D:$D,"Grade 8 – B",Assessments!$E:$E,"CRE"),0),"")</f>
        <v/>
      </c>
      <c r="J16" s="8">
        <f>IFERROR(ROUND(AVERAGEIFS(Assessments!$J:$J,Assessments!$C:$C,"Lower",Assessments!$K:$K,"Junior School",Assessments!$D:$D,"Grade 8 – B",Assessments!$E:$E,"Computer Studies"),0),"")</f>
        <v/>
      </c>
      <c r="K16" s="6">
        <f>IFERROR(ROUND(AVERAGEIFS(Assessments!$J:$J,Assessments!$C:$C,"Lower",Assessments!$K:$K,"Junior School",Assessments!$D:$D,"Grade 8 – B"),0),"")</f>
        <v/>
      </c>
    </row>
    <row r="17">
      <c r="A17" s="8" t="inlineStr">
        <is>
          <t>Junior School</t>
        </is>
      </c>
      <c r="B17" t="inlineStr">
        <is>
          <t>Grade 9 – A</t>
        </is>
      </c>
      <c r="C17" s="8">
        <f>IFERROR(ROUND(AVERAGEIFS(Assessments!$J:$J,Assessments!$C:$C,"Lower",Assessments!$K:$K,"Junior School",Assessments!$D:$D,"Grade 9 – A",Assessments!$E:$E,"English"),0),"")</f>
        <v/>
      </c>
      <c r="D17" s="8">
        <f>IFERROR(ROUND(AVERAGEIFS(Assessments!$J:$J,Assessments!$C:$C,"Lower",Assessments!$K:$K,"Junior School",Assessments!$D:$D,"Grade 9 – A",Assessments!$E:$E,"Kiswahili"),0),"")</f>
        <v/>
      </c>
      <c r="E17" s="8">
        <f>IFERROR(ROUND(AVERAGEIFS(Assessments!$J:$J,Assessments!$C:$C,"Lower",Assessments!$K:$K,"Junior School",Assessments!$D:$D,"Grade 9 – A",Assessments!$E:$E,"Mathematics"),0),"")</f>
        <v/>
      </c>
      <c r="F17" s="8">
        <f>IFERROR(ROUND(AVERAGEIFS(Assessments!$J:$J,Assessments!$C:$C,"Lower",Assessments!$K:$K,"Junior School",Assessments!$D:$D,"Grade 9 – A",Assessments!$E:$E,"Science"),0),"")</f>
        <v/>
      </c>
      <c r="G17" s="8">
        <f>IFERROR(ROUND(AVERAGEIFS(Assessments!$J:$J,Assessments!$C:$C,"Lower",Assessments!$K:$K,"Junior School",Assessments!$D:$D,"Grade 9 – A",Assessments!$E:$E,"Integrated Science"),0),"")</f>
        <v/>
      </c>
      <c r="H17" s="8">
        <f>IFERROR(ROUND(AVERAGEIFS(Assessments!$J:$J,Assessments!$C:$C,"Lower",Assessments!$K:$K,"Junior School",Assessments!$D:$D,"Grade 9 – A",Assessments!$E:$E,"Social Studies"),0),"")</f>
        <v/>
      </c>
      <c r="I17" s="8">
        <f>IFERROR(ROUND(AVERAGEIFS(Assessments!$J:$J,Assessments!$C:$C,"Lower",Assessments!$K:$K,"Junior School",Assessments!$D:$D,"Grade 9 – A",Assessments!$E:$E,"CRE"),0),"")</f>
        <v/>
      </c>
      <c r="J17" s="8">
        <f>IFERROR(ROUND(AVERAGEIFS(Assessments!$J:$J,Assessments!$C:$C,"Lower",Assessments!$K:$K,"Junior School",Assessments!$D:$D,"Grade 9 – A",Assessments!$E:$E,"Computer Studies"),0),"")</f>
        <v/>
      </c>
      <c r="K17" s="6">
        <f>IFERROR(ROUND(AVERAGEIFS(Assessments!$J:$J,Assessments!$C:$C,"Lower",Assessments!$K:$K,"Junior School",Assessments!$D:$D,"Grade 9 – A"),0),"")</f>
        <v/>
      </c>
    </row>
    <row r="18">
      <c r="A18" s="8" t="inlineStr">
        <is>
          <t>Junior School</t>
        </is>
      </c>
      <c r="B18" t="inlineStr">
        <is>
          <t>Grade 9 – B</t>
        </is>
      </c>
      <c r="C18" s="8">
        <f>IFERROR(ROUND(AVERAGEIFS(Assessments!$J:$J,Assessments!$C:$C,"Lower",Assessments!$K:$K,"Junior School",Assessments!$D:$D,"Grade 9 – B",Assessments!$E:$E,"English"),0),"")</f>
        <v/>
      </c>
      <c r="D18" s="8">
        <f>IFERROR(ROUND(AVERAGEIFS(Assessments!$J:$J,Assessments!$C:$C,"Lower",Assessments!$K:$K,"Junior School",Assessments!$D:$D,"Grade 9 – B",Assessments!$E:$E,"Kiswahili"),0),"")</f>
        <v/>
      </c>
      <c r="E18" s="8">
        <f>IFERROR(ROUND(AVERAGEIFS(Assessments!$J:$J,Assessments!$C:$C,"Lower",Assessments!$K:$K,"Junior School",Assessments!$D:$D,"Grade 9 – B",Assessments!$E:$E,"Mathematics"),0),"")</f>
        <v/>
      </c>
      <c r="F18" s="8">
        <f>IFERROR(ROUND(AVERAGEIFS(Assessments!$J:$J,Assessments!$C:$C,"Lower",Assessments!$K:$K,"Junior School",Assessments!$D:$D,"Grade 9 – B",Assessments!$E:$E,"Science"),0),"")</f>
        <v/>
      </c>
      <c r="G18" s="8">
        <f>IFERROR(ROUND(AVERAGEIFS(Assessments!$J:$J,Assessments!$C:$C,"Lower",Assessments!$K:$K,"Junior School",Assessments!$D:$D,"Grade 9 – B",Assessments!$E:$E,"Integrated Science"),0),"")</f>
        <v/>
      </c>
      <c r="H18" s="8">
        <f>IFERROR(ROUND(AVERAGEIFS(Assessments!$J:$J,Assessments!$C:$C,"Lower",Assessments!$K:$K,"Junior School",Assessments!$D:$D,"Grade 9 – B",Assessments!$E:$E,"Social Studies"),0),"")</f>
        <v/>
      </c>
      <c r="I18" s="8">
        <f>IFERROR(ROUND(AVERAGEIFS(Assessments!$J:$J,Assessments!$C:$C,"Lower",Assessments!$K:$K,"Junior School",Assessments!$D:$D,"Grade 9 – B",Assessments!$E:$E,"CRE"),0),"")</f>
        <v/>
      </c>
      <c r="J18" s="8">
        <f>IFERROR(ROUND(AVERAGEIFS(Assessments!$J:$J,Assessments!$C:$C,"Lower",Assessments!$K:$K,"Junior School",Assessments!$D:$D,"Grade 9 – B",Assessments!$E:$E,"Computer Studies"),0),"")</f>
        <v/>
      </c>
      <c r="K18" s="6">
        <f>IFERROR(ROUND(AVERAGEIFS(Assessments!$J:$J,Assessments!$C:$C,"Lower",Assessments!$K:$K,"Junior School",Assessments!$D:$D,"Grade 9 – B"),0),"")</f>
        <v/>
      </c>
    </row>
  </sheetData>
  <conditionalFormatting sqref="C7:K18">
    <cfRule type="colorScale" priority="1">
      <colorScale>
        <cfvo type="num" val="40"/>
        <cfvo type="num" val="60"/>
        <cfvo type="num" val="80"/>
        <color rgb="00FF0000"/>
        <color rgb="00FFC000"/>
        <color rgb="0000B05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</cols>
  <sheetData>
    <row r="1">
      <c r="A1" s="2" t="inlineStr">
        <is>
          <t>Student Name (enter once, used for dropdowns)</t>
        </is>
      </c>
      <c r="B1" s="2" t="inlineStr">
        <is>
          <t>Campus (Upper/Lower)</t>
        </is>
      </c>
      <c r="C1" s="2" t="inlineStr">
        <is>
          <t>Class</t>
        </is>
      </c>
    </row>
  </sheetData>
  <dataValidations count="1">
    <dataValidation sqref="B2:B2000" showDropDown="0" showInputMessage="0" showErrorMessage="0" allowBlank="1" type="list">
      <formula1>"Upper,Lower"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2" t="inlineStr">
        <is>
          <t>Teacher Name (enter once, used for dropdowns)</t>
        </is>
      </c>
      <c r="B1" s="2" t="inlineStr">
        <is>
          <t>Campus (Upper/Lower) [optional]</t>
        </is>
      </c>
    </row>
  </sheetData>
  <dataValidations count="1">
    <dataValidation sqref="B2:B500" showDropDown="0" showInputMessage="0" showErrorMessage="0" allowBlank="1" type="list">
      <formula1>"Upper,Lower"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20" customWidth="1" min="4" max="4"/>
    <col width="14" customWidth="1" min="5" max="5"/>
    <col width="20" customWidth="1" min="6" max="6"/>
    <col width="28" customWidth="1" min="7" max="7"/>
    <col width="26" customWidth="1" min="8" max="8"/>
    <col width="22" customWidth="1" min="9" max="9"/>
    <col width="22" customWidth="1" min="10" max="10"/>
    <col width="20" customWidth="1" min="11" max="11"/>
    <col width="26" customWidth="1" min="12" max="12"/>
    <col width="30" customWidth="1" min="13" max="13"/>
    <col width="16" customWidth="1" min="14" max="14"/>
  </cols>
  <sheetData>
    <row r="1">
      <c r="A1" s="1" t="inlineStr">
        <is>
          <t>Week Ending</t>
        </is>
      </c>
      <c r="B1" s="1" t="inlineStr">
        <is>
          <t>Campus (Upper/Lower)</t>
        </is>
      </c>
      <c r="C1" s="1" t="inlineStr">
        <is>
          <t>Class</t>
        </is>
      </c>
      <c r="D1" s="1" t="inlineStr">
        <is>
          <t>Class Teacher</t>
        </is>
      </c>
      <c r="E1" s="1" t="inlineStr">
        <is>
          <t>Total Learners</t>
        </is>
      </c>
      <c r="F1" s="1" t="inlineStr">
        <is>
          <t>Frequent Absentees (No.)</t>
        </is>
      </c>
      <c r="G1" s="1" t="inlineStr">
        <is>
          <t>Discipline Level (Excellent/Good/Fair/Poor)</t>
        </is>
      </c>
      <c r="H1" s="1" t="inlineStr">
        <is>
          <t>Homework Completion (High/Medium/Low)</t>
        </is>
      </c>
      <c r="I1" s="1" t="inlineStr">
        <is>
          <t>Learners Struggling (No.)</t>
        </is>
      </c>
      <c r="J1" s="1" t="inlineStr">
        <is>
          <t>Learners Improved (No.)</t>
        </is>
      </c>
      <c r="K1" s="1" t="inlineStr">
        <is>
          <t>Parents to Contact (No.)</t>
        </is>
      </c>
      <c r="L1" s="1" t="inlineStr">
        <is>
          <t>Classroom Condition (Good/Fair/Poor)</t>
        </is>
      </c>
      <c r="M1" s="1" t="inlineStr">
        <is>
          <t>Notes</t>
        </is>
      </c>
      <c r="N1" s="1" t="inlineStr">
        <is>
          <t>Academic Group</t>
        </is>
      </c>
    </row>
    <row r="2">
      <c r="N2">
        <f>IF(C2="","",IFERROR(INDEX(Classes!$B$2:$B$200,MATCH(C2,Classes!$E$2:$E$200,0)),""))</f>
        <v/>
      </c>
    </row>
    <row r="3">
      <c r="N3">
        <f>IF(C3="","",IFERROR(INDEX(Classes!$B$2:$B$200,MATCH(C3,Classes!$E$2:$E$200,0)),""))</f>
        <v/>
      </c>
    </row>
    <row r="4">
      <c r="N4">
        <f>IF(C4="","",IFERROR(INDEX(Classes!$B$2:$B$200,MATCH(C4,Classes!$E$2:$E$200,0)),""))</f>
        <v/>
      </c>
    </row>
    <row r="5">
      <c r="N5">
        <f>IF(C5="","",IFERROR(INDEX(Classes!$B$2:$B$200,MATCH(C5,Classes!$E$2:$E$200,0)),""))</f>
        <v/>
      </c>
    </row>
    <row r="6">
      <c r="N6">
        <f>IF(C6="","",IFERROR(INDEX(Classes!$B$2:$B$200,MATCH(C6,Classes!$E$2:$E$200,0)),""))</f>
        <v/>
      </c>
    </row>
    <row r="7">
      <c r="N7">
        <f>IF(C7="","",IFERROR(INDEX(Classes!$B$2:$B$200,MATCH(C7,Classes!$E$2:$E$200,0)),""))</f>
        <v/>
      </c>
    </row>
    <row r="8">
      <c r="N8">
        <f>IF(C8="","",IFERROR(INDEX(Classes!$B$2:$B$200,MATCH(C8,Classes!$E$2:$E$200,0)),""))</f>
        <v/>
      </c>
    </row>
    <row r="9">
      <c r="N9">
        <f>IF(C9="","",IFERROR(INDEX(Classes!$B$2:$B$200,MATCH(C9,Classes!$E$2:$E$200,0)),""))</f>
        <v/>
      </c>
    </row>
    <row r="10">
      <c r="N10">
        <f>IF(C10="","",IFERROR(INDEX(Classes!$B$2:$B$200,MATCH(C10,Classes!$E$2:$E$200,0)),""))</f>
        <v/>
      </c>
    </row>
    <row r="11">
      <c r="N11">
        <f>IF(C11="","",IFERROR(INDEX(Classes!$B$2:$B$200,MATCH(C11,Classes!$E$2:$E$200,0)),""))</f>
        <v/>
      </c>
    </row>
    <row r="12">
      <c r="N12">
        <f>IF(C12="","",IFERROR(INDEX(Classes!$B$2:$B$200,MATCH(C12,Classes!$E$2:$E$200,0)),""))</f>
        <v/>
      </c>
    </row>
    <row r="13">
      <c r="N13">
        <f>IF(C13="","",IFERROR(INDEX(Classes!$B$2:$B$200,MATCH(C13,Classes!$E$2:$E$200,0)),""))</f>
        <v/>
      </c>
    </row>
    <row r="14">
      <c r="N14">
        <f>IF(C14="","",IFERROR(INDEX(Classes!$B$2:$B$200,MATCH(C14,Classes!$E$2:$E$200,0)),""))</f>
        <v/>
      </c>
    </row>
    <row r="15">
      <c r="N15">
        <f>IF(C15="","",IFERROR(INDEX(Classes!$B$2:$B$200,MATCH(C15,Classes!$E$2:$E$200,0)),""))</f>
        <v/>
      </c>
    </row>
    <row r="16">
      <c r="N16">
        <f>IF(C16="","",IFERROR(INDEX(Classes!$B$2:$B$200,MATCH(C16,Classes!$E$2:$E$200,0)),""))</f>
        <v/>
      </c>
    </row>
    <row r="17">
      <c r="N17">
        <f>IF(C17="","",IFERROR(INDEX(Classes!$B$2:$B$200,MATCH(C17,Classes!$E$2:$E$200,0)),""))</f>
        <v/>
      </c>
    </row>
    <row r="18">
      <c r="N18">
        <f>IF(C18="","",IFERROR(INDEX(Classes!$B$2:$B$200,MATCH(C18,Classes!$E$2:$E$200,0)),""))</f>
        <v/>
      </c>
    </row>
    <row r="19">
      <c r="N19">
        <f>IF(C19="","",IFERROR(INDEX(Classes!$B$2:$B$200,MATCH(C19,Classes!$E$2:$E$200,0)),""))</f>
        <v/>
      </c>
    </row>
    <row r="20">
      <c r="N20">
        <f>IF(C20="","",IFERROR(INDEX(Classes!$B$2:$B$200,MATCH(C20,Classes!$E$2:$E$200,0)),""))</f>
        <v/>
      </c>
    </row>
    <row r="21">
      <c r="N21">
        <f>IF(C21="","",IFERROR(INDEX(Classes!$B$2:$B$200,MATCH(C21,Classes!$E$2:$E$200,0)),""))</f>
        <v/>
      </c>
    </row>
    <row r="22">
      <c r="N22">
        <f>IF(C22="","",IFERROR(INDEX(Classes!$B$2:$B$200,MATCH(C22,Classes!$E$2:$E$200,0)),""))</f>
        <v/>
      </c>
    </row>
    <row r="23">
      <c r="N23">
        <f>IF(C23="","",IFERROR(INDEX(Classes!$B$2:$B$200,MATCH(C23,Classes!$E$2:$E$200,0)),""))</f>
        <v/>
      </c>
    </row>
    <row r="24">
      <c r="N24">
        <f>IF(C24="","",IFERROR(INDEX(Classes!$B$2:$B$200,MATCH(C24,Classes!$E$2:$E$200,0)),""))</f>
        <v/>
      </c>
    </row>
    <row r="25">
      <c r="N25">
        <f>IF(C25="","",IFERROR(INDEX(Classes!$B$2:$B$200,MATCH(C25,Classes!$E$2:$E$200,0)),""))</f>
        <v/>
      </c>
    </row>
    <row r="26">
      <c r="N26">
        <f>IF(C26="","",IFERROR(INDEX(Classes!$B$2:$B$200,MATCH(C26,Classes!$E$2:$E$200,0)),""))</f>
        <v/>
      </c>
    </row>
    <row r="27">
      <c r="N27">
        <f>IF(C27="","",IFERROR(INDEX(Classes!$B$2:$B$200,MATCH(C27,Classes!$E$2:$E$200,0)),""))</f>
        <v/>
      </c>
    </row>
    <row r="28">
      <c r="N28">
        <f>IF(C28="","",IFERROR(INDEX(Classes!$B$2:$B$200,MATCH(C28,Classes!$E$2:$E$200,0)),""))</f>
        <v/>
      </c>
    </row>
    <row r="29">
      <c r="N29">
        <f>IF(C29="","",IFERROR(INDEX(Classes!$B$2:$B$200,MATCH(C29,Classes!$E$2:$E$200,0)),""))</f>
        <v/>
      </c>
    </row>
    <row r="30">
      <c r="N30">
        <f>IF(C30="","",IFERROR(INDEX(Classes!$B$2:$B$200,MATCH(C30,Classes!$E$2:$E$200,0)),""))</f>
        <v/>
      </c>
    </row>
    <row r="31">
      <c r="N31">
        <f>IF(C31="","",IFERROR(INDEX(Classes!$B$2:$B$200,MATCH(C31,Classes!$E$2:$E$200,0)),""))</f>
        <v/>
      </c>
    </row>
    <row r="32">
      <c r="N32">
        <f>IF(C32="","",IFERROR(INDEX(Classes!$B$2:$B$200,MATCH(C32,Classes!$E$2:$E$200,0)),""))</f>
        <v/>
      </c>
    </row>
    <row r="33">
      <c r="N33">
        <f>IF(C33="","",IFERROR(INDEX(Classes!$B$2:$B$200,MATCH(C33,Classes!$E$2:$E$200,0)),""))</f>
        <v/>
      </c>
    </row>
    <row r="34">
      <c r="N34">
        <f>IF(C34="","",IFERROR(INDEX(Classes!$B$2:$B$200,MATCH(C34,Classes!$E$2:$E$200,0)),""))</f>
        <v/>
      </c>
    </row>
    <row r="35">
      <c r="N35">
        <f>IF(C35="","",IFERROR(INDEX(Classes!$B$2:$B$200,MATCH(C35,Classes!$E$2:$E$200,0)),""))</f>
        <v/>
      </c>
    </row>
    <row r="36">
      <c r="N36">
        <f>IF(C36="","",IFERROR(INDEX(Classes!$B$2:$B$200,MATCH(C36,Classes!$E$2:$E$200,0)),""))</f>
        <v/>
      </c>
    </row>
    <row r="37">
      <c r="N37">
        <f>IF(C37="","",IFERROR(INDEX(Classes!$B$2:$B$200,MATCH(C37,Classes!$E$2:$E$200,0)),""))</f>
        <v/>
      </c>
    </row>
    <row r="38">
      <c r="N38">
        <f>IF(C38="","",IFERROR(INDEX(Classes!$B$2:$B$200,MATCH(C38,Classes!$E$2:$E$200,0)),""))</f>
        <v/>
      </c>
    </row>
    <row r="39">
      <c r="N39">
        <f>IF(C39="","",IFERROR(INDEX(Classes!$B$2:$B$200,MATCH(C39,Classes!$E$2:$E$200,0)),""))</f>
        <v/>
      </c>
    </row>
    <row r="40">
      <c r="N40">
        <f>IF(C40="","",IFERROR(INDEX(Classes!$B$2:$B$200,MATCH(C40,Classes!$E$2:$E$200,0)),""))</f>
        <v/>
      </c>
    </row>
    <row r="41">
      <c r="N41">
        <f>IF(C41="","",IFERROR(INDEX(Classes!$B$2:$B$200,MATCH(C41,Classes!$E$2:$E$200,0)),""))</f>
        <v/>
      </c>
    </row>
    <row r="42">
      <c r="N42">
        <f>IF(C42="","",IFERROR(INDEX(Classes!$B$2:$B$200,MATCH(C42,Classes!$E$2:$E$200,0)),""))</f>
        <v/>
      </c>
    </row>
    <row r="43">
      <c r="N43">
        <f>IF(C43="","",IFERROR(INDEX(Classes!$B$2:$B$200,MATCH(C43,Classes!$E$2:$E$200,0)),""))</f>
        <v/>
      </c>
    </row>
    <row r="44">
      <c r="N44">
        <f>IF(C44="","",IFERROR(INDEX(Classes!$B$2:$B$200,MATCH(C44,Classes!$E$2:$E$200,0)),""))</f>
        <v/>
      </c>
    </row>
    <row r="45">
      <c r="N45">
        <f>IF(C45="","",IFERROR(INDEX(Classes!$B$2:$B$200,MATCH(C45,Classes!$E$2:$E$200,0)),""))</f>
        <v/>
      </c>
    </row>
    <row r="46">
      <c r="N46">
        <f>IF(C46="","",IFERROR(INDEX(Classes!$B$2:$B$200,MATCH(C46,Classes!$E$2:$E$200,0)),""))</f>
        <v/>
      </c>
    </row>
    <row r="47">
      <c r="N47">
        <f>IF(C47="","",IFERROR(INDEX(Classes!$B$2:$B$200,MATCH(C47,Classes!$E$2:$E$200,0)),""))</f>
        <v/>
      </c>
    </row>
    <row r="48">
      <c r="N48">
        <f>IF(C48="","",IFERROR(INDEX(Classes!$B$2:$B$200,MATCH(C48,Classes!$E$2:$E$200,0)),""))</f>
        <v/>
      </c>
    </row>
    <row r="49">
      <c r="N49">
        <f>IF(C49="","",IFERROR(INDEX(Classes!$B$2:$B$200,MATCH(C49,Classes!$E$2:$E$200,0)),""))</f>
        <v/>
      </c>
    </row>
    <row r="50">
      <c r="N50">
        <f>IF(C50="","",IFERROR(INDEX(Classes!$B$2:$B$200,MATCH(C50,Classes!$E$2:$E$200,0)),""))</f>
        <v/>
      </c>
    </row>
    <row r="51">
      <c r="N51">
        <f>IF(C51="","",IFERROR(INDEX(Classes!$B$2:$B$200,MATCH(C51,Classes!$E$2:$E$200,0)),""))</f>
        <v/>
      </c>
    </row>
    <row r="52">
      <c r="N52">
        <f>IF(C52="","",IFERROR(INDEX(Classes!$B$2:$B$200,MATCH(C52,Classes!$E$2:$E$200,0)),""))</f>
        <v/>
      </c>
    </row>
    <row r="53">
      <c r="N53">
        <f>IF(C53="","",IFERROR(INDEX(Classes!$B$2:$B$200,MATCH(C53,Classes!$E$2:$E$200,0)),""))</f>
        <v/>
      </c>
    </row>
    <row r="54">
      <c r="N54">
        <f>IF(C54="","",IFERROR(INDEX(Classes!$B$2:$B$200,MATCH(C54,Classes!$E$2:$E$200,0)),""))</f>
        <v/>
      </c>
    </row>
    <row r="55">
      <c r="N55">
        <f>IF(C55="","",IFERROR(INDEX(Classes!$B$2:$B$200,MATCH(C55,Classes!$E$2:$E$200,0)),""))</f>
        <v/>
      </c>
    </row>
    <row r="56">
      <c r="N56">
        <f>IF(C56="","",IFERROR(INDEX(Classes!$B$2:$B$200,MATCH(C56,Classes!$E$2:$E$200,0)),""))</f>
        <v/>
      </c>
    </row>
    <row r="57">
      <c r="N57">
        <f>IF(C57="","",IFERROR(INDEX(Classes!$B$2:$B$200,MATCH(C57,Classes!$E$2:$E$200,0)),""))</f>
        <v/>
      </c>
    </row>
    <row r="58">
      <c r="N58">
        <f>IF(C58="","",IFERROR(INDEX(Classes!$B$2:$B$200,MATCH(C58,Classes!$E$2:$E$200,0)),""))</f>
        <v/>
      </c>
    </row>
    <row r="59">
      <c r="N59">
        <f>IF(C59="","",IFERROR(INDEX(Classes!$B$2:$B$200,MATCH(C59,Classes!$E$2:$E$200,0)),""))</f>
        <v/>
      </c>
    </row>
    <row r="60">
      <c r="N60">
        <f>IF(C60="","",IFERROR(INDEX(Classes!$B$2:$B$200,MATCH(C60,Classes!$E$2:$E$200,0)),""))</f>
        <v/>
      </c>
    </row>
    <row r="61">
      <c r="N61">
        <f>IF(C61="","",IFERROR(INDEX(Classes!$B$2:$B$200,MATCH(C61,Classes!$E$2:$E$200,0)),""))</f>
        <v/>
      </c>
    </row>
    <row r="62">
      <c r="N62">
        <f>IF(C62="","",IFERROR(INDEX(Classes!$B$2:$B$200,MATCH(C62,Classes!$E$2:$E$200,0)),""))</f>
        <v/>
      </c>
    </row>
    <row r="63">
      <c r="N63">
        <f>IF(C63="","",IFERROR(INDEX(Classes!$B$2:$B$200,MATCH(C63,Classes!$E$2:$E$200,0)),""))</f>
        <v/>
      </c>
    </row>
    <row r="64">
      <c r="N64">
        <f>IF(C64="","",IFERROR(INDEX(Classes!$B$2:$B$200,MATCH(C64,Classes!$E$2:$E$200,0)),""))</f>
        <v/>
      </c>
    </row>
    <row r="65">
      <c r="N65">
        <f>IF(C65="","",IFERROR(INDEX(Classes!$B$2:$B$200,MATCH(C65,Classes!$E$2:$E$200,0)),""))</f>
        <v/>
      </c>
    </row>
    <row r="66">
      <c r="N66">
        <f>IF(C66="","",IFERROR(INDEX(Classes!$B$2:$B$200,MATCH(C66,Classes!$E$2:$E$200,0)),""))</f>
        <v/>
      </c>
    </row>
    <row r="67">
      <c r="N67">
        <f>IF(C67="","",IFERROR(INDEX(Classes!$B$2:$B$200,MATCH(C67,Classes!$E$2:$E$200,0)),""))</f>
        <v/>
      </c>
    </row>
    <row r="68">
      <c r="N68">
        <f>IF(C68="","",IFERROR(INDEX(Classes!$B$2:$B$200,MATCH(C68,Classes!$E$2:$E$200,0)),""))</f>
        <v/>
      </c>
    </row>
    <row r="69">
      <c r="N69">
        <f>IF(C69="","",IFERROR(INDEX(Classes!$B$2:$B$200,MATCH(C69,Classes!$E$2:$E$200,0)),""))</f>
        <v/>
      </c>
    </row>
    <row r="70">
      <c r="N70">
        <f>IF(C70="","",IFERROR(INDEX(Classes!$B$2:$B$200,MATCH(C70,Classes!$E$2:$E$200,0)),""))</f>
        <v/>
      </c>
    </row>
    <row r="71">
      <c r="N71">
        <f>IF(C71="","",IFERROR(INDEX(Classes!$B$2:$B$200,MATCH(C71,Classes!$E$2:$E$200,0)),""))</f>
        <v/>
      </c>
    </row>
    <row r="72">
      <c r="N72">
        <f>IF(C72="","",IFERROR(INDEX(Classes!$B$2:$B$200,MATCH(C72,Classes!$E$2:$E$200,0)),""))</f>
        <v/>
      </c>
    </row>
    <row r="73">
      <c r="N73">
        <f>IF(C73="","",IFERROR(INDEX(Classes!$B$2:$B$200,MATCH(C73,Classes!$E$2:$E$200,0)),""))</f>
        <v/>
      </c>
    </row>
    <row r="74">
      <c r="N74">
        <f>IF(C74="","",IFERROR(INDEX(Classes!$B$2:$B$200,MATCH(C74,Classes!$E$2:$E$200,0)),""))</f>
        <v/>
      </c>
    </row>
    <row r="75">
      <c r="N75">
        <f>IF(C75="","",IFERROR(INDEX(Classes!$B$2:$B$200,MATCH(C75,Classes!$E$2:$E$200,0)),""))</f>
        <v/>
      </c>
    </row>
    <row r="76">
      <c r="N76">
        <f>IF(C76="","",IFERROR(INDEX(Classes!$B$2:$B$200,MATCH(C76,Classes!$E$2:$E$200,0)),""))</f>
        <v/>
      </c>
    </row>
    <row r="77">
      <c r="N77">
        <f>IF(C77="","",IFERROR(INDEX(Classes!$B$2:$B$200,MATCH(C77,Classes!$E$2:$E$200,0)),""))</f>
        <v/>
      </c>
    </row>
    <row r="78">
      <c r="N78">
        <f>IF(C78="","",IFERROR(INDEX(Classes!$B$2:$B$200,MATCH(C78,Classes!$E$2:$E$200,0)),""))</f>
        <v/>
      </c>
    </row>
    <row r="79">
      <c r="N79">
        <f>IF(C79="","",IFERROR(INDEX(Classes!$B$2:$B$200,MATCH(C79,Classes!$E$2:$E$200,0)),""))</f>
        <v/>
      </c>
    </row>
    <row r="80">
      <c r="N80">
        <f>IF(C80="","",IFERROR(INDEX(Classes!$B$2:$B$200,MATCH(C80,Classes!$E$2:$E$200,0)),""))</f>
        <v/>
      </c>
    </row>
    <row r="81">
      <c r="N81">
        <f>IF(C81="","",IFERROR(INDEX(Classes!$B$2:$B$200,MATCH(C81,Classes!$E$2:$E$200,0)),""))</f>
        <v/>
      </c>
    </row>
    <row r="82">
      <c r="N82">
        <f>IF(C82="","",IFERROR(INDEX(Classes!$B$2:$B$200,MATCH(C82,Classes!$E$2:$E$200,0)),""))</f>
        <v/>
      </c>
    </row>
    <row r="83">
      <c r="N83">
        <f>IF(C83="","",IFERROR(INDEX(Classes!$B$2:$B$200,MATCH(C83,Classes!$E$2:$E$200,0)),""))</f>
        <v/>
      </c>
    </row>
    <row r="84">
      <c r="N84">
        <f>IF(C84="","",IFERROR(INDEX(Classes!$B$2:$B$200,MATCH(C84,Classes!$E$2:$E$200,0)),""))</f>
        <v/>
      </c>
    </row>
    <row r="85">
      <c r="N85">
        <f>IF(C85="","",IFERROR(INDEX(Classes!$B$2:$B$200,MATCH(C85,Classes!$E$2:$E$200,0)),""))</f>
        <v/>
      </c>
    </row>
    <row r="86">
      <c r="N86">
        <f>IF(C86="","",IFERROR(INDEX(Classes!$B$2:$B$200,MATCH(C86,Classes!$E$2:$E$200,0)),""))</f>
        <v/>
      </c>
    </row>
    <row r="87">
      <c r="N87">
        <f>IF(C87="","",IFERROR(INDEX(Classes!$B$2:$B$200,MATCH(C87,Classes!$E$2:$E$200,0)),""))</f>
        <v/>
      </c>
    </row>
    <row r="88">
      <c r="N88">
        <f>IF(C88="","",IFERROR(INDEX(Classes!$B$2:$B$200,MATCH(C88,Classes!$E$2:$E$200,0)),""))</f>
        <v/>
      </c>
    </row>
    <row r="89">
      <c r="N89">
        <f>IF(C89="","",IFERROR(INDEX(Classes!$B$2:$B$200,MATCH(C89,Classes!$E$2:$E$200,0)),""))</f>
        <v/>
      </c>
    </row>
    <row r="90">
      <c r="N90">
        <f>IF(C90="","",IFERROR(INDEX(Classes!$B$2:$B$200,MATCH(C90,Classes!$E$2:$E$200,0)),""))</f>
        <v/>
      </c>
    </row>
    <row r="91">
      <c r="N91">
        <f>IF(C91="","",IFERROR(INDEX(Classes!$B$2:$B$200,MATCH(C91,Classes!$E$2:$E$200,0)),""))</f>
        <v/>
      </c>
    </row>
    <row r="92">
      <c r="N92">
        <f>IF(C92="","",IFERROR(INDEX(Classes!$B$2:$B$200,MATCH(C92,Classes!$E$2:$E$200,0)),""))</f>
        <v/>
      </c>
    </row>
    <row r="93">
      <c r="N93">
        <f>IF(C93="","",IFERROR(INDEX(Classes!$B$2:$B$200,MATCH(C93,Classes!$E$2:$E$200,0)),""))</f>
        <v/>
      </c>
    </row>
    <row r="94">
      <c r="N94">
        <f>IF(C94="","",IFERROR(INDEX(Classes!$B$2:$B$200,MATCH(C94,Classes!$E$2:$E$200,0)),""))</f>
        <v/>
      </c>
    </row>
    <row r="95">
      <c r="N95">
        <f>IF(C95="","",IFERROR(INDEX(Classes!$B$2:$B$200,MATCH(C95,Classes!$E$2:$E$200,0)),""))</f>
        <v/>
      </c>
    </row>
    <row r="96">
      <c r="N96">
        <f>IF(C96="","",IFERROR(INDEX(Classes!$B$2:$B$200,MATCH(C96,Classes!$E$2:$E$200,0)),""))</f>
        <v/>
      </c>
    </row>
    <row r="97">
      <c r="N97">
        <f>IF(C97="","",IFERROR(INDEX(Classes!$B$2:$B$200,MATCH(C97,Classes!$E$2:$E$200,0)),""))</f>
        <v/>
      </c>
    </row>
    <row r="98">
      <c r="N98">
        <f>IF(C98="","",IFERROR(INDEX(Classes!$B$2:$B$200,MATCH(C98,Classes!$E$2:$E$200,0)),""))</f>
        <v/>
      </c>
    </row>
    <row r="99">
      <c r="N99">
        <f>IF(C99="","",IFERROR(INDEX(Classes!$B$2:$B$200,MATCH(C99,Classes!$E$2:$E$200,0)),""))</f>
        <v/>
      </c>
    </row>
    <row r="100">
      <c r="N100">
        <f>IF(C100="","",IFERROR(INDEX(Classes!$B$2:$B$200,MATCH(C100,Classes!$E$2:$E$200,0)),""))</f>
        <v/>
      </c>
    </row>
    <row r="101">
      <c r="N101">
        <f>IF(C101="","",IFERROR(INDEX(Classes!$B$2:$B$200,MATCH(C101,Classes!$E$2:$E$200,0)),""))</f>
        <v/>
      </c>
    </row>
    <row r="102">
      <c r="N102">
        <f>IF(C102="","",IFERROR(INDEX(Classes!$B$2:$B$200,MATCH(C102,Classes!$E$2:$E$200,0)),""))</f>
        <v/>
      </c>
    </row>
    <row r="103">
      <c r="N103">
        <f>IF(C103="","",IFERROR(INDEX(Classes!$B$2:$B$200,MATCH(C103,Classes!$E$2:$E$200,0)),""))</f>
        <v/>
      </c>
    </row>
    <row r="104">
      <c r="N104">
        <f>IF(C104="","",IFERROR(INDEX(Classes!$B$2:$B$200,MATCH(C104,Classes!$E$2:$E$200,0)),""))</f>
        <v/>
      </c>
    </row>
    <row r="105">
      <c r="N105">
        <f>IF(C105="","",IFERROR(INDEX(Classes!$B$2:$B$200,MATCH(C105,Classes!$E$2:$E$200,0)),""))</f>
        <v/>
      </c>
    </row>
    <row r="106">
      <c r="N106">
        <f>IF(C106="","",IFERROR(INDEX(Classes!$B$2:$B$200,MATCH(C106,Classes!$E$2:$E$200,0)),""))</f>
        <v/>
      </c>
    </row>
    <row r="107">
      <c r="N107">
        <f>IF(C107="","",IFERROR(INDEX(Classes!$B$2:$B$200,MATCH(C107,Classes!$E$2:$E$200,0)),""))</f>
        <v/>
      </c>
    </row>
    <row r="108">
      <c r="N108">
        <f>IF(C108="","",IFERROR(INDEX(Classes!$B$2:$B$200,MATCH(C108,Classes!$E$2:$E$200,0)),""))</f>
        <v/>
      </c>
    </row>
    <row r="109">
      <c r="N109">
        <f>IF(C109="","",IFERROR(INDEX(Classes!$B$2:$B$200,MATCH(C109,Classes!$E$2:$E$200,0)),""))</f>
        <v/>
      </c>
    </row>
    <row r="110">
      <c r="N110">
        <f>IF(C110="","",IFERROR(INDEX(Classes!$B$2:$B$200,MATCH(C110,Classes!$E$2:$E$200,0)),""))</f>
        <v/>
      </c>
    </row>
    <row r="111">
      <c r="N111">
        <f>IF(C111="","",IFERROR(INDEX(Classes!$B$2:$B$200,MATCH(C111,Classes!$E$2:$E$200,0)),""))</f>
        <v/>
      </c>
    </row>
    <row r="112">
      <c r="N112">
        <f>IF(C112="","",IFERROR(INDEX(Classes!$B$2:$B$200,MATCH(C112,Classes!$E$2:$E$200,0)),""))</f>
        <v/>
      </c>
    </row>
    <row r="113">
      <c r="N113">
        <f>IF(C113="","",IFERROR(INDEX(Classes!$B$2:$B$200,MATCH(C113,Classes!$E$2:$E$200,0)),""))</f>
        <v/>
      </c>
    </row>
    <row r="114">
      <c r="N114">
        <f>IF(C114="","",IFERROR(INDEX(Classes!$B$2:$B$200,MATCH(C114,Classes!$E$2:$E$200,0)),""))</f>
        <v/>
      </c>
    </row>
    <row r="115">
      <c r="N115">
        <f>IF(C115="","",IFERROR(INDEX(Classes!$B$2:$B$200,MATCH(C115,Classes!$E$2:$E$200,0)),""))</f>
        <v/>
      </c>
    </row>
    <row r="116">
      <c r="N116">
        <f>IF(C116="","",IFERROR(INDEX(Classes!$B$2:$B$200,MATCH(C116,Classes!$E$2:$E$200,0)),""))</f>
        <v/>
      </c>
    </row>
    <row r="117">
      <c r="N117">
        <f>IF(C117="","",IFERROR(INDEX(Classes!$B$2:$B$200,MATCH(C117,Classes!$E$2:$E$200,0)),""))</f>
        <v/>
      </c>
    </row>
    <row r="118">
      <c r="N118">
        <f>IF(C118="","",IFERROR(INDEX(Classes!$B$2:$B$200,MATCH(C118,Classes!$E$2:$E$200,0)),""))</f>
        <v/>
      </c>
    </row>
    <row r="119">
      <c r="N119">
        <f>IF(C119="","",IFERROR(INDEX(Classes!$B$2:$B$200,MATCH(C119,Classes!$E$2:$E$200,0)),""))</f>
        <v/>
      </c>
    </row>
    <row r="120">
      <c r="N120">
        <f>IF(C120="","",IFERROR(INDEX(Classes!$B$2:$B$200,MATCH(C120,Classes!$E$2:$E$200,0)),""))</f>
        <v/>
      </c>
    </row>
    <row r="121">
      <c r="N121">
        <f>IF(C121="","",IFERROR(INDEX(Classes!$B$2:$B$200,MATCH(C121,Classes!$E$2:$E$200,0)),""))</f>
        <v/>
      </c>
    </row>
    <row r="122">
      <c r="N122">
        <f>IF(C122="","",IFERROR(INDEX(Classes!$B$2:$B$200,MATCH(C122,Classes!$E$2:$E$200,0)),""))</f>
        <v/>
      </c>
    </row>
    <row r="123">
      <c r="N123">
        <f>IF(C123="","",IFERROR(INDEX(Classes!$B$2:$B$200,MATCH(C123,Classes!$E$2:$E$200,0)),""))</f>
        <v/>
      </c>
    </row>
    <row r="124">
      <c r="N124">
        <f>IF(C124="","",IFERROR(INDEX(Classes!$B$2:$B$200,MATCH(C124,Classes!$E$2:$E$200,0)),""))</f>
        <v/>
      </c>
    </row>
    <row r="125">
      <c r="N125">
        <f>IF(C125="","",IFERROR(INDEX(Classes!$B$2:$B$200,MATCH(C125,Classes!$E$2:$E$200,0)),""))</f>
        <v/>
      </c>
    </row>
    <row r="126">
      <c r="N126">
        <f>IF(C126="","",IFERROR(INDEX(Classes!$B$2:$B$200,MATCH(C126,Classes!$E$2:$E$200,0)),""))</f>
        <v/>
      </c>
    </row>
    <row r="127">
      <c r="N127">
        <f>IF(C127="","",IFERROR(INDEX(Classes!$B$2:$B$200,MATCH(C127,Classes!$E$2:$E$200,0)),""))</f>
        <v/>
      </c>
    </row>
    <row r="128">
      <c r="N128">
        <f>IF(C128="","",IFERROR(INDEX(Classes!$B$2:$B$200,MATCH(C128,Classes!$E$2:$E$200,0)),""))</f>
        <v/>
      </c>
    </row>
    <row r="129">
      <c r="N129">
        <f>IF(C129="","",IFERROR(INDEX(Classes!$B$2:$B$200,MATCH(C129,Classes!$E$2:$E$200,0)),""))</f>
        <v/>
      </c>
    </row>
    <row r="130">
      <c r="N130">
        <f>IF(C130="","",IFERROR(INDEX(Classes!$B$2:$B$200,MATCH(C130,Classes!$E$2:$E$200,0)),""))</f>
        <v/>
      </c>
    </row>
    <row r="131">
      <c r="N131">
        <f>IF(C131="","",IFERROR(INDEX(Classes!$B$2:$B$200,MATCH(C131,Classes!$E$2:$E$200,0)),""))</f>
        <v/>
      </c>
    </row>
    <row r="132">
      <c r="N132">
        <f>IF(C132="","",IFERROR(INDEX(Classes!$B$2:$B$200,MATCH(C132,Classes!$E$2:$E$200,0)),""))</f>
        <v/>
      </c>
    </row>
    <row r="133">
      <c r="N133">
        <f>IF(C133="","",IFERROR(INDEX(Classes!$B$2:$B$200,MATCH(C133,Classes!$E$2:$E$200,0)),""))</f>
        <v/>
      </c>
    </row>
    <row r="134">
      <c r="N134">
        <f>IF(C134="","",IFERROR(INDEX(Classes!$B$2:$B$200,MATCH(C134,Classes!$E$2:$E$200,0)),""))</f>
        <v/>
      </c>
    </row>
    <row r="135">
      <c r="N135">
        <f>IF(C135="","",IFERROR(INDEX(Classes!$B$2:$B$200,MATCH(C135,Classes!$E$2:$E$200,0)),""))</f>
        <v/>
      </c>
    </row>
    <row r="136">
      <c r="N136">
        <f>IF(C136="","",IFERROR(INDEX(Classes!$B$2:$B$200,MATCH(C136,Classes!$E$2:$E$200,0)),""))</f>
        <v/>
      </c>
    </row>
    <row r="137">
      <c r="N137">
        <f>IF(C137="","",IFERROR(INDEX(Classes!$B$2:$B$200,MATCH(C137,Classes!$E$2:$E$200,0)),""))</f>
        <v/>
      </c>
    </row>
    <row r="138">
      <c r="N138">
        <f>IF(C138="","",IFERROR(INDEX(Classes!$B$2:$B$200,MATCH(C138,Classes!$E$2:$E$200,0)),""))</f>
        <v/>
      </c>
    </row>
    <row r="139">
      <c r="N139">
        <f>IF(C139="","",IFERROR(INDEX(Classes!$B$2:$B$200,MATCH(C139,Classes!$E$2:$E$200,0)),""))</f>
        <v/>
      </c>
    </row>
    <row r="140">
      <c r="N140">
        <f>IF(C140="","",IFERROR(INDEX(Classes!$B$2:$B$200,MATCH(C140,Classes!$E$2:$E$200,0)),""))</f>
        <v/>
      </c>
    </row>
    <row r="141">
      <c r="N141">
        <f>IF(C141="","",IFERROR(INDEX(Classes!$B$2:$B$200,MATCH(C141,Classes!$E$2:$E$200,0)),""))</f>
        <v/>
      </c>
    </row>
    <row r="142">
      <c r="N142">
        <f>IF(C142="","",IFERROR(INDEX(Classes!$B$2:$B$200,MATCH(C142,Classes!$E$2:$E$200,0)),""))</f>
        <v/>
      </c>
    </row>
    <row r="143">
      <c r="N143">
        <f>IF(C143="","",IFERROR(INDEX(Classes!$B$2:$B$200,MATCH(C143,Classes!$E$2:$E$200,0)),""))</f>
        <v/>
      </c>
    </row>
    <row r="144">
      <c r="N144">
        <f>IF(C144="","",IFERROR(INDEX(Classes!$B$2:$B$200,MATCH(C144,Classes!$E$2:$E$200,0)),""))</f>
        <v/>
      </c>
    </row>
    <row r="145">
      <c r="N145">
        <f>IF(C145="","",IFERROR(INDEX(Classes!$B$2:$B$200,MATCH(C145,Classes!$E$2:$E$200,0)),""))</f>
        <v/>
      </c>
    </row>
    <row r="146">
      <c r="N146">
        <f>IF(C146="","",IFERROR(INDEX(Classes!$B$2:$B$200,MATCH(C146,Classes!$E$2:$E$200,0)),""))</f>
        <v/>
      </c>
    </row>
    <row r="147">
      <c r="N147">
        <f>IF(C147="","",IFERROR(INDEX(Classes!$B$2:$B$200,MATCH(C147,Classes!$E$2:$E$200,0)),""))</f>
        <v/>
      </c>
    </row>
    <row r="148">
      <c r="N148">
        <f>IF(C148="","",IFERROR(INDEX(Classes!$B$2:$B$200,MATCH(C148,Classes!$E$2:$E$200,0)),""))</f>
        <v/>
      </c>
    </row>
    <row r="149">
      <c r="N149">
        <f>IF(C149="","",IFERROR(INDEX(Classes!$B$2:$B$200,MATCH(C149,Classes!$E$2:$E$200,0)),""))</f>
        <v/>
      </c>
    </row>
    <row r="150">
      <c r="N150">
        <f>IF(C150="","",IFERROR(INDEX(Classes!$B$2:$B$200,MATCH(C150,Classes!$E$2:$E$200,0)),""))</f>
        <v/>
      </c>
    </row>
    <row r="151">
      <c r="N151">
        <f>IF(C151="","",IFERROR(INDEX(Classes!$B$2:$B$200,MATCH(C151,Classes!$E$2:$E$200,0)),""))</f>
        <v/>
      </c>
    </row>
    <row r="152">
      <c r="N152">
        <f>IF(C152="","",IFERROR(INDEX(Classes!$B$2:$B$200,MATCH(C152,Classes!$E$2:$E$200,0)),""))</f>
        <v/>
      </c>
    </row>
    <row r="153">
      <c r="N153">
        <f>IF(C153="","",IFERROR(INDEX(Classes!$B$2:$B$200,MATCH(C153,Classes!$E$2:$E$200,0)),""))</f>
        <v/>
      </c>
    </row>
    <row r="154">
      <c r="N154">
        <f>IF(C154="","",IFERROR(INDEX(Classes!$B$2:$B$200,MATCH(C154,Classes!$E$2:$E$200,0)),""))</f>
        <v/>
      </c>
    </row>
    <row r="155">
      <c r="N155">
        <f>IF(C155="","",IFERROR(INDEX(Classes!$B$2:$B$200,MATCH(C155,Classes!$E$2:$E$200,0)),""))</f>
        <v/>
      </c>
    </row>
    <row r="156">
      <c r="N156">
        <f>IF(C156="","",IFERROR(INDEX(Classes!$B$2:$B$200,MATCH(C156,Classes!$E$2:$E$200,0)),""))</f>
        <v/>
      </c>
    </row>
    <row r="157">
      <c r="N157">
        <f>IF(C157="","",IFERROR(INDEX(Classes!$B$2:$B$200,MATCH(C157,Classes!$E$2:$E$200,0)),""))</f>
        <v/>
      </c>
    </row>
    <row r="158">
      <c r="N158">
        <f>IF(C158="","",IFERROR(INDEX(Classes!$B$2:$B$200,MATCH(C158,Classes!$E$2:$E$200,0)),""))</f>
        <v/>
      </c>
    </row>
    <row r="159">
      <c r="N159">
        <f>IF(C159="","",IFERROR(INDEX(Classes!$B$2:$B$200,MATCH(C159,Classes!$E$2:$E$200,0)),""))</f>
        <v/>
      </c>
    </row>
    <row r="160">
      <c r="N160">
        <f>IF(C160="","",IFERROR(INDEX(Classes!$B$2:$B$200,MATCH(C160,Classes!$E$2:$E$200,0)),""))</f>
        <v/>
      </c>
    </row>
    <row r="161">
      <c r="N161">
        <f>IF(C161="","",IFERROR(INDEX(Classes!$B$2:$B$200,MATCH(C161,Classes!$E$2:$E$200,0)),""))</f>
        <v/>
      </c>
    </row>
    <row r="162">
      <c r="N162">
        <f>IF(C162="","",IFERROR(INDEX(Classes!$B$2:$B$200,MATCH(C162,Classes!$E$2:$E$200,0)),""))</f>
        <v/>
      </c>
    </row>
    <row r="163">
      <c r="N163">
        <f>IF(C163="","",IFERROR(INDEX(Classes!$B$2:$B$200,MATCH(C163,Classes!$E$2:$E$200,0)),""))</f>
        <v/>
      </c>
    </row>
    <row r="164">
      <c r="N164">
        <f>IF(C164="","",IFERROR(INDEX(Classes!$B$2:$B$200,MATCH(C164,Classes!$E$2:$E$200,0)),""))</f>
        <v/>
      </c>
    </row>
    <row r="165">
      <c r="N165">
        <f>IF(C165="","",IFERROR(INDEX(Classes!$B$2:$B$200,MATCH(C165,Classes!$E$2:$E$200,0)),""))</f>
        <v/>
      </c>
    </row>
    <row r="166">
      <c r="N166">
        <f>IF(C166="","",IFERROR(INDEX(Classes!$B$2:$B$200,MATCH(C166,Classes!$E$2:$E$200,0)),""))</f>
        <v/>
      </c>
    </row>
    <row r="167">
      <c r="N167">
        <f>IF(C167="","",IFERROR(INDEX(Classes!$B$2:$B$200,MATCH(C167,Classes!$E$2:$E$200,0)),""))</f>
        <v/>
      </c>
    </row>
    <row r="168">
      <c r="N168">
        <f>IF(C168="","",IFERROR(INDEX(Classes!$B$2:$B$200,MATCH(C168,Classes!$E$2:$E$200,0)),""))</f>
        <v/>
      </c>
    </row>
    <row r="169">
      <c r="N169">
        <f>IF(C169="","",IFERROR(INDEX(Classes!$B$2:$B$200,MATCH(C169,Classes!$E$2:$E$200,0)),""))</f>
        <v/>
      </c>
    </row>
    <row r="170">
      <c r="N170">
        <f>IF(C170="","",IFERROR(INDEX(Classes!$B$2:$B$200,MATCH(C170,Classes!$E$2:$E$200,0)),""))</f>
        <v/>
      </c>
    </row>
    <row r="171">
      <c r="N171">
        <f>IF(C171="","",IFERROR(INDEX(Classes!$B$2:$B$200,MATCH(C171,Classes!$E$2:$E$200,0)),""))</f>
        <v/>
      </c>
    </row>
    <row r="172">
      <c r="N172">
        <f>IF(C172="","",IFERROR(INDEX(Classes!$B$2:$B$200,MATCH(C172,Classes!$E$2:$E$200,0)),""))</f>
        <v/>
      </c>
    </row>
    <row r="173">
      <c r="N173">
        <f>IF(C173="","",IFERROR(INDEX(Classes!$B$2:$B$200,MATCH(C173,Classes!$E$2:$E$200,0)),""))</f>
        <v/>
      </c>
    </row>
    <row r="174">
      <c r="N174">
        <f>IF(C174="","",IFERROR(INDEX(Classes!$B$2:$B$200,MATCH(C174,Classes!$E$2:$E$200,0)),""))</f>
        <v/>
      </c>
    </row>
    <row r="175">
      <c r="N175">
        <f>IF(C175="","",IFERROR(INDEX(Classes!$B$2:$B$200,MATCH(C175,Classes!$E$2:$E$200,0)),""))</f>
        <v/>
      </c>
    </row>
    <row r="176">
      <c r="N176">
        <f>IF(C176="","",IFERROR(INDEX(Classes!$B$2:$B$200,MATCH(C176,Classes!$E$2:$E$200,0)),""))</f>
        <v/>
      </c>
    </row>
    <row r="177">
      <c r="N177">
        <f>IF(C177="","",IFERROR(INDEX(Classes!$B$2:$B$200,MATCH(C177,Classes!$E$2:$E$200,0)),""))</f>
        <v/>
      </c>
    </row>
    <row r="178">
      <c r="N178">
        <f>IF(C178="","",IFERROR(INDEX(Classes!$B$2:$B$200,MATCH(C178,Classes!$E$2:$E$200,0)),""))</f>
        <v/>
      </c>
    </row>
    <row r="179">
      <c r="N179">
        <f>IF(C179="","",IFERROR(INDEX(Classes!$B$2:$B$200,MATCH(C179,Classes!$E$2:$E$200,0)),""))</f>
        <v/>
      </c>
    </row>
    <row r="180">
      <c r="N180">
        <f>IF(C180="","",IFERROR(INDEX(Classes!$B$2:$B$200,MATCH(C180,Classes!$E$2:$E$200,0)),""))</f>
        <v/>
      </c>
    </row>
    <row r="181">
      <c r="N181">
        <f>IF(C181="","",IFERROR(INDEX(Classes!$B$2:$B$200,MATCH(C181,Classes!$E$2:$E$200,0)),""))</f>
        <v/>
      </c>
    </row>
    <row r="182">
      <c r="N182">
        <f>IF(C182="","",IFERROR(INDEX(Classes!$B$2:$B$200,MATCH(C182,Classes!$E$2:$E$200,0)),""))</f>
        <v/>
      </c>
    </row>
    <row r="183">
      <c r="N183">
        <f>IF(C183="","",IFERROR(INDEX(Classes!$B$2:$B$200,MATCH(C183,Classes!$E$2:$E$200,0)),""))</f>
        <v/>
      </c>
    </row>
    <row r="184">
      <c r="N184">
        <f>IF(C184="","",IFERROR(INDEX(Classes!$B$2:$B$200,MATCH(C184,Classes!$E$2:$E$200,0)),""))</f>
        <v/>
      </c>
    </row>
    <row r="185">
      <c r="N185">
        <f>IF(C185="","",IFERROR(INDEX(Classes!$B$2:$B$200,MATCH(C185,Classes!$E$2:$E$200,0)),""))</f>
        <v/>
      </c>
    </row>
    <row r="186">
      <c r="N186">
        <f>IF(C186="","",IFERROR(INDEX(Classes!$B$2:$B$200,MATCH(C186,Classes!$E$2:$E$200,0)),""))</f>
        <v/>
      </c>
    </row>
    <row r="187">
      <c r="N187">
        <f>IF(C187="","",IFERROR(INDEX(Classes!$B$2:$B$200,MATCH(C187,Classes!$E$2:$E$200,0)),""))</f>
        <v/>
      </c>
    </row>
    <row r="188">
      <c r="N188">
        <f>IF(C188="","",IFERROR(INDEX(Classes!$B$2:$B$200,MATCH(C188,Classes!$E$2:$E$200,0)),""))</f>
        <v/>
      </c>
    </row>
    <row r="189">
      <c r="N189">
        <f>IF(C189="","",IFERROR(INDEX(Classes!$B$2:$B$200,MATCH(C189,Classes!$E$2:$E$200,0)),""))</f>
        <v/>
      </c>
    </row>
    <row r="190">
      <c r="N190">
        <f>IF(C190="","",IFERROR(INDEX(Classes!$B$2:$B$200,MATCH(C190,Classes!$E$2:$E$200,0)),""))</f>
        <v/>
      </c>
    </row>
    <row r="191">
      <c r="N191">
        <f>IF(C191="","",IFERROR(INDEX(Classes!$B$2:$B$200,MATCH(C191,Classes!$E$2:$E$200,0)),""))</f>
        <v/>
      </c>
    </row>
    <row r="192">
      <c r="N192">
        <f>IF(C192="","",IFERROR(INDEX(Classes!$B$2:$B$200,MATCH(C192,Classes!$E$2:$E$200,0)),""))</f>
        <v/>
      </c>
    </row>
    <row r="193">
      <c r="N193">
        <f>IF(C193="","",IFERROR(INDEX(Classes!$B$2:$B$200,MATCH(C193,Classes!$E$2:$E$200,0)),""))</f>
        <v/>
      </c>
    </row>
    <row r="194">
      <c r="N194">
        <f>IF(C194="","",IFERROR(INDEX(Classes!$B$2:$B$200,MATCH(C194,Classes!$E$2:$E$200,0)),""))</f>
        <v/>
      </c>
    </row>
    <row r="195">
      <c r="N195">
        <f>IF(C195="","",IFERROR(INDEX(Classes!$B$2:$B$200,MATCH(C195,Classes!$E$2:$E$200,0)),""))</f>
        <v/>
      </c>
    </row>
    <row r="196">
      <c r="N196">
        <f>IF(C196="","",IFERROR(INDEX(Classes!$B$2:$B$200,MATCH(C196,Classes!$E$2:$E$200,0)),""))</f>
        <v/>
      </c>
    </row>
    <row r="197">
      <c r="N197">
        <f>IF(C197="","",IFERROR(INDEX(Classes!$B$2:$B$200,MATCH(C197,Classes!$E$2:$E$200,0)),""))</f>
        <v/>
      </c>
    </row>
    <row r="198">
      <c r="N198">
        <f>IF(C198="","",IFERROR(INDEX(Classes!$B$2:$B$200,MATCH(C198,Classes!$E$2:$E$200,0)),""))</f>
        <v/>
      </c>
    </row>
    <row r="199">
      <c r="N199">
        <f>IF(C199="","",IFERROR(INDEX(Classes!$B$2:$B$200,MATCH(C199,Classes!$E$2:$E$200,0)),""))</f>
        <v/>
      </c>
    </row>
    <row r="200">
      <c r="N200">
        <f>IF(C200="","",IFERROR(INDEX(Classes!$B$2:$B$200,MATCH(C200,Classes!$E$2:$E$200,0)),""))</f>
        <v/>
      </c>
    </row>
    <row r="201">
      <c r="N201">
        <f>IF(C201="","",IFERROR(INDEX(Classes!$B$2:$B$200,MATCH(C201,Classes!$E$2:$E$200,0)),""))</f>
        <v/>
      </c>
    </row>
    <row r="202">
      <c r="N202">
        <f>IF(C202="","",IFERROR(INDEX(Classes!$B$2:$B$200,MATCH(C202,Classes!$E$2:$E$200,0)),""))</f>
        <v/>
      </c>
    </row>
    <row r="203">
      <c r="N203">
        <f>IF(C203="","",IFERROR(INDEX(Classes!$B$2:$B$200,MATCH(C203,Classes!$E$2:$E$200,0)),""))</f>
        <v/>
      </c>
    </row>
    <row r="204">
      <c r="N204">
        <f>IF(C204="","",IFERROR(INDEX(Classes!$B$2:$B$200,MATCH(C204,Classes!$E$2:$E$200,0)),""))</f>
        <v/>
      </c>
    </row>
    <row r="205">
      <c r="N205">
        <f>IF(C205="","",IFERROR(INDEX(Classes!$B$2:$B$200,MATCH(C205,Classes!$E$2:$E$200,0)),""))</f>
        <v/>
      </c>
    </row>
    <row r="206">
      <c r="N206">
        <f>IF(C206="","",IFERROR(INDEX(Classes!$B$2:$B$200,MATCH(C206,Classes!$E$2:$E$200,0)),""))</f>
        <v/>
      </c>
    </row>
    <row r="207">
      <c r="N207">
        <f>IF(C207="","",IFERROR(INDEX(Classes!$B$2:$B$200,MATCH(C207,Classes!$E$2:$E$200,0)),""))</f>
        <v/>
      </c>
    </row>
    <row r="208">
      <c r="N208">
        <f>IF(C208="","",IFERROR(INDEX(Classes!$B$2:$B$200,MATCH(C208,Classes!$E$2:$E$200,0)),""))</f>
        <v/>
      </c>
    </row>
    <row r="209">
      <c r="N209">
        <f>IF(C209="","",IFERROR(INDEX(Classes!$B$2:$B$200,MATCH(C209,Classes!$E$2:$E$200,0)),""))</f>
        <v/>
      </c>
    </row>
    <row r="210">
      <c r="N210">
        <f>IF(C210="","",IFERROR(INDEX(Classes!$B$2:$B$200,MATCH(C210,Classes!$E$2:$E$200,0)),""))</f>
        <v/>
      </c>
    </row>
    <row r="211">
      <c r="N211">
        <f>IF(C211="","",IFERROR(INDEX(Classes!$B$2:$B$200,MATCH(C211,Classes!$E$2:$E$200,0)),""))</f>
        <v/>
      </c>
    </row>
    <row r="212">
      <c r="N212">
        <f>IF(C212="","",IFERROR(INDEX(Classes!$B$2:$B$200,MATCH(C212,Classes!$E$2:$E$200,0)),""))</f>
        <v/>
      </c>
    </row>
    <row r="213">
      <c r="N213">
        <f>IF(C213="","",IFERROR(INDEX(Classes!$B$2:$B$200,MATCH(C213,Classes!$E$2:$E$200,0)),""))</f>
        <v/>
      </c>
    </row>
    <row r="214">
      <c r="N214">
        <f>IF(C214="","",IFERROR(INDEX(Classes!$B$2:$B$200,MATCH(C214,Classes!$E$2:$E$200,0)),""))</f>
        <v/>
      </c>
    </row>
    <row r="215">
      <c r="N215">
        <f>IF(C215="","",IFERROR(INDEX(Classes!$B$2:$B$200,MATCH(C215,Classes!$E$2:$E$200,0)),""))</f>
        <v/>
      </c>
    </row>
    <row r="216">
      <c r="N216">
        <f>IF(C216="","",IFERROR(INDEX(Classes!$B$2:$B$200,MATCH(C216,Classes!$E$2:$E$200,0)),""))</f>
        <v/>
      </c>
    </row>
    <row r="217">
      <c r="N217">
        <f>IF(C217="","",IFERROR(INDEX(Classes!$B$2:$B$200,MATCH(C217,Classes!$E$2:$E$200,0)),""))</f>
        <v/>
      </c>
    </row>
    <row r="218">
      <c r="N218">
        <f>IF(C218="","",IFERROR(INDEX(Classes!$B$2:$B$200,MATCH(C218,Classes!$E$2:$E$200,0)),""))</f>
        <v/>
      </c>
    </row>
    <row r="219">
      <c r="N219">
        <f>IF(C219="","",IFERROR(INDEX(Classes!$B$2:$B$200,MATCH(C219,Classes!$E$2:$E$200,0)),""))</f>
        <v/>
      </c>
    </row>
    <row r="220">
      <c r="N220">
        <f>IF(C220="","",IFERROR(INDEX(Classes!$B$2:$B$200,MATCH(C220,Classes!$E$2:$E$200,0)),""))</f>
        <v/>
      </c>
    </row>
    <row r="221">
      <c r="N221">
        <f>IF(C221="","",IFERROR(INDEX(Classes!$B$2:$B$200,MATCH(C221,Classes!$E$2:$E$200,0)),""))</f>
        <v/>
      </c>
    </row>
    <row r="222">
      <c r="N222">
        <f>IF(C222="","",IFERROR(INDEX(Classes!$B$2:$B$200,MATCH(C222,Classes!$E$2:$E$200,0)),""))</f>
        <v/>
      </c>
    </row>
    <row r="223">
      <c r="N223">
        <f>IF(C223="","",IFERROR(INDEX(Classes!$B$2:$B$200,MATCH(C223,Classes!$E$2:$E$200,0)),""))</f>
        <v/>
      </c>
    </row>
    <row r="224">
      <c r="N224">
        <f>IF(C224="","",IFERROR(INDEX(Classes!$B$2:$B$200,MATCH(C224,Classes!$E$2:$E$200,0)),""))</f>
        <v/>
      </c>
    </row>
    <row r="225">
      <c r="N225">
        <f>IF(C225="","",IFERROR(INDEX(Classes!$B$2:$B$200,MATCH(C225,Classes!$E$2:$E$200,0)),""))</f>
        <v/>
      </c>
    </row>
    <row r="226">
      <c r="N226">
        <f>IF(C226="","",IFERROR(INDEX(Classes!$B$2:$B$200,MATCH(C226,Classes!$E$2:$E$200,0)),""))</f>
        <v/>
      </c>
    </row>
    <row r="227">
      <c r="N227">
        <f>IF(C227="","",IFERROR(INDEX(Classes!$B$2:$B$200,MATCH(C227,Classes!$E$2:$E$200,0)),""))</f>
        <v/>
      </c>
    </row>
    <row r="228">
      <c r="N228">
        <f>IF(C228="","",IFERROR(INDEX(Classes!$B$2:$B$200,MATCH(C228,Classes!$E$2:$E$200,0)),""))</f>
        <v/>
      </c>
    </row>
    <row r="229">
      <c r="N229">
        <f>IF(C229="","",IFERROR(INDEX(Classes!$B$2:$B$200,MATCH(C229,Classes!$E$2:$E$200,0)),""))</f>
        <v/>
      </c>
    </row>
    <row r="230">
      <c r="N230">
        <f>IF(C230="","",IFERROR(INDEX(Classes!$B$2:$B$200,MATCH(C230,Classes!$E$2:$E$200,0)),""))</f>
        <v/>
      </c>
    </row>
    <row r="231">
      <c r="N231">
        <f>IF(C231="","",IFERROR(INDEX(Classes!$B$2:$B$200,MATCH(C231,Classes!$E$2:$E$200,0)),""))</f>
        <v/>
      </c>
    </row>
    <row r="232">
      <c r="N232">
        <f>IF(C232="","",IFERROR(INDEX(Classes!$B$2:$B$200,MATCH(C232,Classes!$E$2:$E$200,0)),""))</f>
        <v/>
      </c>
    </row>
    <row r="233">
      <c r="N233">
        <f>IF(C233="","",IFERROR(INDEX(Classes!$B$2:$B$200,MATCH(C233,Classes!$E$2:$E$200,0)),""))</f>
        <v/>
      </c>
    </row>
    <row r="234">
      <c r="N234">
        <f>IF(C234="","",IFERROR(INDEX(Classes!$B$2:$B$200,MATCH(C234,Classes!$E$2:$E$200,0)),""))</f>
        <v/>
      </c>
    </row>
    <row r="235">
      <c r="N235">
        <f>IF(C235="","",IFERROR(INDEX(Classes!$B$2:$B$200,MATCH(C235,Classes!$E$2:$E$200,0)),""))</f>
        <v/>
      </c>
    </row>
    <row r="236">
      <c r="N236">
        <f>IF(C236="","",IFERROR(INDEX(Classes!$B$2:$B$200,MATCH(C236,Classes!$E$2:$E$200,0)),""))</f>
        <v/>
      </c>
    </row>
    <row r="237">
      <c r="N237">
        <f>IF(C237="","",IFERROR(INDEX(Classes!$B$2:$B$200,MATCH(C237,Classes!$E$2:$E$200,0)),""))</f>
        <v/>
      </c>
    </row>
    <row r="238">
      <c r="N238">
        <f>IF(C238="","",IFERROR(INDEX(Classes!$B$2:$B$200,MATCH(C238,Classes!$E$2:$E$200,0)),""))</f>
        <v/>
      </c>
    </row>
    <row r="239">
      <c r="N239">
        <f>IF(C239="","",IFERROR(INDEX(Classes!$B$2:$B$200,MATCH(C239,Classes!$E$2:$E$200,0)),""))</f>
        <v/>
      </c>
    </row>
    <row r="240">
      <c r="N240">
        <f>IF(C240="","",IFERROR(INDEX(Classes!$B$2:$B$200,MATCH(C240,Classes!$E$2:$E$200,0)),""))</f>
        <v/>
      </c>
    </row>
    <row r="241">
      <c r="N241">
        <f>IF(C241="","",IFERROR(INDEX(Classes!$B$2:$B$200,MATCH(C241,Classes!$E$2:$E$200,0)),""))</f>
        <v/>
      </c>
    </row>
    <row r="242">
      <c r="N242">
        <f>IF(C242="","",IFERROR(INDEX(Classes!$B$2:$B$200,MATCH(C242,Classes!$E$2:$E$200,0)),""))</f>
        <v/>
      </c>
    </row>
    <row r="243">
      <c r="N243">
        <f>IF(C243="","",IFERROR(INDEX(Classes!$B$2:$B$200,MATCH(C243,Classes!$E$2:$E$200,0)),""))</f>
        <v/>
      </c>
    </row>
    <row r="244">
      <c r="N244">
        <f>IF(C244="","",IFERROR(INDEX(Classes!$B$2:$B$200,MATCH(C244,Classes!$E$2:$E$200,0)),""))</f>
        <v/>
      </c>
    </row>
    <row r="245">
      <c r="N245">
        <f>IF(C245="","",IFERROR(INDEX(Classes!$B$2:$B$200,MATCH(C245,Classes!$E$2:$E$200,0)),""))</f>
        <v/>
      </c>
    </row>
    <row r="246">
      <c r="N246">
        <f>IF(C246="","",IFERROR(INDEX(Classes!$B$2:$B$200,MATCH(C246,Classes!$E$2:$E$200,0)),""))</f>
        <v/>
      </c>
    </row>
    <row r="247">
      <c r="N247">
        <f>IF(C247="","",IFERROR(INDEX(Classes!$B$2:$B$200,MATCH(C247,Classes!$E$2:$E$200,0)),""))</f>
        <v/>
      </c>
    </row>
    <row r="248">
      <c r="N248">
        <f>IF(C248="","",IFERROR(INDEX(Classes!$B$2:$B$200,MATCH(C248,Classes!$E$2:$E$200,0)),""))</f>
        <v/>
      </c>
    </row>
    <row r="249">
      <c r="N249">
        <f>IF(C249="","",IFERROR(INDEX(Classes!$B$2:$B$200,MATCH(C249,Classes!$E$2:$E$200,0)),""))</f>
        <v/>
      </c>
    </row>
    <row r="250">
      <c r="N250">
        <f>IF(C250="","",IFERROR(INDEX(Classes!$B$2:$B$200,MATCH(C250,Classes!$E$2:$E$200,0)),""))</f>
        <v/>
      </c>
    </row>
    <row r="251">
      <c r="N251">
        <f>IF(C251="","",IFERROR(INDEX(Classes!$B$2:$B$200,MATCH(C251,Classes!$E$2:$E$200,0)),""))</f>
        <v/>
      </c>
    </row>
    <row r="252">
      <c r="N252">
        <f>IF(C252="","",IFERROR(INDEX(Classes!$B$2:$B$200,MATCH(C252,Classes!$E$2:$E$200,0)),""))</f>
        <v/>
      </c>
    </row>
    <row r="253">
      <c r="N253">
        <f>IF(C253="","",IFERROR(INDEX(Classes!$B$2:$B$200,MATCH(C253,Classes!$E$2:$E$200,0)),""))</f>
        <v/>
      </c>
    </row>
    <row r="254">
      <c r="N254">
        <f>IF(C254="","",IFERROR(INDEX(Classes!$B$2:$B$200,MATCH(C254,Classes!$E$2:$E$200,0)),""))</f>
        <v/>
      </c>
    </row>
    <row r="255">
      <c r="N255">
        <f>IF(C255="","",IFERROR(INDEX(Classes!$B$2:$B$200,MATCH(C255,Classes!$E$2:$E$200,0)),""))</f>
        <v/>
      </c>
    </row>
    <row r="256">
      <c r="N256">
        <f>IF(C256="","",IFERROR(INDEX(Classes!$B$2:$B$200,MATCH(C256,Classes!$E$2:$E$200,0)),""))</f>
        <v/>
      </c>
    </row>
    <row r="257">
      <c r="N257">
        <f>IF(C257="","",IFERROR(INDEX(Classes!$B$2:$B$200,MATCH(C257,Classes!$E$2:$E$200,0)),""))</f>
        <v/>
      </c>
    </row>
    <row r="258">
      <c r="N258">
        <f>IF(C258="","",IFERROR(INDEX(Classes!$B$2:$B$200,MATCH(C258,Classes!$E$2:$E$200,0)),""))</f>
        <v/>
      </c>
    </row>
    <row r="259">
      <c r="N259">
        <f>IF(C259="","",IFERROR(INDEX(Classes!$B$2:$B$200,MATCH(C259,Classes!$E$2:$E$200,0)),""))</f>
        <v/>
      </c>
    </row>
    <row r="260">
      <c r="N260">
        <f>IF(C260="","",IFERROR(INDEX(Classes!$B$2:$B$200,MATCH(C260,Classes!$E$2:$E$200,0)),""))</f>
        <v/>
      </c>
    </row>
    <row r="261">
      <c r="N261">
        <f>IF(C261="","",IFERROR(INDEX(Classes!$B$2:$B$200,MATCH(C261,Classes!$E$2:$E$200,0)),""))</f>
        <v/>
      </c>
    </row>
    <row r="262">
      <c r="N262">
        <f>IF(C262="","",IFERROR(INDEX(Classes!$B$2:$B$200,MATCH(C262,Classes!$E$2:$E$200,0)),""))</f>
        <v/>
      </c>
    </row>
    <row r="263">
      <c r="N263">
        <f>IF(C263="","",IFERROR(INDEX(Classes!$B$2:$B$200,MATCH(C263,Classes!$E$2:$E$200,0)),""))</f>
        <v/>
      </c>
    </row>
    <row r="264">
      <c r="N264">
        <f>IF(C264="","",IFERROR(INDEX(Classes!$B$2:$B$200,MATCH(C264,Classes!$E$2:$E$200,0)),""))</f>
        <v/>
      </c>
    </row>
    <row r="265">
      <c r="N265">
        <f>IF(C265="","",IFERROR(INDEX(Classes!$B$2:$B$200,MATCH(C265,Classes!$E$2:$E$200,0)),""))</f>
        <v/>
      </c>
    </row>
    <row r="266">
      <c r="N266">
        <f>IF(C266="","",IFERROR(INDEX(Classes!$B$2:$B$200,MATCH(C266,Classes!$E$2:$E$200,0)),""))</f>
        <v/>
      </c>
    </row>
    <row r="267">
      <c r="N267">
        <f>IF(C267="","",IFERROR(INDEX(Classes!$B$2:$B$200,MATCH(C267,Classes!$E$2:$E$200,0)),""))</f>
        <v/>
      </c>
    </row>
    <row r="268">
      <c r="N268">
        <f>IF(C268="","",IFERROR(INDEX(Classes!$B$2:$B$200,MATCH(C268,Classes!$E$2:$E$200,0)),""))</f>
        <v/>
      </c>
    </row>
    <row r="269">
      <c r="N269">
        <f>IF(C269="","",IFERROR(INDEX(Classes!$B$2:$B$200,MATCH(C269,Classes!$E$2:$E$200,0)),""))</f>
        <v/>
      </c>
    </row>
    <row r="270">
      <c r="N270">
        <f>IF(C270="","",IFERROR(INDEX(Classes!$B$2:$B$200,MATCH(C270,Classes!$E$2:$E$200,0)),""))</f>
        <v/>
      </c>
    </row>
    <row r="271">
      <c r="N271">
        <f>IF(C271="","",IFERROR(INDEX(Classes!$B$2:$B$200,MATCH(C271,Classes!$E$2:$E$200,0)),""))</f>
        <v/>
      </c>
    </row>
    <row r="272">
      <c r="N272">
        <f>IF(C272="","",IFERROR(INDEX(Classes!$B$2:$B$200,MATCH(C272,Classes!$E$2:$E$200,0)),""))</f>
        <v/>
      </c>
    </row>
    <row r="273">
      <c r="N273">
        <f>IF(C273="","",IFERROR(INDEX(Classes!$B$2:$B$200,MATCH(C273,Classes!$E$2:$E$200,0)),""))</f>
        <v/>
      </c>
    </row>
    <row r="274">
      <c r="N274">
        <f>IF(C274="","",IFERROR(INDEX(Classes!$B$2:$B$200,MATCH(C274,Classes!$E$2:$E$200,0)),""))</f>
        <v/>
      </c>
    </row>
    <row r="275">
      <c r="N275">
        <f>IF(C275="","",IFERROR(INDEX(Classes!$B$2:$B$200,MATCH(C275,Classes!$E$2:$E$200,0)),""))</f>
        <v/>
      </c>
    </row>
    <row r="276">
      <c r="N276">
        <f>IF(C276="","",IFERROR(INDEX(Classes!$B$2:$B$200,MATCH(C276,Classes!$E$2:$E$200,0)),""))</f>
        <v/>
      </c>
    </row>
    <row r="277">
      <c r="N277">
        <f>IF(C277="","",IFERROR(INDEX(Classes!$B$2:$B$200,MATCH(C277,Classes!$E$2:$E$200,0)),""))</f>
        <v/>
      </c>
    </row>
    <row r="278">
      <c r="N278">
        <f>IF(C278="","",IFERROR(INDEX(Classes!$B$2:$B$200,MATCH(C278,Classes!$E$2:$E$200,0)),""))</f>
        <v/>
      </c>
    </row>
    <row r="279">
      <c r="N279">
        <f>IF(C279="","",IFERROR(INDEX(Classes!$B$2:$B$200,MATCH(C279,Classes!$E$2:$E$200,0)),""))</f>
        <v/>
      </c>
    </row>
    <row r="280">
      <c r="N280">
        <f>IF(C280="","",IFERROR(INDEX(Classes!$B$2:$B$200,MATCH(C280,Classes!$E$2:$E$200,0)),""))</f>
        <v/>
      </c>
    </row>
    <row r="281">
      <c r="N281">
        <f>IF(C281="","",IFERROR(INDEX(Classes!$B$2:$B$200,MATCH(C281,Classes!$E$2:$E$200,0)),""))</f>
        <v/>
      </c>
    </row>
    <row r="282">
      <c r="N282">
        <f>IF(C282="","",IFERROR(INDEX(Classes!$B$2:$B$200,MATCH(C282,Classes!$E$2:$E$200,0)),""))</f>
        <v/>
      </c>
    </row>
    <row r="283">
      <c r="N283">
        <f>IF(C283="","",IFERROR(INDEX(Classes!$B$2:$B$200,MATCH(C283,Classes!$E$2:$E$200,0)),""))</f>
        <v/>
      </c>
    </row>
    <row r="284">
      <c r="N284">
        <f>IF(C284="","",IFERROR(INDEX(Classes!$B$2:$B$200,MATCH(C284,Classes!$E$2:$E$200,0)),""))</f>
        <v/>
      </c>
    </row>
    <row r="285">
      <c r="N285">
        <f>IF(C285="","",IFERROR(INDEX(Classes!$B$2:$B$200,MATCH(C285,Classes!$E$2:$E$200,0)),""))</f>
        <v/>
      </c>
    </row>
    <row r="286">
      <c r="N286">
        <f>IF(C286="","",IFERROR(INDEX(Classes!$B$2:$B$200,MATCH(C286,Classes!$E$2:$E$200,0)),""))</f>
        <v/>
      </c>
    </row>
    <row r="287">
      <c r="N287">
        <f>IF(C287="","",IFERROR(INDEX(Classes!$B$2:$B$200,MATCH(C287,Classes!$E$2:$E$200,0)),""))</f>
        <v/>
      </c>
    </row>
    <row r="288">
      <c r="N288">
        <f>IF(C288="","",IFERROR(INDEX(Classes!$B$2:$B$200,MATCH(C288,Classes!$E$2:$E$200,0)),""))</f>
        <v/>
      </c>
    </row>
    <row r="289">
      <c r="N289">
        <f>IF(C289="","",IFERROR(INDEX(Classes!$B$2:$B$200,MATCH(C289,Classes!$E$2:$E$200,0)),""))</f>
        <v/>
      </c>
    </row>
    <row r="290">
      <c r="N290">
        <f>IF(C290="","",IFERROR(INDEX(Classes!$B$2:$B$200,MATCH(C290,Classes!$E$2:$E$200,0)),""))</f>
        <v/>
      </c>
    </row>
    <row r="291">
      <c r="N291">
        <f>IF(C291="","",IFERROR(INDEX(Classes!$B$2:$B$200,MATCH(C291,Classes!$E$2:$E$200,0)),""))</f>
        <v/>
      </c>
    </row>
    <row r="292">
      <c r="N292">
        <f>IF(C292="","",IFERROR(INDEX(Classes!$B$2:$B$200,MATCH(C292,Classes!$E$2:$E$200,0)),""))</f>
        <v/>
      </c>
    </row>
    <row r="293">
      <c r="N293">
        <f>IF(C293="","",IFERROR(INDEX(Classes!$B$2:$B$200,MATCH(C293,Classes!$E$2:$E$200,0)),""))</f>
        <v/>
      </c>
    </row>
    <row r="294">
      <c r="N294">
        <f>IF(C294="","",IFERROR(INDEX(Classes!$B$2:$B$200,MATCH(C294,Classes!$E$2:$E$200,0)),""))</f>
        <v/>
      </c>
    </row>
    <row r="295">
      <c r="N295">
        <f>IF(C295="","",IFERROR(INDEX(Classes!$B$2:$B$200,MATCH(C295,Classes!$E$2:$E$200,0)),""))</f>
        <v/>
      </c>
    </row>
    <row r="296">
      <c r="N296">
        <f>IF(C296="","",IFERROR(INDEX(Classes!$B$2:$B$200,MATCH(C296,Classes!$E$2:$E$200,0)),""))</f>
        <v/>
      </c>
    </row>
    <row r="297">
      <c r="N297">
        <f>IF(C297="","",IFERROR(INDEX(Classes!$B$2:$B$200,MATCH(C297,Classes!$E$2:$E$200,0)),""))</f>
        <v/>
      </c>
    </row>
    <row r="298">
      <c r="N298">
        <f>IF(C298="","",IFERROR(INDEX(Classes!$B$2:$B$200,MATCH(C298,Classes!$E$2:$E$200,0)),""))</f>
        <v/>
      </c>
    </row>
    <row r="299">
      <c r="N299">
        <f>IF(C299="","",IFERROR(INDEX(Classes!$B$2:$B$200,MATCH(C299,Classes!$E$2:$E$200,0)),""))</f>
        <v/>
      </c>
    </row>
    <row r="300">
      <c r="N300">
        <f>IF(C300="","",IFERROR(INDEX(Classes!$B$2:$B$200,MATCH(C300,Classes!$E$2:$E$200,0)),""))</f>
        <v/>
      </c>
    </row>
    <row r="301">
      <c r="N301">
        <f>IF(C301="","",IFERROR(INDEX(Classes!$B$2:$B$200,MATCH(C301,Classes!$E$2:$E$200,0)),""))</f>
        <v/>
      </c>
    </row>
    <row r="302">
      <c r="N302">
        <f>IF(C302="","",IFERROR(INDEX(Classes!$B$2:$B$200,MATCH(C302,Classes!$E$2:$E$200,0)),""))</f>
        <v/>
      </c>
    </row>
    <row r="303">
      <c r="N303">
        <f>IF(C303="","",IFERROR(INDEX(Classes!$B$2:$B$200,MATCH(C303,Classes!$E$2:$E$200,0)),""))</f>
        <v/>
      </c>
    </row>
    <row r="304">
      <c r="N304">
        <f>IF(C304="","",IFERROR(INDEX(Classes!$B$2:$B$200,MATCH(C304,Classes!$E$2:$E$200,0)),""))</f>
        <v/>
      </c>
    </row>
    <row r="305">
      <c r="N305">
        <f>IF(C305="","",IFERROR(INDEX(Classes!$B$2:$B$200,MATCH(C305,Classes!$E$2:$E$200,0)),""))</f>
        <v/>
      </c>
    </row>
    <row r="306">
      <c r="N306">
        <f>IF(C306="","",IFERROR(INDEX(Classes!$B$2:$B$200,MATCH(C306,Classes!$E$2:$E$200,0)),""))</f>
        <v/>
      </c>
    </row>
    <row r="307">
      <c r="N307">
        <f>IF(C307="","",IFERROR(INDEX(Classes!$B$2:$B$200,MATCH(C307,Classes!$E$2:$E$200,0)),""))</f>
        <v/>
      </c>
    </row>
    <row r="308">
      <c r="N308">
        <f>IF(C308="","",IFERROR(INDEX(Classes!$B$2:$B$200,MATCH(C308,Classes!$E$2:$E$200,0)),""))</f>
        <v/>
      </c>
    </row>
    <row r="309">
      <c r="N309">
        <f>IF(C309="","",IFERROR(INDEX(Classes!$B$2:$B$200,MATCH(C309,Classes!$E$2:$E$200,0)),""))</f>
        <v/>
      </c>
    </row>
    <row r="310">
      <c r="N310">
        <f>IF(C310="","",IFERROR(INDEX(Classes!$B$2:$B$200,MATCH(C310,Classes!$E$2:$E$200,0)),""))</f>
        <v/>
      </c>
    </row>
    <row r="311">
      <c r="N311">
        <f>IF(C311="","",IFERROR(INDEX(Classes!$B$2:$B$200,MATCH(C311,Classes!$E$2:$E$200,0)),""))</f>
        <v/>
      </c>
    </row>
    <row r="312">
      <c r="N312">
        <f>IF(C312="","",IFERROR(INDEX(Classes!$B$2:$B$200,MATCH(C312,Classes!$E$2:$E$200,0)),""))</f>
        <v/>
      </c>
    </row>
    <row r="313">
      <c r="N313">
        <f>IF(C313="","",IFERROR(INDEX(Classes!$B$2:$B$200,MATCH(C313,Classes!$E$2:$E$200,0)),""))</f>
        <v/>
      </c>
    </row>
    <row r="314">
      <c r="N314">
        <f>IF(C314="","",IFERROR(INDEX(Classes!$B$2:$B$200,MATCH(C314,Classes!$E$2:$E$200,0)),""))</f>
        <v/>
      </c>
    </row>
    <row r="315">
      <c r="N315">
        <f>IF(C315="","",IFERROR(INDEX(Classes!$B$2:$B$200,MATCH(C315,Classes!$E$2:$E$200,0)),""))</f>
        <v/>
      </c>
    </row>
    <row r="316">
      <c r="N316">
        <f>IF(C316="","",IFERROR(INDEX(Classes!$B$2:$B$200,MATCH(C316,Classes!$E$2:$E$200,0)),""))</f>
        <v/>
      </c>
    </row>
    <row r="317">
      <c r="N317">
        <f>IF(C317="","",IFERROR(INDEX(Classes!$B$2:$B$200,MATCH(C317,Classes!$E$2:$E$200,0)),""))</f>
        <v/>
      </c>
    </row>
    <row r="318">
      <c r="N318">
        <f>IF(C318="","",IFERROR(INDEX(Classes!$B$2:$B$200,MATCH(C318,Classes!$E$2:$E$200,0)),""))</f>
        <v/>
      </c>
    </row>
    <row r="319">
      <c r="N319">
        <f>IF(C319="","",IFERROR(INDEX(Classes!$B$2:$B$200,MATCH(C319,Classes!$E$2:$E$200,0)),""))</f>
        <v/>
      </c>
    </row>
    <row r="320">
      <c r="N320">
        <f>IF(C320="","",IFERROR(INDEX(Classes!$B$2:$B$200,MATCH(C320,Classes!$E$2:$E$200,0)),""))</f>
        <v/>
      </c>
    </row>
    <row r="321">
      <c r="N321">
        <f>IF(C321="","",IFERROR(INDEX(Classes!$B$2:$B$200,MATCH(C321,Classes!$E$2:$E$200,0)),""))</f>
        <v/>
      </c>
    </row>
    <row r="322">
      <c r="N322">
        <f>IF(C322="","",IFERROR(INDEX(Classes!$B$2:$B$200,MATCH(C322,Classes!$E$2:$E$200,0)),""))</f>
        <v/>
      </c>
    </row>
    <row r="323">
      <c r="N323">
        <f>IF(C323="","",IFERROR(INDEX(Classes!$B$2:$B$200,MATCH(C323,Classes!$E$2:$E$200,0)),""))</f>
        <v/>
      </c>
    </row>
    <row r="324">
      <c r="N324">
        <f>IF(C324="","",IFERROR(INDEX(Classes!$B$2:$B$200,MATCH(C324,Classes!$E$2:$E$200,0)),""))</f>
        <v/>
      </c>
    </row>
    <row r="325">
      <c r="N325">
        <f>IF(C325="","",IFERROR(INDEX(Classes!$B$2:$B$200,MATCH(C325,Classes!$E$2:$E$200,0)),""))</f>
        <v/>
      </c>
    </row>
    <row r="326">
      <c r="N326">
        <f>IF(C326="","",IFERROR(INDEX(Classes!$B$2:$B$200,MATCH(C326,Classes!$E$2:$E$200,0)),""))</f>
        <v/>
      </c>
    </row>
    <row r="327">
      <c r="N327">
        <f>IF(C327="","",IFERROR(INDEX(Classes!$B$2:$B$200,MATCH(C327,Classes!$E$2:$E$200,0)),""))</f>
        <v/>
      </c>
    </row>
    <row r="328">
      <c r="N328">
        <f>IF(C328="","",IFERROR(INDEX(Classes!$B$2:$B$200,MATCH(C328,Classes!$E$2:$E$200,0)),""))</f>
        <v/>
      </c>
    </row>
    <row r="329">
      <c r="N329">
        <f>IF(C329="","",IFERROR(INDEX(Classes!$B$2:$B$200,MATCH(C329,Classes!$E$2:$E$200,0)),""))</f>
        <v/>
      </c>
    </row>
    <row r="330">
      <c r="N330">
        <f>IF(C330="","",IFERROR(INDEX(Classes!$B$2:$B$200,MATCH(C330,Classes!$E$2:$E$200,0)),""))</f>
        <v/>
      </c>
    </row>
    <row r="331">
      <c r="N331">
        <f>IF(C331="","",IFERROR(INDEX(Classes!$B$2:$B$200,MATCH(C331,Classes!$E$2:$E$200,0)),""))</f>
        <v/>
      </c>
    </row>
    <row r="332">
      <c r="N332">
        <f>IF(C332="","",IFERROR(INDEX(Classes!$B$2:$B$200,MATCH(C332,Classes!$E$2:$E$200,0)),""))</f>
        <v/>
      </c>
    </row>
    <row r="333">
      <c r="N333">
        <f>IF(C333="","",IFERROR(INDEX(Classes!$B$2:$B$200,MATCH(C333,Classes!$E$2:$E$200,0)),""))</f>
        <v/>
      </c>
    </row>
    <row r="334">
      <c r="N334">
        <f>IF(C334="","",IFERROR(INDEX(Classes!$B$2:$B$200,MATCH(C334,Classes!$E$2:$E$200,0)),""))</f>
        <v/>
      </c>
    </row>
    <row r="335">
      <c r="N335">
        <f>IF(C335="","",IFERROR(INDEX(Classes!$B$2:$B$200,MATCH(C335,Classes!$E$2:$E$200,0)),""))</f>
        <v/>
      </c>
    </row>
    <row r="336">
      <c r="N336">
        <f>IF(C336="","",IFERROR(INDEX(Classes!$B$2:$B$200,MATCH(C336,Classes!$E$2:$E$200,0)),""))</f>
        <v/>
      </c>
    </row>
    <row r="337">
      <c r="N337">
        <f>IF(C337="","",IFERROR(INDEX(Classes!$B$2:$B$200,MATCH(C337,Classes!$E$2:$E$200,0)),""))</f>
        <v/>
      </c>
    </row>
    <row r="338">
      <c r="N338">
        <f>IF(C338="","",IFERROR(INDEX(Classes!$B$2:$B$200,MATCH(C338,Classes!$E$2:$E$200,0)),""))</f>
        <v/>
      </c>
    </row>
    <row r="339">
      <c r="N339">
        <f>IF(C339="","",IFERROR(INDEX(Classes!$B$2:$B$200,MATCH(C339,Classes!$E$2:$E$200,0)),""))</f>
        <v/>
      </c>
    </row>
    <row r="340">
      <c r="N340">
        <f>IF(C340="","",IFERROR(INDEX(Classes!$B$2:$B$200,MATCH(C340,Classes!$E$2:$E$200,0)),""))</f>
        <v/>
      </c>
    </row>
    <row r="341">
      <c r="N341">
        <f>IF(C341="","",IFERROR(INDEX(Classes!$B$2:$B$200,MATCH(C341,Classes!$E$2:$E$200,0)),""))</f>
        <v/>
      </c>
    </row>
    <row r="342">
      <c r="N342">
        <f>IF(C342="","",IFERROR(INDEX(Classes!$B$2:$B$200,MATCH(C342,Classes!$E$2:$E$200,0)),""))</f>
        <v/>
      </c>
    </row>
    <row r="343">
      <c r="N343">
        <f>IF(C343="","",IFERROR(INDEX(Classes!$B$2:$B$200,MATCH(C343,Classes!$E$2:$E$200,0)),""))</f>
        <v/>
      </c>
    </row>
    <row r="344">
      <c r="N344">
        <f>IF(C344="","",IFERROR(INDEX(Classes!$B$2:$B$200,MATCH(C344,Classes!$E$2:$E$200,0)),""))</f>
        <v/>
      </c>
    </row>
    <row r="345">
      <c r="N345">
        <f>IF(C345="","",IFERROR(INDEX(Classes!$B$2:$B$200,MATCH(C345,Classes!$E$2:$E$200,0)),""))</f>
        <v/>
      </c>
    </row>
    <row r="346">
      <c r="N346">
        <f>IF(C346="","",IFERROR(INDEX(Classes!$B$2:$B$200,MATCH(C346,Classes!$E$2:$E$200,0)),""))</f>
        <v/>
      </c>
    </row>
    <row r="347">
      <c r="N347">
        <f>IF(C347="","",IFERROR(INDEX(Classes!$B$2:$B$200,MATCH(C347,Classes!$E$2:$E$200,0)),""))</f>
        <v/>
      </c>
    </row>
    <row r="348">
      <c r="N348">
        <f>IF(C348="","",IFERROR(INDEX(Classes!$B$2:$B$200,MATCH(C348,Classes!$E$2:$E$200,0)),""))</f>
        <v/>
      </c>
    </row>
    <row r="349">
      <c r="N349">
        <f>IF(C349="","",IFERROR(INDEX(Classes!$B$2:$B$200,MATCH(C349,Classes!$E$2:$E$200,0)),""))</f>
        <v/>
      </c>
    </row>
    <row r="350">
      <c r="N350">
        <f>IF(C350="","",IFERROR(INDEX(Classes!$B$2:$B$200,MATCH(C350,Classes!$E$2:$E$200,0)),""))</f>
        <v/>
      </c>
    </row>
    <row r="351">
      <c r="N351">
        <f>IF(C351="","",IFERROR(INDEX(Classes!$B$2:$B$200,MATCH(C351,Classes!$E$2:$E$200,0)),""))</f>
        <v/>
      </c>
    </row>
    <row r="352">
      <c r="N352">
        <f>IF(C352="","",IFERROR(INDEX(Classes!$B$2:$B$200,MATCH(C352,Classes!$E$2:$E$200,0)),""))</f>
        <v/>
      </c>
    </row>
    <row r="353">
      <c r="N353">
        <f>IF(C353="","",IFERROR(INDEX(Classes!$B$2:$B$200,MATCH(C353,Classes!$E$2:$E$200,0)),""))</f>
        <v/>
      </c>
    </row>
    <row r="354">
      <c r="N354">
        <f>IF(C354="","",IFERROR(INDEX(Classes!$B$2:$B$200,MATCH(C354,Classes!$E$2:$E$200,0)),""))</f>
        <v/>
      </c>
    </row>
    <row r="355">
      <c r="N355">
        <f>IF(C355="","",IFERROR(INDEX(Classes!$B$2:$B$200,MATCH(C355,Classes!$E$2:$E$200,0)),""))</f>
        <v/>
      </c>
    </row>
    <row r="356">
      <c r="N356">
        <f>IF(C356="","",IFERROR(INDEX(Classes!$B$2:$B$200,MATCH(C356,Classes!$E$2:$E$200,0)),""))</f>
        <v/>
      </c>
    </row>
    <row r="357">
      <c r="N357">
        <f>IF(C357="","",IFERROR(INDEX(Classes!$B$2:$B$200,MATCH(C357,Classes!$E$2:$E$200,0)),""))</f>
        <v/>
      </c>
    </row>
    <row r="358">
      <c r="N358">
        <f>IF(C358="","",IFERROR(INDEX(Classes!$B$2:$B$200,MATCH(C358,Classes!$E$2:$E$200,0)),""))</f>
        <v/>
      </c>
    </row>
    <row r="359">
      <c r="N359">
        <f>IF(C359="","",IFERROR(INDEX(Classes!$B$2:$B$200,MATCH(C359,Classes!$E$2:$E$200,0)),""))</f>
        <v/>
      </c>
    </row>
    <row r="360">
      <c r="N360">
        <f>IF(C360="","",IFERROR(INDEX(Classes!$B$2:$B$200,MATCH(C360,Classes!$E$2:$E$200,0)),""))</f>
        <v/>
      </c>
    </row>
    <row r="361">
      <c r="N361">
        <f>IF(C361="","",IFERROR(INDEX(Classes!$B$2:$B$200,MATCH(C361,Classes!$E$2:$E$200,0)),""))</f>
        <v/>
      </c>
    </row>
    <row r="362">
      <c r="N362">
        <f>IF(C362="","",IFERROR(INDEX(Classes!$B$2:$B$200,MATCH(C362,Classes!$E$2:$E$200,0)),""))</f>
        <v/>
      </c>
    </row>
    <row r="363">
      <c r="N363">
        <f>IF(C363="","",IFERROR(INDEX(Classes!$B$2:$B$200,MATCH(C363,Classes!$E$2:$E$200,0)),""))</f>
        <v/>
      </c>
    </row>
    <row r="364">
      <c r="N364">
        <f>IF(C364="","",IFERROR(INDEX(Classes!$B$2:$B$200,MATCH(C364,Classes!$E$2:$E$200,0)),""))</f>
        <v/>
      </c>
    </row>
    <row r="365">
      <c r="N365">
        <f>IF(C365="","",IFERROR(INDEX(Classes!$B$2:$B$200,MATCH(C365,Classes!$E$2:$E$200,0)),""))</f>
        <v/>
      </c>
    </row>
    <row r="366">
      <c r="N366">
        <f>IF(C366="","",IFERROR(INDEX(Classes!$B$2:$B$200,MATCH(C366,Classes!$E$2:$E$200,0)),""))</f>
        <v/>
      </c>
    </row>
    <row r="367">
      <c r="N367">
        <f>IF(C367="","",IFERROR(INDEX(Classes!$B$2:$B$200,MATCH(C367,Classes!$E$2:$E$200,0)),""))</f>
        <v/>
      </c>
    </row>
    <row r="368">
      <c r="N368">
        <f>IF(C368="","",IFERROR(INDEX(Classes!$B$2:$B$200,MATCH(C368,Classes!$E$2:$E$200,0)),""))</f>
        <v/>
      </c>
    </row>
    <row r="369">
      <c r="N369">
        <f>IF(C369="","",IFERROR(INDEX(Classes!$B$2:$B$200,MATCH(C369,Classes!$E$2:$E$200,0)),""))</f>
        <v/>
      </c>
    </row>
    <row r="370">
      <c r="N370">
        <f>IF(C370="","",IFERROR(INDEX(Classes!$B$2:$B$200,MATCH(C370,Classes!$E$2:$E$200,0)),""))</f>
        <v/>
      </c>
    </row>
    <row r="371">
      <c r="N371">
        <f>IF(C371="","",IFERROR(INDEX(Classes!$B$2:$B$200,MATCH(C371,Classes!$E$2:$E$200,0)),""))</f>
        <v/>
      </c>
    </row>
    <row r="372">
      <c r="N372">
        <f>IF(C372="","",IFERROR(INDEX(Classes!$B$2:$B$200,MATCH(C372,Classes!$E$2:$E$200,0)),""))</f>
        <v/>
      </c>
    </row>
    <row r="373">
      <c r="N373">
        <f>IF(C373="","",IFERROR(INDEX(Classes!$B$2:$B$200,MATCH(C373,Classes!$E$2:$E$200,0)),""))</f>
        <v/>
      </c>
    </row>
    <row r="374">
      <c r="N374">
        <f>IF(C374="","",IFERROR(INDEX(Classes!$B$2:$B$200,MATCH(C374,Classes!$E$2:$E$200,0)),""))</f>
        <v/>
      </c>
    </row>
    <row r="375">
      <c r="N375">
        <f>IF(C375="","",IFERROR(INDEX(Classes!$B$2:$B$200,MATCH(C375,Classes!$E$2:$E$200,0)),""))</f>
        <v/>
      </c>
    </row>
    <row r="376">
      <c r="N376">
        <f>IF(C376="","",IFERROR(INDEX(Classes!$B$2:$B$200,MATCH(C376,Classes!$E$2:$E$200,0)),""))</f>
        <v/>
      </c>
    </row>
    <row r="377">
      <c r="N377">
        <f>IF(C377="","",IFERROR(INDEX(Classes!$B$2:$B$200,MATCH(C377,Classes!$E$2:$E$200,0)),""))</f>
        <v/>
      </c>
    </row>
    <row r="378">
      <c r="N378">
        <f>IF(C378="","",IFERROR(INDEX(Classes!$B$2:$B$200,MATCH(C378,Classes!$E$2:$E$200,0)),""))</f>
        <v/>
      </c>
    </row>
    <row r="379">
      <c r="N379">
        <f>IF(C379="","",IFERROR(INDEX(Classes!$B$2:$B$200,MATCH(C379,Classes!$E$2:$E$200,0)),""))</f>
        <v/>
      </c>
    </row>
    <row r="380">
      <c r="N380">
        <f>IF(C380="","",IFERROR(INDEX(Classes!$B$2:$B$200,MATCH(C380,Classes!$E$2:$E$200,0)),""))</f>
        <v/>
      </c>
    </row>
    <row r="381">
      <c r="N381">
        <f>IF(C381="","",IFERROR(INDEX(Classes!$B$2:$B$200,MATCH(C381,Classes!$E$2:$E$200,0)),""))</f>
        <v/>
      </c>
    </row>
    <row r="382">
      <c r="N382">
        <f>IF(C382="","",IFERROR(INDEX(Classes!$B$2:$B$200,MATCH(C382,Classes!$E$2:$E$200,0)),""))</f>
        <v/>
      </c>
    </row>
    <row r="383">
      <c r="N383">
        <f>IF(C383="","",IFERROR(INDEX(Classes!$B$2:$B$200,MATCH(C383,Classes!$E$2:$E$200,0)),""))</f>
        <v/>
      </c>
    </row>
    <row r="384">
      <c r="N384">
        <f>IF(C384="","",IFERROR(INDEX(Classes!$B$2:$B$200,MATCH(C384,Classes!$E$2:$E$200,0)),""))</f>
        <v/>
      </c>
    </row>
    <row r="385">
      <c r="N385">
        <f>IF(C385="","",IFERROR(INDEX(Classes!$B$2:$B$200,MATCH(C385,Classes!$E$2:$E$200,0)),""))</f>
        <v/>
      </c>
    </row>
    <row r="386">
      <c r="N386">
        <f>IF(C386="","",IFERROR(INDEX(Classes!$B$2:$B$200,MATCH(C386,Classes!$E$2:$E$200,0)),""))</f>
        <v/>
      </c>
    </row>
    <row r="387">
      <c r="N387">
        <f>IF(C387="","",IFERROR(INDEX(Classes!$B$2:$B$200,MATCH(C387,Classes!$E$2:$E$200,0)),""))</f>
        <v/>
      </c>
    </row>
    <row r="388">
      <c r="N388">
        <f>IF(C388="","",IFERROR(INDEX(Classes!$B$2:$B$200,MATCH(C388,Classes!$E$2:$E$200,0)),""))</f>
        <v/>
      </c>
    </row>
    <row r="389">
      <c r="N389">
        <f>IF(C389="","",IFERROR(INDEX(Classes!$B$2:$B$200,MATCH(C389,Classes!$E$2:$E$200,0)),""))</f>
        <v/>
      </c>
    </row>
    <row r="390">
      <c r="N390">
        <f>IF(C390="","",IFERROR(INDEX(Classes!$B$2:$B$200,MATCH(C390,Classes!$E$2:$E$200,0)),""))</f>
        <v/>
      </c>
    </row>
    <row r="391">
      <c r="N391">
        <f>IF(C391="","",IFERROR(INDEX(Classes!$B$2:$B$200,MATCH(C391,Classes!$E$2:$E$200,0)),""))</f>
        <v/>
      </c>
    </row>
    <row r="392">
      <c r="N392">
        <f>IF(C392="","",IFERROR(INDEX(Classes!$B$2:$B$200,MATCH(C392,Classes!$E$2:$E$200,0)),""))</f>
        <v/>
      </c>
    </row>
    <row r="393">
      <c r="N393">
        <f>IF(C393="","",IFERROR(INDEX(Classes!$B$2:$B$200,MATCH(C393,Classes!$E$2:$E$200,0)),""))</f>
        <v/>
      </c>
    </row>
    <row r="394">
      <c r="N394">
        <f>IF(C394="","",IFERROR(INDEX(Classes!$B$2:$B$200,MATCH(C394,Classes!$E$2:$E$200,0)),""))</f>
        <v/>
      </c>
    </row>
    <row r="395">
      <c r="N395">
        <f>IF(C395="","",IFERROR(INDEX(Classes!$B$2:$B$200,MATCH(C395,Classes!$E$2:$E$200,0)),""))</f>
        <v/>
      </c>
    </row>
    <row r="396">
      <c r="N396">
        <f>IF(C396="","",IFERROR(INDEX(Classes!$B$2:$B$200,MATCH(C396,Classes!$E$2:$E$200,0)),""))</f>
        <v/>
      </c>
    </row>
    <row r="397">
      <c r="N397">
        <f>IF(C397="","",IFERROR(INDEX(Classes!$B$2:$B$200,MATCH(C397,Classes!$E$2:$E$200,0)),""))</f>
        <v/>
      </c>
    </row>
    <row r="398">
      <c r="N398">
        <f>IF(C398="","",IFERROR(INDEX(Classes!$B$2:$B$200,MATCH(C398,Classes!$E$2:$E$200,0)),""))</f>
        <v/>
      </c>
    </row>
    <row r="399">
      <c r="N399">
        <f>IF(C399="","",IFERROR(INDEX(Classes!$B$2:$B$200,MATCH(C399,Classes!$E$2:$E$200,0)),""))</f>
        <v/>
      </c>
    </row>
    <row r="400">
      <c r="N400">
        <f>IF(C400="","",IFERROR(INDEX(Classes!$B$2:$B$200,MATCH(C400,Classes!$E$2:$E$200,0)),""))</f>
        <v/>
      </c>
    </row>
    <row r="401">
      <c r="N401">
        <f>IF(C401="","",IFERROR(INDEX(Classes!$B$2:$B$200,MATCH(C401,Classes!$E$2:$E$200,0)),""))</f>
        <v/>
      </c>
    </row>
    <row r="402">
      <c r="N402">
        <f>IF(C402="","",IFERROR(INDEX(Classes!$B$2:$B$200,MATCH(C402,Classes!$E$2:$E$200,0)),""))</f>
        <v/>
      </c>
    </row>
    <row r="403">
      <c r="N403">
        <f>IF(C403="","",IFERROR(INDEX(Classes!$B$2:$B$200,MATCH(C403,Classes!$E$2:$E$200,0)),""))</f>
        <v/>
      </c>
    </row>
    <row r="404">
      <c r="N404">
        <f>IF(C404="","",IFERROR(INDEX(Classes!$B$2:$B$200,MATCH(C404,Classes!$E$2:$E$200,0)),""))</f>
        <v/>
      </c>
    </row>
    <row r="405">
      <c r="N405">
        <f>IF(C405="","",IFERROR(INDEX(Classes!$B$2:$B$200,MATCH(C405,Classes!$E$2:$E$200,0)),""))</f>
        <v/>
      </c>
    </row>
    <row r="406">
      <c r="N406">
        <f>IF(C406="","",IFERROR(INDEX(Classes!$B$2:$B$200,MATCH(C406,Classes!$E$2:$E$200,0)),""))</f>
        <v/>
      </c>
    </row>
    <row r="407">
      <c r="N407">
        <f>IF(C407="","",IFERROR(INDEX(Classes!$B$2:$B$200,MATCH(C407,Classes!$E$2:$E$200,0)),""))</f>
        <v/>
      </c>
    </row>
    <row r="408">
      <c r="N408">
        <f>IF(C408="","",IFERROR(INDEX(Classes!$B$2:$B$200,MATCH(C408,Classes!$E$2:$E$200,0)),""))</f>
        <v/>
      </c>
    </row>
    <row r="409">
      <c r="N409">
        <f>IF(C409="","",IFERROR(INDEX(Classes!$B$2:$B$200,MATCH(C409,Classes!$E$2:$E$200,0)),""))</f>
        <v/>
      </c>
    </row>
    <row r="410">
      <c r="N410">
        <f>IF(C410="","",IFERROR(INDEX(Classes!$B$2:$B$200,MATCH(C410,Classes!$E$2:$E$200,0)),""))</f>
        <v/>
      </c>
    </row>
    <row r="411">
      <c r="N411">
        <f>IF(C411="","",IFERROR(INDEX(Classes!$B$2:$B$200,MATCH(C411,Classes!$E$2:$E$200,0)),""))</f>
        <v/>
      </c>
    </row>
    <row r="412">
      <c r="N412">
        <f>IF(C412="","",IFERROR(INDEX(Classes!$B$2:$B$200,MATCH(C412,Classes!$E$2:$E$200,0)),""))</f>
        <v/>
      </c>
    </row>
    <row r="413">
      <c r="N413">
        <f>IF(C413="","",IFERROR(INDEX(Classes!$B$2:$B$200,MATCH(C413,Classes!$E$2:$E$200,0)),""))</f>
        <v/>
      </c>
    </row>
    <row r="414">
      <c r="N414">
        <f>IF(C414="","",IFERROR(INDEX(Classes!$B$2:$B$200,MATCH(C414,Classes!$E$2:$E$200,0)),""))</f>
        <v/>
      </c>
    </row>
    <row r="415">
      <c r="N415">
        <f>IF(C415="","",IFERROR(INDEX(Classes!$B$2:$B$200,MATCH(C415,Classes!$E$2:$E$200,0)),""))</f>
        <v/>
      </c>
    </row>
    <row r="416">
      <c r="N416">
        <f>IF(C416="","",IFERROR(INDEX(Classes!$B$2:$B$200,MATCH(C416,Classes!$E$2:$E$200,0)),""))</f>
        <v/>
      </c>
    </row>
    <row r="417">
      <c r="N417">
        <f>IF(C417="","",IFERROR(INDEX(Classes!$B$2:$B$200,MATCH(C417,Classes!$E$2:$E$200,0)),""))</f>
        <v/>
      </c>
    </row>
    <row r="418">
      <c r="N418">
        <f>IF(C418="","",IFERROR(INDEX(Classes!$B$2:$B$200,MATCH(C418,Classes!$E$2:$E$200,0)),""))</f>
        <v/>
      </c>
    </row>
    <row r="419">
      <c r="N419">
        <f>IF(C419="","",IFERROR(INDEX(Classes!$B$2:$B$200,MATCH(C419,Classes!$E$2:$E$200,0)),""))</f>
        <v/>
      </c>
    </row>
    <row r="420">
      <c r="N420">
        <f>IF(C420="","",IFERROR(INDEX(Classes!$B$2:$B$200,MATCH(C420,Classes!$E$2:$E$200,0)),""))</f>
        <v/>
      </c>
    </row>
    <row r="421">
      <c r="N421">
        <f>IF(C421="","",IFERROR(INDEX(Classes!$B$2:$B$200,MATCH(C421,Classes!$E$2:$E$200,0)),""))</f>
        <v/>
      </c>
    </row>
    <row r="422">
      <c r="N422">
        <f>IF(C422="","",IFERROR(INDEX(Classes!$B$2:$B$200,MATCH(C422,Classes!$E$2:$E$200,0)),""))</f>
        <v/>
      </c>
    </row>
    <row r="423">
      <c r="N423">
        <f>IF(C423="","",IFERROR(INDEX(Classes!$B$2:$B$200,MATCH(C423,Classes!$E$2:$E$200,0)),""))</f>
        <v/>
      </c>
    </row>
    <row r="424">
      <c r="N424">
        <f>IF(C424="","",IFERROR(INDEX(Classes!$B$2:$B$200,MATCH(C424,Classes!$E$2:$E$200,0)),""))</f>
        <v/>
      </c>
    </row>
    <row r="425">
      <c r="N425">
        <f>IF(C425="","",IFERROR(INDEX(Classes!$B$2:$B$200,MATCH(C425,Classes!$E$2:$E$200,0)),""))</f>
        <v/>
      </c>
    </row>
    <row r="426">
      <c r="N426">
        <f>IF(C426="","",IFERROR(INDEX(Classes!$B$2:$B$200,MATCH(C426,Classes!$E$2:$E$200,0)),""))</f>
        <v/>
      </c>
    </row>
    <row r="427">
      <c r="N427">
        <f>IF(C427="","",IFERROR(INDEX(Classes!$B$2:$B$200,MATCH(C427,Classes!$E$2:$E$200,0)),""))</f>
        <v/>
      </c>
    </row>
    <row r="428">
      <c r="N428">
        <f>IF(C428="","",IFERROR(INDEX(Classes!$B$2:$B$200,MATCH(C428,Classes!$E$2:$E$200,0)),""))</f>
        <v/>
      </c>
    </row>
    <row r="429">
      <c r="N429">
        <f>IF(C429="","",IFERROR(INDEX(Classes!$B$2:$B$200,MATCH(C429,Classes!$E$2:$E$200,0)),""))</f>
        <v/>
      </c>
    </row>
    <row r="430">
      <c r="N430">
        <f>IF(C430="","",IFERROR(INDEX(Classes!$B$2:$B$200,MATCH(C430,Classes!$E$2:$E$200,0)),""))</f>
        <v/>
      </c>
    </row>
    <row r="431">
      <c r="N431">
        <f>IF(C431="","",IFERROR(INDEX(Classes!$B$2:$B$200,MATCH(C431,Classes!$E$2:$E$200,0)),""))</f>
        <v/>
      </c>
    </row>
    <row r="432">
      <c r="N432">
        <f>IF(C432="","",IFERROR(INDEX(Classes!$B$2:$B$200,MATCH(C432,Classes!$E$2:$E$200,0)),""))</f>
        <v/>
      </c>
    </row>
    <row r="433">
      <c r="N433">
        <f>IF(C433="","",IFERROR(INDEX(Classes!$B$2:$B$200,MATCH(C433,Classes!$E$2:$E$200,0)),""))</f>
        <v/>
      </c>
    </row>
    <row r="434">
      <c r="N434">
        <f>IF(C434="","",IFERROR(INDEX(Classes!$B$2:$B$200,MATCH(C434,Classes!$E$2:$E$200,0)),""))</f>
        <v/>
      </c>
    </row>
    <row r="435">
      <c r="N435">
        <f>IF(C435="","",IFERROR(INDEX(Classes!$B$2:$B$200,MATCH(C435,Classes!$E$2:$E$200,0)),""))</f>
        <v/>
      </c>
    </row>
    <row r="436">
      <c r="N436">
        <f>IF(C436="","",IFERROR(INDEX(Classes!$B$2:$B$200,MATCH(C436,Classes!$E$2:$E$200,0)),""))</f>
        <v/>
      </c>
    </row>
    <row r="437">
      <c r="N437">
        <f>IF(C437="","",IFERROR(INDEX(Classes!$B$2:$B$200,MATCH(C437,Classes!$E$2:$E$200,0)),""))</f>
        <v/>
      </c>
    </row>
    <row r="438">
      <c r="N438">
        <f>IF(C438="","",IFERROR(INDEX(Classes!$B$2:$B$200,MATCH(C438,Classes!$E$2:$E$200,0)),""))</f>
        <v/>
      </c>
    </row>
    <row r="439">
      <c r="N439">
        <f>IF(C439="","",IFERROR(INDEX(Classes!$B$2:$B$200,MATCH(C439,Classes!$E$2:$E$200,0)),""))</f>
        <v/>
      </c>
    </row>
    <row r="440">
      <c r="N440">
        <f>IF(C440="","",IFERROR(INDEX(Classes!$B$2:$B$200,MATCH(C440,Classes!$E$2:$E$200,0)),""))</f>
        <v/>
      </c>
    </row>
    <row r="441">
      <c r="N441">
        <f>IF(C441="","",IFERROR(INDEX(Classes!$B$2:$B$200,MATCH(C441,Classes!$E$2:$E$200,0)),""))</f>
        <v/>
      </c>
    </row>
    <row r="442">
      <c r="N442">
        <f>IF(C442="","",IFERROR(INDEX(Classes!$B$2:$B$200,MATCH(C442,Classes!$E$2:$E$200,0)),""))</f>
        <v/>
      </c>
    </row>
    <row r="443">
      <c r="N443">
        <f>IF(C443="","",IFERROR(INDEX(Classes!$B$2:$B$200,MATCH(C443,Classes!$E$2:$E$200,0)),""))</f>
        <v/>
      </c>
    </row>
    <row r="444">
      <c r="N444">
        <f>IF(C444="","",IFERROR(INDEX(Classes!$B$2:$B$200,MATCH(C444,Classes!$E$2:$E$200,0)),""))</f>
        <v/>
      </c>
    </row>
    <row r="445">
      <c r="N445">
        <f>IF(C445="","",IFERROR(INDEX(Classes!$B$2:$B$200,MATCH(C445,Classes!$E$2:$E$200,0)),""))</f>
        <v/>
      </c>
    </row>
    <row r="446">
      <c r="N446">
        <f>IF(C446="","",IFERROR(INDEX(Classes!$B$2:$B$200,MATCH(C446,Classes!$E$2:$E$200,0)),""))</f>
        <v/>
      </c>
    </row>
    <row r="447">
      <c r="N447">
        <f>IF(C447="","",IFERROR(INDEX(Classes!$B$2:$B$200,MATCH(C447,Classes!$E$2:$E$200,0)),""))</f>
        <v/>
      </c>
    </row>
    <row r="448">
      <c r="N448">
        <f>IF(C448="","",IFERROR(INDEX(Classes!$B$2:$B$200,MATCH(C448,Classes!$E$2:$E$200,0)),""))</f>
        <v/>
      </c>
    </row>
    <row r="449">
      <c r="N449">
        <f>IF(C449="","",IFERROR(INDEX(Classes!$B$2:$B$200,MATCH(C449,Classes!$E$2:$E$200,0)),""))</f>
        <v/>
      </c>
    </row>
    <row r="450">
      <c r="N450">
        <f>IF(C450="","",IFERROR(INDEX(Classes!$B$2:$B$200,MATCH(C450,Classes!$E$2:$E$200,0)),""))</f>
        <v/>
      </c>
    </row>
    <row r="451">
      <c r="N451">
        <f>IF(C451="","",IFERROR(INDEX(Classes!$B$2:$B$200,MATCH(C451,Classes!$E$2:$E$200,0)),""))</f>
        <v/>
      </c>
    </row>
    <row r="452">
      <c r="N452">
        <f>IF(C452="","",IFERROR(INDEX(Classes!$B$2:$B$200,MATCH(C452,Classes!$E$2:$E$200,0)),""))</f>
        <v/>
      </c>
    </row>
    <row r="453">
      <c r="N453">
        <f>IF(C453="","",IFERROR(INDEX(Classes!$B$2:$B$200,MATCH(C453,Classes!$E$2:$E$200,0)),""))</f>
        <v/>
      </c>
    </row>
    <row r="454">
      <c r="N454">
        <f>IF(C454="","",IFERROR(INDEX(Classes!$B$2:$B$200,MATCH(C454,Classes!$E$2:$E$200,0)),""))</f>
        <v/>
      </c>
    </row>
    <row r="455">
      <c r="N455">
        <f>IF(C455="","",IFERROR(INDEX(Classes!$B$2:$B$200,MATCH(C455,Classes!$E$2:$E$200,0)),""))</f>
        <v/>
      </c>
    </row>
    <row r="456">
      <c r="N456">
        <f>IF(C456="","",IFERROR(INDEX(Classes!$B$2:$B$200,MATCH(C456,Classes!$E$2:$E$200,0)),""))</f>
        <v/>
      </c>
    </row>
    <row r="457">
      <c r="N457">
        <f>IF(C457="","",IFERROR(INDEX(Classes!$B$2:$B$200,MATCH(C457,Classes!$E$2:$E$200,0)),""))</f>
        <v/>
      </c>
    </row>
    <row r="458">
      <c r="N458">
        <f>IF(C458="","",IFERROR(INDEX(Classes!$B$2:$B$200,MATCH(C458,Classes!$E$2:$E$200,0)),""))</f>
        <v/>
      </c>
    </row>
    <row r="459">
      <c r="N459">
        <f>IF(C459="","",IFERROR(INDEX(Classes!$B$2:$B$200,MATCH(C459,Classes!$E$2:$E$200,0)),""))</f>
        <v/>
      </c>
    </row>
    <row r="460">
      <c r="N460">
        <f>IF(C460="","",IFERROR(INDEX(Classes!$B$2:$B$200,MATCH(C460,Classes!$E$2:$E$200,0)),""))</f>
        <v/>
      </c>
    </row>
    <row r="461">
      <c r="N461">
        <f>IF(C461="","",IFERROR(INDEX(Classes!$B$2:$B$200,MATCH(C461,Classes!$E$2:$E$200,0)),""))</f>
        <v/>
      </c>
    </row>
    <row r="462">
      <c r="N462">
        <f>IF(C462="","",IFERROR(INDEX(Classes!$B$2:$B$200,MATCH(C462,Classes!$E$2:$E$200,0)),""))</f>
        <v/>
      </c>
    </row>
    <row r="463">
      <c r="N463">
        <f>IF(C463="","",IFERROR(INDEX(Classes!$B$2:$B$200,MATCH(C463,Classes!$E$2:$E$200,0)),""))</f>
        <v/>
      </c>
    </row>
    <row r="464">
      <c r="N464">
        <f>IF(C464="","",IFERROR(INDEX(Classes!$B$2:$B$200,MATCH(C464,Classes!$E$2:$E$200,0)),""))</f>
        <v/>
      </c>
    </row>
    <row r="465">
      <c r="N465">
        <f>IF(C465="","",IFERROR(INDEX(Classes!$B$2:$B$200,MATCH(C465,Classes!$E$2:$E$200,0)),""))</f>
        <v/>
      </c>
    </row>
    <row r="466">
      <c r="N466">
        <f>IF(C466="","",IFERROR(INDEX(Classes!$B$2:$B$200,MATCH(C466,Classes!$E$2:$E$200,0)),""))</f>
        <v/>
      </c>
    </row>
    <row r="467">
      <c r="N467">
        <f>IF(C467="","",IFERROR(INDEX(Classes!$B$2:$B$200,MATCH(C467,Classes!$E$2:$E$200,0)),""))</f>
        <v/>
      </c>
    </row>
    <row r="468">
      <c r="N468">
        <f>IF(C468="","",IFERROR(INDEX(Classes!$B$2:$B$200,MATCH(C468,Classes!$E$2:$E$200,0)),""))</f>
        <v/>
      </c>
    </row>
    <row r="469">
      <c r="N469">
        <f>IF(C469="","",IFERROR(INDEX(Classes!$B$2:$B$200,MATCH(C469,Classes!$E$2:$E$200,0)),""))</f>
        <v/>
      </c>
    </row>
    <row r="470">
      <c r="N470">
        <f>IF(C470="","",IFERROR(INDEX(Classes!$B$2:$B$200,MATCH(C470,Classes!$E$2:$E$200,0)),""))</f>
        <v/>
      </c>
    </row>
    <row r="471">
      <c r="N471">
        <f>IF(C471="","",IFERROR(INDEX(Classes!$B$2:$B$200,MATCH(C471,Classes!$E$2:$E$200,0)),""))</f>
        <v/>
      </c>
    </row>
    <row r="472">
      <c r="N472">
        <f>IF(C472="","",IFERROR(INDEX(Classes!$B$2:$B$200,MATCH(C472,Classes!$E$2:$E$200,0)),""))</f>
        <v/>
      </c>
    </row>
    <row r="473">
      <c r="N473">
        <f>IF(C473="","",IFERROR(INDEX(Classes!$B$2:$B$200,MATCH(C473,Classes!$E$2:$E$200,0)),""))</f>
        <v/>
      </c>
    </row>
    <row r="474">
      <c r="N474">
        <f>IF(C474="","",IFERROR(INDEX(Classes!$B$2:$B$200,MATCH(C474,Classes!$E$2:$E$200,0)),""))</f>
        <v/>
      </c>
    </row>
    <row r="475">
      <c r="N475">
        <f>IF(C475="","",IFERROR(INDEX(Classes!$B$2:$B$200,MATCH(C475,Classes!$E$2:$E$200,0)),""))</f>
        <v/>
      </c>
    </row>
    <row r="476">
      <c r="N476">
        <f>IF(C476="","",IFERROR(INDEX(Classes!$B$2:$B$200,MATCH(C476,Classes!$E$2:$E$200,0)),""))</f>
        <v/>
      </c>
    </row>
    <row r="477">
      <c r="N477">
        <f>IF(C477="","",IFERROR(INDEX(Classes!$B$2:$B$200,MATCH(C477,Classes!$E$2:$E$200,0)),""))</f>
        <v/>
      </c>
    </row>
    <row r="478">
      <c r="N478">
        <f>IF(C478="","",IFERROR(INDEX(Classes!$B$2:$B$200,MATCH(C478,Classes!$E$2:$E$200,0)),""))</f>
        <v/>
      </c>
    </row>
    <row r="479">
      <c r="N479">
        <f>IF(C479="","",IFERROR(INDEX(Classes!$B$2:$B$200,MATCH(C479,Classes!$E$2:$E$200,0)),""))</f>
        <v/>
      </c>
    </row>
    <row r="480">
      <c r="N480">
        <f>IF(C480="","",IFERROR(INDEX(Classes!$B$2:$B$200,MATCH(C480,Classes!$E$2:$E$200,0)),""))</f>
        <v/>
      </c>
    </row>
    <row r="481">
      <c r="N481">
        <f>IF(C481="","",IFERROR(INDEX(Classes!$B$2:$B$200,MATCH(C481,Classes!$E$2:$E$200,0)),""))</f>
        <v/>
      </c>
    </row>
    <row r="482">
      <c r="N482">
        <f>IF(C482="","",IFERROR(INDEX(Classes!$B$2:$B$200,MATCH(C482,Classes!$E$2:$E$200,0)),""))</f>
        <v/>
      </c>
    </row>
    <row r="483">
      <c r="N483">
        <f>IF(C483="","",IFERROR(INDEX(Classes!$B$2:$B$200,MATCH(C483,Classes!$E$2:$E$200,0)),""))</f>
        <v/>
      </c>
    </row>
    <row r="484">
      <c r="N484">
        <f>IF(C484="","",IFERROR(INDEX(Classes!$B$2:$B$200,MATCH(C484,Classes!$E$2:$E$200,0)),""))</f>
        <v/>
      </c>
    </row>
    <row r="485">
      <c r="N485">
        <f>IF(C485="","",IFERROR(INDEX(Classes!$B$2:$B$200,MATCH(C485,Classes!$E$2:$E$200,0)),""))</f>
        <v/>
      </c>
    </row>
    <row r="486">
      <c r="N486">
        <f>IF(C486="","",IFERROR(INDEX(Classes!$B$2:$B$200,MATCH(C486,Classes!$E$2:$E$200,0)),""))</f>
        <v/>
      </c>
    </row>
    <row r="487">
      <c r="N487">
        <f>IF(C487="","",IFERROR(INDEX(Classes!$B$2:$B$200,MATCH(C487,Classes!$E$2:$E$200,0)),""))</f>
        <v/>
      </c>
    </row>
    <row r="488">
      <c r="N488">
        <f>IF(C488="","",IFERROR(INDEX(Classes!$B$2:$B$200,MATCH(C488,Classes!$E$2:$E$200,0)),""))</f>
        <v/>
      </c>
    </row>
    <row r="489">
      <c r="N489">
        <f>IF(C489="","",IFERROR(INDEX(Classes!$B$2:$B$200,MATCH(C489,Classes!$E$2:$E$200,0)),""))</f>
        <v/>
      </c>
    </row>
    <row r="490">
      <c r="N490">
        <f>IF(C490="","",IFERROR(INDEX(Classes!$B$2:$B$200,MATCH(C490,Classes!$E$2:$E$200,0)),""))</f>
        <v/>
      </c>
    </row>
    <row r="491">
      <c r="N491">
        <f>IF(C491="","",IFERROR(INDEX(Classes!$B$2:$B$200,MATCH(C491,Classes!$E$2:$E$200,0)),""))</f>
        <v/>
      </c>
    </row>
    <row r="492">
      <c r="N492">
        <f>IF(C492="","",IFERROR(INDEX(Classes!$B$2:$B$200,MATCH(C492,Classes!$E$2:$E$200,0)),""))</f>
        <v/>
      </c>
    </row>
    <row r="493">
      <c r="N493">
        <f>IF(C493="","",IFERROR(INDEX(Classes!$B$2:$B$200,MATCH(C493,Classes!$E$2:$E$200,0)),""))</f>
        <v/>
      </c>
    </row>
    <row r="494">
      <c r="N494">
        <f>IF(C494="","",IFERROR(INDEX(Classes!$B$2:$B$200,MATCH(C494,Classes!$E$2:$E$200,0)),""))</f>
        <v/>
      </c>
    </row>
    <row r="495">
      <c r="N495">
        <f>IF(C495="","",IFERROR(INDEX(Classes!$B$2:$B$200,MATCH(C495,Classes!$E$2:$E$200,0)),""))</f>
        <v/>
      </c>
    </row>
    <row r="496">
      <c r="N496">
        <f>IF(C496="","",IFERROR(INDEX(Classes!$B$2:$B$200,MATCH(C496,Classes!$E$2:$E$200,0)),""))</f>
        <v/>
      </c>
    </row>
    <row r="497">
      <c r="N497">
        <f>IF(C497="","",IFERROR(INDEX(Classes!$B$2:$B$200,MATCH(C497,Classes!$E$2:$E$200,0)),""))</f>
        <v/>
      </c>
    </row>
    <row r="498">
      <c r="N498">
        <f>IF(C498="","",IFERROR(INDEX(Classes!$B$2:$B$200,MATCH(C498,Classes!$E$2:$E$200,0)),""))</f>
        <v/>
      </c>
    </row>
    <row r="499">
      <c r="N499">
        <f>IF(C499="","",IFERROR(INDEX(Classes!$B$2:$B$200,MATCH(C499,Classes!$E$2:$E$200,0)),""))</f>
        <v/>
      </c>
    </row>
    <row r="500">
      <c r="N500">
        <f>IF(C500="","",IFERROR(INDEX(Classes!$B$2:$B$200,MATCH(C500,Classes!$E$2:$E$200,0)),""))</f>
        <v/>
      </c>
    </row>
  </sheetData>
  <dataValidations count="6">
    <dataValidation sqref="B2:B500" showDropDown="0" showInputMessage="0" showErrorMessage="0" allowBlank="1" type="list">
      <formula1>"Upper,Lower"</formula1>
    </dataValidation>
    <dataValidation sqref="G2:G500" showDropDown="0" showInputMessage="0" showErrorMessage="0" allowBlank="1" type="list">
      <formula1>"Excellent,Good,Fair,Poor"</formula1>
    </dataValidation>
    <dataValidation sqref="H2:H500" showDropDown="0" showInputMessage="0" showErrorMessage="0" allowBlank="1" type="list">
      <formula1>"High,Medium,Low"</formula1>
    </dataValidation>
    <dataValidation sqref="L2:L500" showDropDown="0" showInputMessage="0" showErrorMessage="0" allowBlank="1" type="list">
      <formula1>"Good,Fair,Poor"</formula1>
    </dataValidation>
    <dataValidation sqref="D2:D500" showDropDown="0" showInputMessage="0" showErrorMessage="0" allowBlank="1" type="list">
      <formula1>=Teachers!$A$2:$A$500</formula1>
    </dataValidation>
    <dataValidation sqref="C2:C500" showDropDown="0" showInputMessage="0" showErrorMessage="0" allowBlank="1" type="list">
      <formula1>=Classes!$E$2:$E$200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0" customWidth="1" min="5" max="5"/>
    <col width="28" customWidth="1" min="6" max="6"/>
    <col width="30" customWidth="1" min="7" max="7"/>
    <col width="10" customWidth="1" min="8" max="8"/>
    <col width="10" customWidth="1" min="9" max="9"/>
    <col width="12" customWidth="1" min="10" max="10"/>
    <col width="18" customWidth="1" min="11" max="11"/>
    <col width="16" customWidth="1" min="12" max="12"/>
    <col width="18" customWidth="1" min="13" max="13"/>
    <col width="22" customWidth="1" min="14" max="14"/>
    <col width="22" customWidth="1" min="15" max="15"/>
    <col width="16" customWidth="1" min="16" max="16"/>
  </cols>
  <sheetData>
    <row r="1">
      <c r="A1" s="1" t="inlineStr">
        <is>
          <t>Week Ending</t>
        </is>
      </c>
      <c r="B1" s="1" t="inlineStr">
        <is>
          <t>Campus (Upper/Lower)</t>
        </is>
      </c>
      <c r="C1" s="1" t="inlineStr">
        <is>
          <t>Subject</t>
        </is>
      </c>
      <c r="D1" s="1" t="inlineStr">
        <is>
          <t>Teacher</t>
        </is>
      </c>
      <c r="E1" s="1" t="inlineStr">
        <is>
          <t>Class</t>
        </is>
      </c>
      <c r="F1" s="1" t="inlineStr">
        <is>
          <t>Topics Covered</t>
        </is>
      </c>
      <c r="G1" s="1" t="inlineStr">
        <is>
          <t>Syllabus Status (On Track/Slightly Behind/Behind)</t>
        </is>
      </c>
      <c r="H1" s="1" t="inlineStr">
        <is>
          <t>Strong %</t>
        </is>
      </c>
      <c r="I1" s="1" t="inlineStr">
        <is>
          <t>Average %</t>
        </is>
      </c>
      <c r="J1" s="1" t="inlineStr">
        <is>
          <t>Struggling %</t>
        </is>
      </c>
      <c r="K1" s="1" t="inlineStr">
        <is>
          <t>Homework Given (Yes/No)</t>
        </is>
      </c>
      <c r="L1" s="1" t="inlineStr">
        <is>
          <t>Test Done (Yes/No)</t>
        </is>
      </c>
      <c r="M1" s="1" t="inlineStr">
        <is>
          <t>Marking Done (Yes/No)</t>
        </is>
      </c>
      <c r="N1" s="1" t="inlineStr">
        <is>
          <t>Main Challenge</t>
        </is>
      </c>
      <c r="O1" s="1" t="inlineStr">
        <is>
          <t>Support Needed</t>
        </is>
      </c>
      <c r="P1" s="1" t="inlineStr">
        <is>
          <t>Academic Group</t>
        </is>
      </c>
    </row>
    <row r="2">
      <c r="P2">
        <f>IF(E2="","",IFERROR(INDEX(Classes!$B$2:$B$200,MATCH(E2,Classes!$E$2:$E$200,0)),""))</f>
        <v/>
      </c>
    </row>
    <row r="3">
      <c r="P3">
        <f>IF(E3="","",IFERROR(INDEX(Classes!$B$2:$B$200,MATCH(E3,Classes!$E$2:$E$200,0)),""))</f>
        <v/>
      </c>
    </row>
    <row r="4">
      <c r="P4">
        <f>IF(E4="","",IFERROR(INDEX(Classes!$B$2:$B$200,MATCH(E4,Classes!$E$2:$E$200,0)),""))</f>
        <v/>
      </c>
    </row>
    <row r="5">
      <c r="P5">
        <f>IF(E5="","",IFERROR(INDEX(Classes!$B$2:$B$200,MATCH(E5,Classes!$E$2:$E$200,0)),""))</f>
        <v/>
      </c>
    </row>
    <row r="6">
      <c r="P6">
        <f>IF(E6="","",IFERROR(INDEX(Classes!$B$2:$B$200,MATCH(E6,Classes!$E$2:$E$200,0)),""))</f>
        <v/>
      </c>
    </row>
    <row r="7">
      <c r="P7">
        <f>IF(E7="","",IFERROR(INDEX(Classes!$B$2:$B$200,MATCH(E7,Classes!$E$2:$E$200,0)),""))</f>
        <v/>
      </c>
    </row>
    <row r="8">
      <c r="P8">
        <f>IF(E8="","",IFERROR(INDEX(Classes!$B$2:$B$200,MATCH(E8,Classes!$E$2:$E$200,0)),""))</f>
        <v/>
      </c>
    </row>
    <row r="9">
      <c r="P9">
        <f>IF(E9="","",IFERROR(INDEX(Classes!$B$2:$B$200,MATCH(E9,Classes!$E$2:$E$200,0)),""))</f>
        <v/>
      </c>
    </row>
    <row r="10">
      <c r="P10">
        <f>IF(E10="","",IFERROR(INDEX(Classes!$B$2:$B$200,MATCH(E10,Classes!$E$2:$E$200,0)),""))</f>
        <v/>
      </c>
    </row>
    <row r="11">
      <c r="P11">
        <f>IF(E11="","",IFERROR(INDEX(Classes!$B$2:$B$200,MATCH(E11,Classes!$E$2:$E$200,0)),""))</f>
        <v/>
      </c>
    </row>
    <row r="12">
      <c r="P12">
        <f>IF(E12="","",IFERROR(INDEX(Classes!$B$2:$B$200,MATCH(E12,Classes!$E$2:$E$200,0)),""))</f>
        <v/>
      </c>
    </row>
    <row r="13">
      <c r="P13">
        <f>IF(E13="","",IFERROR(INDEX(Classes!$B$2:$B$200,MATCH(E13,Classes!$E$2:$E$200,0)),""))</f>
        <v/>
      </c>
    </row>
    <row r="14">
      <c r="P14">
        <f>IF(E14="","",IFERROR(INDEX(Classes!$B$2:$B$200,MATCH(E14,Classes!$E$2:$E$200,0)),""))</f>
        <v/>
      </c>
    </row>
    <row r="15">
      <c r="P15">
        <f>IF(E15="","",IFERROR(INDEX(Classes!$B$2:$B$200,MATCH(E15,Classes!$E$2:$E$200,0)),""))</f>
        <v/>
      </c>
    </row>
    <row r="16">
      <c r="P16">
        <f>IF(E16="","",IFERROR(INDEX(Classes!$B$2:$B$200,MATCH(E16,Classes!$E$2:$E$200,0)),""))</f>
        <v/>
      </c>
    </row>
    <row r="17">
      <c r="P17">
        <f>IF(E17="","",IFERROR(INDEX(Classes!$B$2:$B$200,MATCH(E17,Classes!$E$2:$E$200,0)),""))</f>
        <v/>
      </c>
    </row>
    <row r="18">
      <c r="P18">
        <f>IF(E18="","",IFERROR(INDEX(Classes!$B$2:$B$200,MATCH(E18,Classes!$E$2:$E$200,0)),""))</f>
        <v/>
      </c>
    </row>
    <row r="19">
      <c r="P19">
        <f>IF(E19="","",IFERROR(INDEX(Classes!$B$2:$B$200,MATCH(E19,Classes!$E$2:$E$200,0)),""))</f>
        <v/>
      </c>
    </row>
    <row r="20">
      <c r="P20">
        <f>IF(E20="","",IFERROR(INDEX(Classes!$B$2:$B$200,MATCH(E20,Classes!$E$2:$E$200,0)),""))</f>
        <v/>
      </c>
    </row>
    <row r="21">
      <c r="P21">
        <f>IF(E21="","",IFERROR(INDEX(Classes!$B$2:$B$200,MATCH(E21,Classes!$E$2:$E$200,0)),""))</f>
        <v/>
      </c>
    </row>
    <row r="22">
      <c r="P22">
        <f>IF(E22="","",IFERROR(INDEX(Classes!$B$2:$B$200,MATCH(E22,Classes!$E$2:$E$200,0)),""))</f>
        <v/>
      </c>
    </row>
    <row r="23">
      <c r="P23">
        <f>IF(E23="","",IFERROR(INDEX(Classes!$B$2:$B$200,MATCH(E23,Classes!$E$2:$E$200,0)),""))</f>
        <v/>
      </c>
    </row>
    <row r="24">
      <c r="P24">
        <f>IF(E24="","",IFERROR(INDEX(Classes!$B$2:$B$200,MATCH(E24,Classes!$E$2:$E$200,0)),""))</f>
        <v/>
      </c>
    </row>
    <row r="25">
      <c r="P25">
        <f>IF(E25="","",IFERROR(INDEX(Classes!$B$2:$B$200,MATCH(E25,Classes!$E$2:$E$200,0)),""))</f>
        <v/>
      </c>
    </row>
    <row r="26">
      <c r="P26">
        <f>IF(E26="","",IFERROR(INDEX(Classes!$B$2:$B$200,MATCH(E26,Classes!$E$2:$E$200,0)),""))</f>
        <v/>
      </c>
    </row>
    <row r="27">
      <c r="P27">
        <f>IF(E27="","",IFERROR(INDEX(Classes!$B$2:$B$200,MATCH(E27,Classes!$E$2:$E$200,0)),""))</f>
        <v/>
      </c>
    </row>
    <row r="28">
      <c r="P28">
        <f>IF(E28="","",IFERROR(INDEX(Classes!$B$2:$B$200,MATCH(E28,Classes!$E$2:$E$200,0)),""))</f>
        <v/>
      </c>
    </row>
    <row r="29">
      <c r="P29">
        <f>IF(E29="","",IFERROR(INDEX(Classes!$B$2:$B$200,MATCH(E29,Classes!$E$2:$E$200,0)),""))</f>
        <v/>
      </c>
    </row>
    <row r="30">
      <c r="P30">
        <f>IF(E30="","",IFERROR(INDEX(Classes!$B$2:$B$200,MATCH(E30,Classes!$E$2:$E$200,0)),""))</f>
        <v/>
      </c>
    </row>
    <row r="31">
      <c r="P31">
        <f>IF(E31="","",IFERROR(INDEX(Classes!$B$2:$B$200,MATCH(E31,Classes!$E$2:$E$200,0)),""))</f>
        <v/>
      </c>
    </row>
    <row r="32">
      <c r="P32">
        <f>IF(E32="","",IFERROR(INDEX(Classes!$B$2:$B$200,MATCH(E32,Classes!$E$2:$E$200,0)),""))</f>
        <v/>
      </c>
    </row>
    <row r="33">
      <c r="P33">
        <f>IF(E33="","",IFERROR(INDEX(Classes!$B$2:$B$200,MATCH(E33,Classes!$E$2:$E$200,0)),""))</f>
        <v/>
      </c>
    </row>
    <row r="34">
      <c r="P34">
        <f>IF(E34="","",IFERROR(INDEX(Classes!$B$2:$B$200,MATCH(E34,Classes!$E$2:$E$200,0)),""))</f>
        <v/>
      </c>
    </row>
    <row r="35">
      <c r="P35">
        <f>IF(E35="","",IFERROR(INDEX(Classes!$B$2:$B$200,MATCH(E35,Classes!$E$2:$E$200,0)),""))</f>
        <v/>
      </c>
    </row>
    <row r="36">
      <c r="P36">
        <f>IF(E36="","",IFERROR(INDEX(Classes!$B$2:$B$200,MATCH(E36,Classes!$E$2:$E$200,0)),""))</f>
        <v/>
      </c>
    </row>
    <row r="37">
      <c r="P37">
        <f>IF(E37="","",IFERROR(INDEX(Classes!$B$2:$B$200,MATCH(E37,Classes!$E$2:$E$200,0)),""))</f>
        <v/>
      </c>
    </row>
    <row r="38">
      <c r="P38">
        <f>IF(E38="","",IFERROR(INDEX(Classes!$B$2:$B$200,MATCH(E38,Classes!$E$2:$E$200,0)),""))</f>
        <v/>
      </c>
    </row>
    <row r="39">
      <c r="P39">
        <f>IF(E39="","",IFERROR(INDEX(Classes!$B$2:$B$200,MATCH(E39,Classes!$E$2:$E$200,0)),""))</f>
        <v/>
      </c>
    </row>
    <row r="40">
      <c r="P40">
        <f>IF(E40="","",IFERROR(INDEX(Classes!$B$2:$B$200,MATCH(E40,Classes!$E$2:$E$200,0)),""))</f>
        <v/>
      </c>
    </row>
    <row r="41">
      <c r="P41">
        <f>IF(E41="","",IFERROR(INDEX(Classes!$B$2:$B$200,MATCH(E41,Classes!$E$2:$E$200,0)),""))</f>
        <v/>
      </c>
    </row>
    <row r="42">
      <c r="P42">
        <f>IF(E42="","",IFERROR(INDEX(Classes!$B$2:$B$200,MATCH(E42,Classes!$E$2:$E$200,0)),""))</f>
        <v/>
      </c>
    </row>
    <row r="43">
      <c r="P43">
        <f>IF(E43="","",IFERROR(INDEX(Classes!$B$2:$B$200,MATCH(E43,Classes!$E$2:$E$200,0)),""))</f>
        <v/>
      </c>
    </row>
    <row r="44">
      <c r="P44">
        <f>IF(E44="","",IFERROR(INDEX(Classes!$B$2:$B$200,MATCH(E44,Classes!$E$2:$E$200,0)),""))</f>
        <v/>
      </c>
    </row>
    <row r="45">
      <c r="P45">
        <f>IF(E45="","",IFERROR(INDEX(Classes!$B$2:$B$200,MATCH(E45,Classes!$E$2:$E$200,0)),""))</f>
        <v/>
      </c>
    </row>
    <row r="46">
      <c r="P46">
        <f>IF(E46="","",IFERROR(INDEX(Classes!$B$2:$B$200,MATCH(E46,Classes!$E$2:$E$200,0)),""))</f>
        <v/>
      </c>
    </row>
    <row r="47">
      <c r="P47">
        <f>IF(E47="","",IFERROR(INDEX(Classes!$B$2:$B$200,MATCH(E47,Classes!$E$2:$E$200,0)),""))</f>
        <v/>
      </c>
    </row>
    <row r="48">
      <c r="P48">
        <f>IF(E48="","",IFERROR(INDEX(Classes!$B$2:$B$200,MATCH(E48,Classes!$E$2:$E$200,0)),""))</f>
        <v/>
      </c>
    </row>
    <row r="49">
      <c r="P49">
        <f>IF(E49="","",IFERROR(INDEX(Classes!$B$2:$B$200,MATCH(E49,Classes!$E$2:$E$200,0)),""))</f>
        <v/>
      </c>
    </row>
    <row r="50">
      <c r="P50">
        <f>IF(E50="","",IFERROR(INDEX(Classes!$B$2:$B$200,MATCH(E50,Classes!$E$2:$E$200,0)),""))</f>
        <v/>
      </c>
    </row>
    <row r="51">
      <c r="P51">
        <f>IF(E51="","",IFERROR(INDEX(Classes!$B$2:$B$200,MATCH(E51,Classes!$E$2:$E$200,0)),""))</f>
        <v/>
      </c>
    </row>
    <row r="52">
      <c r="P52">
        <f>IF(E52="","",IFERROR(INDEX(Classes!$B$2:$B$200,MATCH(E52,Classes!$E$2:$E$200,0)),""))</f>
        <v/>
      </c>
    </row>
    <row r="53">
      <c r="P53">
        <f>IF(E53="","",IFERROR(INDEX(Classes!$B$2:$B$200,MATCH(E53,Classes!$E$2:$E$200,0)),""))</f>
        <v/>
      </c>
    </row>
    <row r="54">
      <c r="P54">
        <f>IF(E54="","",IFERROR(INDEX(Classes!$B$2:$B$200,MATCH(E54,Classes!$E$2:$E$200,0)),""))</f>
        <v/>
      </c>
    </row>
    <row r="55">
      <c r="P55">
        <f>IF(E55="","",IFERROR(INDEX(Classes!$B$2:$B$200,MATCH(E55,Classes!$E$2:$E$200,0)),""))</f>
        <v/>
      </c>
    </row>
    <row r="56">
      <c r="P56">
        <f>IF(E56="","",IFERROR(INDEX(Classes!$B$2:$B$200,MATCH(E56,Classes!$E$2:$E$200,0)),""))</f>
        <v/>
      </c>
    </row>
    <row r="57">
      <c r="P57">
        <f>IF(E57="","",IFERROR(INDEX(Classes!$B$2:$B$200,MATCH(E57,Classes!$E$2:$E$200,0)),""))</f>
        <v/>
      </c>
    </row>
    <row r="58">
      <c r="P58">
        <f>IF(E58="","",IFERROR(INDEX(Classes!$B$2:$B$200,MATCH(E58,Classes!$E$2:$E$200,0)),""))</f>
        <v/>
      </c>
    </row>
    <row r="59">
      <c r="P59">
        <f>IF(E59="","",IFERROR(INDEX(Classes!$B$2:$B$200,MATCH(E59,Classes!$E$2:$E$200,0)),""))</f>
        <v/>
      </c>
    </row>
    <row r="60">
      <c r="P60">
        <f>IF(E60="","",IFERROR(INDEX(Classes!$B$2:$B$200,MATCH(E60,Classes!$E$2:$E$200,0)),""))</f>
        <v/>
      </c>
    </row>
    <row r="61">
      <c r="P61">
        <f>IF(E61="","",IFERROR(INDEX(Classes!$B$2:$B$200,MATCH(E61,Classes!$E$2:$E$200,0)),""))</f>
        <v/>
      </c>
    </row>
    <row r="62">
      <c r="P62">
        <f>IF(E62="","",IFERROR(INDEX(Classes!$B$2:$B$200,MATCH(E62,Classes!$E$2:$E$200,0)),""))</f>
        <v/>
      </c>
    </row>
    <row r="63">
      <c r="P63">
        <f>IF(E63="","",IFERROR(INDEX(Classes!$B$2:$B$200,MATCH(E63,Classes!$E$2:$E$200,0)),""))</f>
        <v/>
      </c>
    </row>
    <row r="64">
      <c r="P64">
        <f>IF(E64="","",IFERROR(INDEX(Classes!$B$2:$B$200,MATCH(E64,Classes!$E$2:$E$200,0)),""))</f>
        <v/>
      </c>
    </row>
    <row r="65">
      <c r="P65">
        <f>IF(E65="","",IFERROR(INDEX(Classes!$B$2:$B$200,MATCH(E65,Classes!$E$2:$E$200,0)),""))</f>
        <v/>
      </c>
    </row>
    <row r="66">
      <c r="P66">
        <f>IF(E66="","",IFERROR(INDEX(Classes!$B$2:$B$200,MATCH(E66,Classes!$E$2:$E$200,0)),""))</f>
        <v/>
      </c>
    </row>
    <row r="67">
      <c r="P67">
        <f>IF(E67="","",IFERROR(INDEX(Classes!$B$2:$B$200,MATCH(E67,Classes!$E$2:$E$200,0)),""))</f>
        <v/>
      </c>
    </row>
    <row r="68">
      <c r="P68">
        <f>IF(E68="","",IFERROR(INDEX(Classes!$B$2:$B$200,MATCH(E68,Classes!$E$2:$E$200,0)),""))</f>
        <v/>
      </c>
    </row>
    <row r="69">
      <c r="P69">
        <f>IF(E69="","",IFERROR(INDEX(Classes!$B$2:$B$200,MATCH(E69,Classes!$E$2:$E$200,0)),""))</f>
        <v/>
      </c>
    </row>
    <row r="70">
      <c r="P70">
        <f>IF(E70="","",IFERROR(INDEX(Classes!$B$2:$B$200,MATCH(E70,Classes!$E$2:$E$200,0)),""))</f>
        <v/>
      </c>
    </row>
    <row r="71">
      <c r="P71">
        <f>IF(E71="","",IFERROR(INDEX(Classes!$B$2:$B$200,MATCH(E71,Classes!$E$2:$E$200,0)),""))</f>
        <v/>
      </c>
    </row>
    <row r="72">
      <c r="P72">
        <f>IF(E72="","",IFERROR(INDEX(Classes!$B$2:$B$200,MATCH(E72,Classes!$E$2:$E$200,0)),""))</f>
        <v/>
      </c>
    </row>
    <row r="73">
      <c r="P73">
        <f>IF(E73="","",IFERROR(INDEX(Classes!$B$2:$B$200,MATCH(E73,Classes!$E$2:$E$200,0)),""))</f>
        <v/>
      </c>
    </row>
    <row r="74">
      <c r="P74">
        <f>IF(E74="","",IFERROR(INDEX(Classes!$B$2:$B$200,MATCH(E74,Classes!$E$2:$E$200,0)),""))</f>
        <v/>
      </c>
    </row>
    <row r="75">
      <c r="P75">
        <f>IF(E75="","",IFERROR(INDEX(Classes!$B$2:$B$200,MATCH(E75,Classes!$E$2:$E$200,0)),""))</f>
        <v/>
      </c>
    </row>
    <row r="76">
      <c r="P76">
        <f>IF(E76="","",IFERROR(INDEX(Classes!$B$2:$B$200,MATCH(E76,Classes!$E$2:$E$200,0)),""))</f>
        <v/>
      </c>
    </row>
    <row r="77">
      <c r="P77">
        <f>IF(E77="","",IFERROR(INDEX(Classes!$B$2:$B$200,MATCH(E77,Classes!$E$2:$E$200,0)),""))</f>
        <v/>
      </c>
    </row>
    <row r="78">
      <c r="P78">
        <f>IF(E78="","",IFERROR(INDEX(Classes!$B$2:$B$200,MATCH(E78,Classes!$E$2:$E$200,0)),""))</f>
        <v/>
      </c>
    </row>
    <row r="79">
      <c r="P79">
        <f>IF(E79="","",IFERROR(INDEX(Classes!$B$2:$B$200,MATCH(E79,Classes!$E$2:$E$200,0)),""))</f>
        <v/>
      </c>
    </row>
    <row r="80">
      <c r="P80">
        <f>IF(E80="","",IFERROR(INDEX(Classes!$B$2:$B$200,MATCH(E80,Classes!$E$2:$E$200,0)),""))</f>
        <v/>
      </c>
    </row>
    <row r="81">
      <c r="P81">
        <f>IF(E81="","",IFERROR(INDEX(Classes!$B$2:$B$200,MATCH(E81,Classes!$E$2:$E$200,0)),""))</f>
        <v/>
      </c>
    </row>
    <row r="82">
      <c r="P82">
        <f>IF(E82="","",IFERROR(INDEX(Classes!$B$2:$B$200,MATCH(E82,Classes!$E$2:$E$200,0)),""))</f>
        <v/>
      </c>
    </row>
    <row r="83">
      <c r="P83">
        <f>IF(E83="","",IFERROR(INDEX(Classes!$B$2:$B$200,MATCH(E83,Classes!$E$2:$E$200,0)),""))</f>
        <v/>
      </c>
    </row>
    <row r="84">
      <c r="P84">
        <f>IF(E84="","",IFERROR(INDEX(Classes!$B$2:$B$200,MATCH(E84,Classes!$E$2:$E$200,0)),""))</f>
        <v/>
      </c>
    </row>
    <row r="85">
      <c r="P85">
        <f>IF(E85="","",IFERROR(INDEX(Classes!$B$2:$B$200,MATCH(E85,Classes!$E$2:$E$200,0)),""))</f>
        <v/>
      </c>
    </row>
    <row r="86">
      <c r="P86">
        <f>IF(E86="","",IFERROR(INDEX(Classes!$B$2:$B$200,MATCH(E86,Classes!$E$2:$E$200,0)),""))</f>
        <v/>
      </c>
    </row>
    <row r="87">
      <c r="P87">
        <f>IF(E87="","",IFERROR(INDEX(Classes!$B$2:$B$200,MATCH(E87,Classes!$E$2:$E$200,0)),""))</f>
        <v/>
      </c>
    </row>
    <row r="88">
      <c r="P88">
        <f>IF(E88="","",IFERROR(INDEX(Classes!$B$2:$B$200,MATCH(E88,Classes!$E$2:$E$200,0)),""))</f>
        <v/>
      </c>
    </row>
    <row r="89">
      <c r="P89">
        <f>IF(E89="","",IFERROR(INDEX(Classes!$B$2:$B$200,MATCH(E89,Classes!$E$2:$E$200,0)),""))</f>
        <v/>
      </c>
    </row>
    <row r="90">
      <c r="P90">
        <f>IF(E90="","",IFERROR(INDEX(Classes!$B$2:$B$200,MATCH(E90,Classes!$E$2:$E$200,0)),""))</f>
        <v/>
      </c>
    </row>
    <row r="91">
      <c r="P91">
        <f>IF(E91="","",IFERROR(INDEX(Classes!$B$2:$B$200,MATCH(E91,Classes!$E$2:$E$200,0)),""))</f>
        <v/>
      </c>
    </row>
    <row r="92">
      <c r="P92">
        <f>IF(E92="","",IFERROR(INDEX(Classes!$B$2:$B$200,MATCH(E92,Classes!$E$2:$E$200,0)),""))</f>
        <v/>
      </c>
    </row>
    <row r="93">
      <c r="P93">
        <f>IF(E93="","",IFERROR(INDEX(Classes!$B$2:$B$200,MATCH(E93,Classes!$E$2:$E$200,0)),""))</f>
        <v/>
      </c>
    </row>
    <row r="94">
      <c r="P94">
        <f>IF(E94="","",IFERROR(INDEX(Classes!$B$2:$B$200,MATCH(E94,Classes!$E$2:$E$200,0)),""))</f>
        <v/>
      </c>
    </row>
    <row r="95">
      <c r="P95">
        <f>IF(E95="","",IFERROR(INDEX(Classes!$B$2:$B$200,MATCH(E95,Classes!$E$2:$E$200,0)),""))</f>
        <v/>
      </c>
    </row>
    <row r="96">
      <c r="P96">
        <f>IF(E96="","",IFERROR(INDEX(Classes!$B$2:$B$200,MATCH(E96,Classes!$E$2:$E$200,0)),""))</f>
        <v/>
      </c>
    </row>
    <row r="97">
      <c r="P97">
        <f>IF(E97="","",IFERROR(INDEX(Classes!$B$2:$B$200,MATCH(E97,Classes!$E$2:$E$200,0)),""))</f>
        <v/>
      </c>
    </row>
    <row r="98">
      <c r="P98">
        <f>IF(E98="","",IFERROR(INDEX(Classes!$B$2:$B$200,MATCH(E98,Classes!$E$2:$E$200,0)),""))</f>
        <v/>
      </c>
    </row>
    <row r="99">
      <c r="P99">
        <f>IF(E99="","",IFERROR(INDEX(Classes!$B$2:$B$200,MATCH(E99,Classes!$E$2:$E$200,0)),""))</f>
        <v/>
      </c>
    </row>
    <row r="100">
      <c r="P100">
        <f>IF(E100="","",IFERROR(INDEX(Classes!$B$2:$B$200,MATCH(E100,Classes!$E$2:$E$200,0)),""))</f>
        <v/>
      </c>
    </row>
    <row r="101">
      <c r="P101">
        <f>IF(E101="","",IFERROR(INDEX(Classes!$B$2:$B$200,MATCH(E101,Classes!$E$2:$E$200,0)),""))</f>
        <v/>
      </c>
    </row>
    <row r="102">
      <c r="P102">
        <f>IF(E102="","",IFERROR(INDEX(Classes!$B$2:$B$200,MATCH(E102,Classes!$E$2:$E$200,0)),""))</f>
        <v/>
      </c>
    </row>
    <row r="103">
      <c r="P103">
        <f>IF(E103="","",IFERROR(INDEX(Classes!$B$2:$B$200,MATCH(E103,Classes!$E$2:$E$200,0)),""))</f>
        <v/>
      </c>
    </row>
    <row r="104">
      <c r="P104">
        <f>IF(E104="","",IFERROR(INDEX(Classes!$B$2:$B$200,MATCH(E104,Classes!$E$2:$E$200,0)),""))</f>
        <v/>
      </c>
    </row>
    <row r="105">
      <c r="P105">
        <f>IF(E105="","",IFERROR(INDEX(Classes!$B$2:$B$200,MATCH(E105,Classes!$E$2:$E$200,0)),""))</f>
        <v/>
      </c>
    </row>
    <row r="106">
      <c r="P106">
        <f>IF(E106="","",IFERROR(INDEX(Classes!$B$2:$B$200,MATCH(E106,Classes!$E$2:$E$200,0)),""))</f>
        <v/>
      </c>
    </row>
    <row r="107">
      <c r="P107">
        <f>IF(E107="","",IFERROR(INDEX(Classes!$B$2:$B$200,MATCH(E107,Classes!$E$2:$E$200,0)),""))</f>
        <v/>
      </c>
    </row>
    <row r="108">
      <c r="P108">
        <f>IF(E108="","",IFERROR(INDEX(Classes!$B$2:$B$200,MATCH(E108,Classes!$E$2:$E$200,0)),""))</f>
        <v/>
      </c>
    </row>
    <row r="109">
      <c r="P109">
        <f>IF(E109="","",IFERROR(INDEX(Classes!$B$2:$B$200,MATCH(E109,Classes!$E$2:$E$200,0)),""))</f>
        <v/>
      </c>
    </row>
    <row r="110">
      <c r="P110">
        <f>IF(E110="","",IFERROR(INDEX(Classes!$B$2:$B$200,MATCH(E110,Classes!$E$2:$E$200,0)),""))</f>
        <v/>
      </c>
    </row>
    <row r="111">
      <c r="P111">
        <f>IF(E111="","",IFERROR(INDEX(Classes!$B$2:$B$200,MATCH(E111,Classes!$E$2:$E$200,0)),""))</f>
        <v/>
      </c>
    </row>
    <row r="112">
      <c r="P112">
        <f>IF(E112="","",IFERROR(INDEX(Classes!$B$2:$B$200,MATCH(E112,Classes!$E$2:$E$200,0)),""))</f>
        <v/>
      </c>
    </row>
    <row r="113">
      <c r="P113">
        <f>IF(E113="","",IFERROR(INDEX(Classes!$B$2:$B$200,MATCH(E113,Classes!$E$2:$E$200,0)),""))</f>
        <v/>
      </c>
    </row>
    <row r="114">
      <c r="P114">
        <f>IF(E114="","",IFERROR(INDEX(Classes!$B$2:$B$200,MATCH(E114,Classes!$E$2:$E$200,0)),""))</f>
        <v/>
      </c>
    </row>
    <row r="115">
      <c r="P115">
        <f>IF(E115="","",IFERROR(INDEX(Classes!$B$2:$B$200,MATCH(E115,Classes!$E$2:$E$200,0)),""))</f>
        <v/>
      </c>
    </row>
    <row r="116">
      <c r="P116">
        <f>IF(E116="","",IFERROR(INDEX(Classes!$B$2:$B$200,MATCH(E116,Classes!$E$2:$E$200,0)),""))</f>
        <v/>
      </c>
    </row>
    <row r="117">
      <c r="P117">
        <f>IF(E117="","",IFERROR(INDEX(Classes!$B$2:$B$200,MATCH(E117,Classes!$E$2:$E$200,0)),""))</f>
        <v/>
      </c>
    </row>
    <row r="118">
      <c r="P118">
        <f>IF(E118="","",IFERROR(INDEX(Classes!$B$2:$B$200,MATCH(E118,Classes!$E$2:$E$200,0)),""))</f>
        <v/>
      </c>
    </row>
    <row r="119">
      <c r="P119">
        <f>IF(E119="","",IFERROR(INDEX(Classes!$B$2:$B$200,MATCH(E119,Classes!$E$2:$E$200,0)),""))</f>
        <v/>
      </c>
    </row>
    <row r="120">
      <c r="P120">
        <f>IF(E120="","",IFERROR(INDEX(Classes!$B$2:$B$200,MATCH(E120,Classes!$E$2:$E$200,0)),""))</f>
        <v/>
      </c>
    </row>
    <row r="121">
      <c r="P121">
        <f>IF(E121="","",IFERROR(INDEX(Classes!$B$2:$B$200,MATCH(E121,Classes!$E$2:$E$200,0)),""))</f>
        <v/>
      </c>
    </row>
    <row r="122">
      <c r="P122">
        <f>IF(E122="","",IFERROR(INDEX(Classes!$B$2:$B$200,MATCH(E122,Classes!$E$2:$E$200,0)),""))</f>
        <v/>
      </c>
    </row>
    <row r="123">
      <c r="P123">
        <f>IF(E123="","",IFERROR(INDEX(Classes!$B$2:$B$200,MATCH(E123,Classes!$E$2:$E$200,0)),""))</f>
        <v/>
      </c>
    </row>
    <row r="124">
      <c r="P124">
        <f>IF(E124="","",IFERROR(INDEX(Classes!$B$2:$B$200,MATCH(E124,Classes!$E$2:$E$200,0)),""))</f>
        <v/>
      </c>
    </row>
    <row r="125">
      <c r="P125">
        <f>IF(E125="","",IFERROR(INDEX(Classes!$B$2:$B$200,MATCH(E125,Classes!$E$2:$E$200,0)),""))</f>
        <v/>
      </c>
    </row>
    <row r="126">
      <c r="P126">
        <f>IF(E126="","",IFERROR(INDEX(Classes!$B$2:$B$200,MATCH(E126,Classes!$E$2:$E$200,0)),""))</f>
        <v/>
      </c>
    </row>
    <row r="127">
      <c r="P127">
        <f>IF(E127="","",IFERROR(INDEX(Classes!$B$2:$B$200,MATCH(E127,Classes!$E$2:$E$200,0)),""))</f>
        <v/>
      </c>
    </row>
    <row r="128">
      <c r="P128">
        <f>IF(E128="","",IFERROR(INDEX(Classes!$B$2:$B$200,MATCH(E128,Classes!$E$2:$E$200,0)),""))</f>
        <v/>
      </c>
    </row>
    <row r="129">
      <c r="P129">
        <f>IF(E129="","",IFERROR(INDEX(Classes!$B$2:$B$200,MATCH(E129,Classes!$E$2:$E$200,0)),""))</f>
        <v/>
      </c>
    </row>
    <row r="130">
      <c r="P130">
        <f>IF(E130="","",IFERROR(INDEX(Classes!$B$2:$B$200,MATCH(E130,Classes!$E$2:$E$200,0)),""))</f>
        <v/>
      </c>
    </row>
    <row r="131">
      <c r="P131">
        <f>IF(E131="","",IFERROR(INDEX(Classes!$B$2:$B$200,MATCH(E131,Classes!$E$2:$E$200,0)),""))</f>
        <v/>
      </c>
    </row>
    <row r="132">
      <c r="P132">
        <f>IF(E132="","",IFERROR(INDEX(Classes!$B$2:$B$200,MATCH(E132,Classes!$E$2:$E$200,0)),""))</f>
        <v/>
      </c>
    </row>
    <row r="133">
      <c r="P133">
        <f>IF(E133="","",IFERROR(INDEX(Classes!$B$2:$B$200,MATCH(E133,Classes!$E$2:$E$200,0)),""))</f>
        <v/>
      </c>
    </row>
    <row r="134">
      <c r="P134">
        <f>IF(E134="","",IFERROR(INDEX(Classes!$B$2:$B$200,MATCH(E134,Classes!$E$2:$E$200,0)),""))</f>
        <v/>
      </c>
    </row>
    <row r="135">
      <c r="P135">
        <f>IF(E135="","",IFERROR(INDEX(Classes!$B$2:$B$200,MATCH(E135,Classes!$E$2:$E$200,0)),""))</f>
        <v/>
      </c>
    </row>
    <row r="136">
      <c r="P136">
        <f>IF(E136="","",IFERROR(INDEX(Classes!$B$2:$B$200,MATCH(E136,Classes!$E$2:$E$200,0)),""))</f>
        <v/>
      </c>
    </row>
    <row r="137">
      <c r="P137">
        <f>IF(E137="","",IFERROR(INDEX(Classes!$B$2:$B$200,MATCH(E137,Classes!$E$2:$E$200,0)),""))</f>
        <v/>
      </c>
    </row>
    <row r="138">
      <c r="P138">
        <f>IF(E138="","",IFERROR(INDEX(Classes!$B$2:$B$200,MATCH(E138,Classes!$E$2:$E$200,0)),""))</f>
        <v/>
      </c>
    </row>
    <row r="139">
      <c r="P139">
        <f>IF(E139="","",IFERROR(INDEX(Classes!$B$2:$B$200,MATCH(E139,Classes!$E$2:$E$200,0)),""))</f>
        <v/>
      </c>
    </row>
    <row r="140">
      <c r="P140">
        <f>IF(E140="","",IFERROR(INDEX(Classes!$B$2:$B$200,MATCH(E140,Classes!$E$2:$E$200,0)),""))</f>
        <v/>
      </c>
    </row>
    <row r="141">
      <c r="P141">
        <f>IF(E141="","",IFERROR(INDEX(Classes!$B$2:$B$200,MATCH(E141,Classes!$E$2:$E$200,0)),""))</f>
        <v/>
      </c>
    </row>
    <row r="142">
      <c r="P142">
        <f>IF(E142="","",IFERROR(INDEX(Classes!$B$2:$B$200,MATCH(E142,Classes!$E$2:$E$200,0)),""))</f>
        <v/>
      </c>
    </row>
    <row r="143">
      <c r="P143">
        <f>IF(E143="","",IFERROR(INDEX(Classes!$B$2:$B$200,MATCH(E143,Classes!$E$2:$E$200,0)),""))</f>
        <v/>
      </c>
    </row>
    <row r="144">
      <c r="P144">
        <f>IF(E144="","",IFERROR(INDEX(Classes!$B$2:$B$200,MATCH(E144,Classes!$E$2:$E$200,0)),""))</f>
        <v/>
      </c>
    </row>
    <row r="145">
      <c r="P145">
        <f>IF(E145="","",IFERROR(INDEX(Classes!$B$2:$B$200,MATCH(E145,Classes!$E$2:$E$200,0)),""))</f>
        <v/>
      </c>
    </row>
    <row r="146">
      <c r="P146">
        <f>IF(E146="","",IFERROR(INDEX(Classes!$B$2:$B$200,MATCH(E146,Classes!$E$2:$E$200,0)),""))</f>
        <v/>
      </c>
    </row>
    <row r="147">
      <c r="P147">
        <f>IF(E147="","",IFERROR(INDEX(Classes!$B$2:$B$200,MATCH(E147,Classes!$E$2:$E$200,0)),""))</f>
        <v/>
      </c>
    </row>
    <row r="148">
      <c r="P148">
        <f>IF(E148="","",IFERROR(INDEX(Classes!$B$2:$B$200,MATCH(E148,Classes!$E$2:$E$200,0)),""))</f>
        <v/>
      </c>
    </row>
    <row r="149">
      <c r="P149">
        <f>IF(E149="","",IFERROR(INDEX(Classes!$B$2:$B$200,MATCH(E149,Classes!$E$2:$E$200,0)),""))</f>
        <v/>
      </c>
    </row>
    <row r="150">
      <c r="P150">
        <f>IF(E150="","",IFERROR(INDEX(Classes!$B$2:$B$200,MATCH(E150,Classes!$E$2:$E$200,0)),""))</f>
        <v/>
      </c>
    </row>
    <row r="151">
      <c r="P151">
        <f>IF(E151="","",IFERROR(INDEX(Classes!$B$2:$B$200,MATCH(E151,Classes!$E$2:$E$200,0)),""))</f>
        <v/>
      </c>
    </row>
    <row r="152">
      <c r="P152">
        <f>IF(E152="","",IFERROR(INDEX(Classes!$B$2:$B$200,MATCH(E152,Classes!$E$2:$E$200,0)),""))</f>
        <v/>
      </c>
    </row>
    <row r="153">
      <c r="P153">
        <f>IF(E153="","",IFERROR(INDEX(Classes!$B$2:$B$200,MATCH(E153,Classes!$E$2:$E$200,0)),""))</f>
        <v/>
      </c>
    </row>
    <row r="154">
      <c r="P154">
        <f>IF(E154="","",IFERROR(INDEX(Classes!$B$2:$B$200,MATCH(E154,Classes!$E$2:$E$200,0)),""))</f>
        <v/>
      </c>
    </row>
    <row r="155">
      <c r="P155">
        <f>IF(E155="","",IFERROR(INDEX(Classes!$B$2:$B$200,MATCH(E155,Classes!$E$2:$E$200,0)),""))</f>
        <v/>
      </c>
    </row>
    <row r="156">
      <c r="P156">
        <f>IF(E156="","",IFERROR(INDEX(Classes!$B$2:$B$200,MATCH(E156,Classes!$E$2:$E$200,0)),""))</f>
        <v/>
      </c>
    </row>
    <row r="157">
      <c r="P157">
        <f>IF(E157="","",IFERROR(INDEX(Classes!$B$2:$B$200,MATCH(E157,Classes!$E$2:$E$200,0)),""))</f>
        <v/>
      </c>
    </row>
    <row r="158">
      <c r="P158">
        <f>IF(E158="","",IFERROR(INDEX(Classes!$B$2:$B$200,MATCH(E158,Classes!$E$2:$E$200,0)),""))</f>
        <v/>
      </c>
    </row>
    <row r="159">
      <c r="P159">
        <f>IF(E159="","",IFERROR(INDEX(Classes!$B$2:$B$200,MATCH(E159,Classes!$E$2:$E$200,0)),""))</f>
        <v/>
      </c>
    </row>
    <row r="160">
      <c r="P160">
        <f>IF(E160="","",IFERROR(INDEX(Classes!$B$2:$B$200,MATCH(E160,Classes!$E$2:$E$200,0)),""))</f>
        <v/>
      </c>
    </row>
    <row r="161">
      <c r="P161">
        <f>IF(E161="","",IFERROR(INDEX(Classes!$B$2:$B$200,MATCH(E161,Classes!$E$2:$E$200,0)),""))</f>
        <v/>
      </c>
    </row>
    <row r="162">
      <c r="P162">
        <f>IF(E162="","",IFERROR(INDEX(Classes!$B$2:$B$200,MATCH(E162,Classes!$E$2:$E$200,0)),""))</f>
        <v/>
      </c>
    </row>
    <row r="163">
      <c r="P163">
        <f>IF(E163="","",IFERROR(INDEX(Classes!$B$2:$B$200,MATCH(E163,Classes!$E$2:$E$200,0)),""))</f>
        <v/>
      </c>
    </row>
    <row r="164">
      <c r="P164">
        <f>IF(E164="","",IFERROR(INDEX(Classes!$B$2:$B$200,MATCH(E164,Classes!$E$2:$E$200,0)),""))</f>
        <v/>
      </c>
    </row>
    <row r="165">
      <c r="P165">
        <f>IF(E165="","",IFERROR(INDEX(Classes!$B$2:$B$200,MATCH(E165,Classes!$E$2:$E$200,0)),""))</f>
        <v/>
      </c>
    </row>
    <row r="166">
      <c r="P166">
        <f>IF(E166="","",IFERROR(INDEX(Classes!$B$2:$B$200,MATCH(E166,Classes!$E$2:$E$200,0)),""))</f>
        <v/>
      </c>
    </row>
    <row r="167">
      <c r="P167">
        <f>IF(E167="","",IFERROR(INDEX(Classes!$B$2:$B$200,MATCH(E167,Classes!$E$2:$E$200,0)),""))</f>
        <v/>
      </c>
    </row>
    <row r="168">
      <c r="P168">
        <f>IF(E168="","",IFERROR(INDEX(Classes!$B$2:$B$200,MATCH(E168,Classes!$E$2:$E$200,0)),""))</f>
        <v/>
      </c>
    </row>
    <row r="169">
      <c r="P169">
        <f>IF(E169="","",IFERROR(INDEX(Classes!$B$2:$B$200,MATCH(E169,Classes!$E$2:$E$200,0)),""))</f>
        <v/>
      </c>
    </row>
    <row r="170">
      <c r="P170">
        <f>IF(E170="","",IFERROR(INDEX(Classes!$B$2:$B$200,MATCH(E170,Classes!$E$2:$E$200,0)),""))</f>
        <v/>
      </c>
    </row>
    <row r="171">
      <c r="P171">
        <f>IF(E171="","",IFERROR(INDEX(Classes!$B$2:$B$200,MATCH(E171,Classes!$E$2:$E$200,0)),""))</f>
        <v/>
      </c>
    </row>
    <row r="172">
      <c r="P172">
        <f>IF(E172="","",IFERROR(INDEX(Classes!$B$2:$B$200,MATCH(E172,Classes!$E$2:$E$200,0)),""))</f>
        <v/>
      </c>
    </row>
    <row r="173">
      <c r="P173">
        <f>IF(E173="","",IFERROR(INDEX(Classes!$B$2:$B$200,MATCH(E173,Classes!$E$2:$E$200,0)),""))</f>
        <v/>
      </c>
    </row>
    <row r="174">
      <c r="P174">
        <f>IF(E174="","",IFERROR(INDEX(Classes!$B$2:$B$200,MATCH(E174,Classes!$E$2:$E$200,0)),""))</f>
        <v/>
      </c>
    </row>
    <row r="175">
      <c r="P175">
        <f>IF(E175="","",IFERROR(INDEX(Classes!$B$2:$B$200,MATCH(E175,Classes!$E$2:$E$200,0)),""))</f>
        <v/>
      </c>
    </row>
    <row r="176">
      <c r="P176">
        <f>IF(E176="","",IFERROR(INDEX(Classes!$B$2:$B$200,MATCH(E176,Classes!$E$2:$E$200,0)),""))</f>
        <v/>
      </c>
    </row>
    <row r="177">
      <c r="P177">
        <f>IF(E177="","",IFERROR(INDEX(Classes!$B$2:$B$200,MATCH(E177,Classes!$E$2:$E$200,0)),""))</f>
        <v/>
      </c>
    </row>
    <row r="178">
      <c r="P178">
        <f>IF(E178="","",IFERROR(INDEX(Classes!$B$2:$B$200,MATCH(E178,Classes!$E$2:$E$200,0)),""))</f>
        <v/>
      </c>
    </row>
    <row r="179">
      <c r="P179">
        <f>IF(E179="","",IFERROR(INDEX(Classes!$B$2:$B$200,MATCH(E179,Classes!$E$2:$E$200,0)),""))</f>
        <v/>
      </c>
    </row>
    <row r="180">
      <c r="P180">
        <f>IF(E180="","",IFERROR(INDEX(Classes!$B$2:$B$200,MATCH(E180,Classes!$E$2:$E$200,0)),""))</f>
        <v/>
      </c>
    </row>
    <row r="181">
      <c r="P181">
        <f>IF(E181="","",IFERROR(INDEX(Classes!$B$2:$B$200,MATCH(E181,Classes!$E$2:$E$200,0)),""))</f>
        <v/>
      </c>
    </row>
    <row r="182">
      <c r="P182">
        <f>IF(E182="","",IFERROR(INDEX(Classes!$B$2:$B$200,MATCH(E182,Classes!$E$2:$E$200,0)),""))</f>
        <v/>
      </c>
    </row>
    <row r="183">
      <c r="P183">
        <f>IF(E183="","",IFERROR(INDEX(Classes!$B$2:$B$200,MATCH(E183,Classes!$E$2:$E$200,0)),""))</f>
        <v/>
      </c>
    </row>
    <row r="184">
      <c r="P184">
        <f>IF(E184="","",IFERROR(INDEX(Classes!$B$2:$B$200,MATCH(E184,Classes!$E$2:$E$200,0)),""))</f>
        <v/>
      </c>
    </row>
    <row r="185">
      <c r="P185">
        <f>IF(E185="","",IFERROR(INDEX(Classes!$B$2:$B$200,MATCH(E185,Classes!$E$2:$E$200,0)),""))</f>
        <v/>
      </c>
    </row>
    <row r="186">
      <c r="P186">
        <f>IF(E186="","",IFERROR(INDEX(Classes!$B$2:$B$200,MATCH(E186,Classes!$E$2:$E$200,0)),""))</f>
        <v/>
      </c>
    </row>
    <row r="187">
      <c r="P187">
        <f>IF(E187="","",IFERROR(INDEX(Classes!$B$2:$B$200,MATCH(E187,Classes!$E$2:$E$200,0)),""))</f>
        <v/>
      </c>
    </row>
    <row r="188">
      <c r="P188">
        <f>IF(E188="","",IFERROR(INDEX(Classes!$B$2:$B$200,MATCH(E188,Classes!$E$2:$E$200,0)),""))</f>
        <v/>
      </c>
    </row>
    <row r="189">
      <c r="P189">
        <f>IF(E189="","",IFERROR(INDEX(Classes!$B$2:$B$200,MATCH(E189,Classes!$E$2:$E$200,0)),""))</f>
        <v/>
      </c>
    </row>
    <row r="190">
      <c r="P190">
        <f>IF(E190="","",IFERROR(INDEX(Classes!$B$2:$B$200,MATCH(E190,Classes!$E$2:$E$200,0)),""))</f>
        <v/>
      </c>
    </row>
    <row r="191">
      <c r="P191">
        <f>IF(E191="","",IFERROR(INDEX(Classes!$B$2:$B$200,MATCH(E191,Classes!$E$2:$E$200,0)),""))</f>
        <v/>
      </c>
    </row>
    <row r="192">
      <c r="P192">
        <f>IF(E192="","",IFERROR(INDEX(Classes!$B$2:$B$200,MATCH(E192,Classes!$E$2:$E$200,0)),""))</f>
        <v/>
      </c>
    </row>
    <row r="193">
      <c r="P193">
        <f>IF(E193="","",IFERROR(INDEX(Classes!$B$2:$B$200,MATCH(E193,Classes!$E$2:$E$200,0)),""))</f>
        <v/>
      </c>
    </row>
    <row r="194">
      <c r="P194">
        <f>IF(E194="","",IFERROR(INDEX(Classes!$B$2:$B$200,MATCH(E194,Classes!$E$2:$E$200,0)),""))</f>
        <v/>
      </c>
    </row>
    <row r="195">
      <c r="P195">
        <f>IF(E195="","",IFERROR(INDEX(Classes!$B$2:$B$200,MATCH(E195,Classes!$E$2:$E$200,0)),""))</f>
        <v/>
      </c>
    </row>
    <row r="196">
      <c r="P196">
        <f>IF(E196="","",IFERROR(INDEX(Classes!$B$2:$B$200,MATCH(E196,Classes!$E$2:$E$200,0)),""))</f>
        <v/>
      </c>
    </row>
    <row r="197">
      <c r="P197">
        <f>IF(E197="","",IFERROR(INDEX(Classes!$B$2:$B$200,MATCH(E197,Classes!$E$2:$E$200,0)),""))</f>
        <v/>
      </c>
    </row>
    <row r="198">
      <c r="P198">
        <f>IF(E198="","",IFERROR(INDEX(Classes!$B$2:$B$200,MATCH(E198,Classes!$E$2:$E$200,0)),""))</f>
        <v/>
      </c>
    </row>
    <row r="199">
      <c r="P199">
        <f>IF(E199="","",IFERROR(INDEX(Classes!$B$2:$B$200,MATCH(E199,Classes!$E$2:$E$200,0)),""))</f>
        <v/>
      </c>
    </row>
    <row r="200">
      <c r="P200">
        <f>IF(E200="","",IFERROR(INDEX(Classes!$B$2:$B$200,MATCH(E200,Classes!$E$2:$E$200,0)),""))</f>
        <v/>
      </c>
    </row>
    <row r="201">
      <c r="P201">
        <f>IF(E201="","",IFERROR(INDEX(Classes!$B$2:$B$200,MATCH(E201,Classes!$E$2:$E$200,0)),""))</f>
        <v/>
      </c>
    </row>
    <row r="202">
      <c r="P202">
        <f>IF(E202="","",IFERROR(INDEX(Classes!$B$2:$B$200,MATCH(E202,Classes!$E$2:$E$200,0)),""))</f>
        <v/>
      </c>
    </row>
    <row r="203">
      <c r="P203">
        <f>IF(E203="","",IFERROR(INDEX(Classes!$B$2:$B$200,MATCH(E203,Classes!$E$2:$E$200,0)),""))</f>
        <v/>
      </c>
    </row>
    <row r="204">
      <c r="P204">
        <f>IF(E204="","",IFERROR(INDEX(Classes!$B$2:$B$200,MATCH(E204,Classes!$E$2:$E$200,0)),""))</f>
        <v/>
      </c>
    </row>
    <row r="205">
      <c r="P205">
        <f>IF(E205="","",IFERROR(INDEX(Classes!$B$2:$B$200,MATCH(E205,Classes!$E$2:$E$200,0)),""))</f>
        <v/>
      </c>
    </row>
    <row r="206">
      <c r="P206">
        <f>IF(E206="","",IFERROR(INDEX(Classes!$B$2:$B$200,MATCH(E206,Classes!$E$2:$E$200,0)),""))</f>
        <v/>
      </c>
    </row>
    <row r="207">
      <c r="P207">
        <f>IF(E207="","",IFERROR(INDEX(Classes!$B$2:$B$200,MATCH(E207,Classes!$E$2:$E$200,0)),""))</f>
        <v/>
      </c>
    </row>
    <row r="208">
      <c r="P208">
        <f>IF(E208="","",IFERROR(INDEX(Classes!$B$2:$B$200,MATCH(E208,Classes!$E$2:$E$200,0)),""))</f>
        <v/>
      </c>
    </row>
    <row r="209">
      <c r="P209">
        <f>IF(E209="","",IFERROR(INDEX(Classes!$B$2:$B$200,MATCH(E209,Classes!$E$2:$E$200,0)),""))</f>
        <v/>
      </c>
    </row>
    <row r="210">
      <c r="P210">
        <f>IF(E210="","",IFERROR(INDEX(Classes!$B$2:$B$200,MATCH(E210,Classes!$E$2:$E$200,0)),""))</f>
        <v/>
      </c>
    </row>
    <row r="211">
      <c r="P211">
        <f>IF(E211="","",IFERROR(INDEX(Classes!$B$2:$B$200,MATCH(E211,Classes!$E$2:$E$200,0)),""))</f>
        <v/>
      </c>
    </row>
    <row r="212">
      <c r="P212">
        <f>IF(E212="","",IFERROR(INDEX(Classes!$B$2:$B$200,MATCH(E212,Classes!$E$2:$E$200,0)),""))</f>
        <v/>
      </c>
    </row>
    <row r="213">
      <c r="P213">
        <f>IF(E213="","",IFERROR(INDEX(Classes!$B$2:$B$200,MATCH(E213,Classes!$E$2:$E$200,0)),""))</f>
        <v/>
      </c>
    </row>
    <row r="214">
      <c r="P214">
        <f>IF(E214="","",IFERROR(INDEX(Classes!$B$2:$B$200,MATCH(E214,Classes!$E$2:$E$200,0)),""))</f>
        <v/>
      </c>
    </row>
    <row r="215">
      <c r="P215">
        <f>IF(E215="","",IFERROR(INDEX(Classes!$B$2:$B$200,MATCH(E215,Classes!$E$2:$E$200,0)),""))</f>
        <v/>
      </c>
    </row>
    <row r="216">
      <c r="P216">
        <f>IF(E216="","",IFERROR(INDEX(Classes!$B$2:$B$200,MATCH(E216,Classes!$E$2:$E$200,0)),""))</f>
        <v/>
      </c>
    </row>
    <row r="217">
      <c r="P217">
        <f>IF(E217="","",IFERROR(INDEX(Classes!$B$2:$B$200,MATCH(E217,Classes!$E$2:$E$200,0)),""))</f>
        <v/>
      </c>
    </row>
    <row r="218">
      <c r="P218">
        <f>IF(E218="","",IFERROR(INDEX(Classes!$B$2:$B$200,MATCH(E218,Classes!$E$2:$E$200,0)),""))</f>
        <v/>
      </c>
    </row>
    <row r="219">
      <c r="P219">
        <f>IF(E219="","",IFERROR(INDEX(Classes!$B$2:$B$200,MATCH(E219,Classes!$E$2:$E$200,0)),""))</f>
        <v/>
      </c>
    </row>
    <row r="220">
      <c r="P220">
        <f>IF(E220="","",IFERROR(INDEX(Classes!$B$2:$B$200,MATCH(E220,Classes!$E$2:$E$200,0)),""))</f>
        <v/>
      </c>
    </row>
    <row r="221">
      <c r="P221">
        <f>IF(E221="","",IFERROR(INDEX(Classes!$B$2:$B$200,MATCH(E221,Classes!$E$2:$E$200,0)),""))</f>
        <v/>
      </c>
    </row>
    <row r="222">
      <c r="P222">
        <f>IF(E222="","",IFERROR(INDEX(Classes!$B$2:$B$200,MATCH(E222,Classes!$E$2:$E$200,0)),""))</f>
        <v/>
      </c>
    </row>
    <row r="223">
      <c r="P223">
        <f>IF(E223="","",IFERROR(INDEX(Classes!$B$2:$B$200,MATCH(E223,Classes!$E$2:$E$200,0)),""))</f>
        <v/>
      </c>
    </row>
    <row r="224">
      <c r="P224">
        <f>IF(E224="","",IFERROR(INDEX(Classes!$B$2:$B$200,MATCH(E224,Classes!$E$2:$E$200,0)),""))</f>
        <v/>
      </c>
    </row>
    <row r="225">
      <c r="P225">
        <f>IF(E225="","",IFERROR(INDEX(Classes!$B$2:$B$200,MATCH(E225,Classes!$E$2:$E$200,0)),""))</f>
        <v/>
      </c>
    </row>
    <row r="226">
      <c r="P226">
        <f>IF(E226="","",IFERROR(INDEX(Classes!$B$2:$B$200,MATCH(E226,Classes!$E$2:$E$200,0)),""))</f>
        <v/>
      </c>
    </row>
    <row r="227">
      <c r="P227">
        <f>IF(E227="","",IFERROR(INDEX(Classes!$B$2:$B$200,MATCH(E227,Classes!$E$2:$E$200,0)),""))</f>
        <v/>
      </c>
    </row>
    <row r="228">
      <c r="P228">
        <f>IF(E228="","",IFERROR(INDEX(Classes!$B$2:$B$200,MATCH(E228,Classes!$E$2:$E$200,0)),""))</f>
        <v/>
      </c>
    </row>
    <row r="229">
      <c r="P229">
        <f>IF(E229="","",IFERROR(INDEX(Classes!$B$2:$B$200,MATCH(E229,Classes!$E$2:$E$200,0)),""))</f>
        <v/>
      </c>
    </row>
    <row r="230">
      <c r="P230">
        <f>IF(E230="","",IFERROR(INDEX(Classes!$B$2:$B$200,MATCH(E230,Classes!$E$2:$E$200,0)),""))</f>
        <v/>
      </c>
    </row>
    <row r="231">
      <c r="P231">
        <f>IF(E231="","",IFERROR(INDEX(Classes!$B$2:$B$200,MATCH(E231,Classes!$E$2:$E$200,0)),""))</f>
        <v/>
      </c>
    </row>
    <row r="232">
      <c r="P232">
        <f>IF(E232="","",IFERROR(INDEX(Classes!$B$2:$B$200,MATCH(E232,Classes!$E$2:$E$200,0)),""))</f>
        <v/>
      </c>
    </row>
    <row r="233">
      <c r="P233">
        <f>IF(E233="","",IFERROR(INDEX(Classes!$B$2:$B$200,MATCH(E233,Classes!$E$2:$E$200,0)),""))</f>
        <v/>
      </c>
    </row>
    <row r="234">
      <c r="P234">
        <f>IF(E234="","",IFERROR(INDEX(Classes!$B$2:$B$200,MATCH(E234,Classes!$E$2:$E$200,0)),""))</f>
        <v/>
      </c>
    </row>
    <row r="235">
      <c r="P235">
        <f>IF(E235="","",IFERROR(INDEX(Classes!$B$2:$B$200,MATCH(E235,Classes!$E$2:$E$200,0)),""))</f>
        <v/>
      </c>
    </row>
    <row r="236">
      <c r="P236">
        <f>IF(E236="","",IFERROR(INDEX(Classes!$B$2:$B$200,MATCH(E236,Classes!$E$2:$E$200,0)),""))</f>
        <v/>
      </c>
    </row>
    <row r="237">
      <c r="P237">
        <f>IF(E237="","",IFERROR(INDEX(Classes!$B$2:$B$200,MATCH(E237,Classes!$E$2:$E$200,0)),""))</f>
        <v/>
      </c>
    </row>
    <row r="238">
      <c r="P238">
        <f>IF(E238="","",IFERROR(INDEX(Classes!$B$2:$B$200,MATCH(E238,Classes!$E$2:$E$200,0)),""))</f>
        <v/>
      </c>
    </row>
    <row r="239">
      <c r="P239">
        <f>IF(E239="","",IFERROR(INDEX(Classes!$B$2:$B$200,MATCH(E239,Classes!$E$2:$E$200,0)),""))</f>
        <v/>
      </c>
    </row>
    <row r="240">
      <c r="P240">
        <f>IF(E240="","",IFERROR(INDEX(Classes!$B$2:$B$200,MATCH(E240,Classes!$E$2:$E$200,0)),""))</f>
        <v/>
      </c>
    </row>
    <row r="241">
      <c r="P241">
        <f>IF(E241="","",IFERROR(INDEX(Classes!$B$2:$B$200,MATCH(E241,Classes!$E$2:$E$200,0)),""))</f>
        <v/>
      </c>
    </row>
    <row r="242">
      <c r="P242">
        <f>IF(E242="","",IFERROR(INDEX(Classes!$B$2:$B$200,MATCH(E242,Classes!$E$2:$E$200,0)),""))</f>
        <v/>
      </c>
    </row>
    <row r="243">
      <c r="P243">
        <f>IF(E243="","",IFERROR(INDEX(Classes!$B$2:$B$200,MATCH(E243,Classes!$E$2:$E$200,0)),""))</f>
        <v/>
      </c>
    </row>
    <row r="244">
      <c r="P244">
        <f>IF(E244="","",IFERROR(INDEX(Classes!$B$2:$B$200,MATCH(E244,Classes!$E$2:$E$200,0)),""))</f>
        <v/>
      </c>
    </row>
    <row r="245">
      <c r="P245">
        <f>IF(E245="","",IFERROR(INDEX(Classes!$B$2:$B$200,MATCH(E245,Classes!$E$2:$E$200,0)),""))</f>
        <v/>
      </c>
    </row>
    <row r="246">
      <c r="P246">
        <f>IF(E246="","",IFERROR(INDEX(Classes!$B$2:$B$200,MATCH(E246,Classes!$E$2:$E$200,0)),""))</f>
        <v/>
      </c>
    </row>
    <row r="247">
      <c r="P247">
        <f>IF(E247="","",IFERROR(INDEX(Classes!$B$2:$B$200,MATCH(E247,Classes!$E$2:$E$200,0)),""))</f>
        <v/>
      </c>
    </row>
    <row r="248">
      <c r="P248">
        <f>IF(E248="","",IFERROR(INDEX(Classes!$B$2:$B$200,MATCH(E248,Classes!$E$2:$E$200,0)),""))</f>
        <v/>
      </c>
    </row>
    <row r="249">
      <c r="P249">
        <f>IF(E249="","",IFERROR(INDEX(Classes!$B$2:$B$200,MATCH(E249,Classes!$E$2:$E$200,0)),""))</f>
        <v/>
      </c>
    </row>
    <row r="250">
      <c r="P250">
        <f>IF(E250="","",IFERROR(INDEX(Classes!$B$2:$B$200,MATCH(E250,Classes!$E$2:$E$200,0)),""))</f>
        <v/>
      </c>
    </row>
    <row r="251">
      <c r="P251">
        <f>IF(E251="","",IFERROR(INDEX(Classes!$B$2:$B$200,MATCH(E251,Classes!$E$2:$E$200,0)),""))</f>
        <v/>
      </c>
    </row>
    <row r="252">
      <c r="P252">
        <f>IF(E252="","",IFERROR(INDEX(Classes!$B$2:$B$200,MATCH(E252,Classes!$E$2:$E$200,0)),""))</f>
        <v/>
      </c>
    </row>
    <row r="253">
      <c r="P253">
        <f>IF(E253="","",IFERROR(INDEX(Classes!$B$2:$B$200,MATCH(E253,Classes!$E$2:$E$200,0)),""))</f>
        <v/>
      </c>
    </row>
    <row r="254">
      <c r="P254">
        <f>IF(E254="","",IFERROR(INDEX(Classes!$B$2:$B$200,MATCH(E254,Classes!$E$2:$E$200,0)),""))</f>
        <v/>
      </c>
    </row>
    <row r="255">
      <c r="P255">
        <f>IF(E255="","",IFERROR(INDEX(Classes!$B$2:$B$200,MATCH(E255,Classes!$E$2:$E$200,0)),""))</f>
        <v/>
      </c>
    </row>
    <row r="256">
      <c r="P256">
        <f>IF(E256="","",IFERROR(INDEX(Classes!$B$2:$B$200,MATCH(E256,Classes!$E$2:$E$200,0)),""))</f>
        <v/>
      </c>
    </row>
    <row r="257">
      <c r="P257">
        <f>IF(E257="","",IFERROR(INDEX(Classes!$B$2:$B$200,MATCH(E257,Classes!$E$2:$E$200,0)),""))</f>
        <v/>
      </c>
    </row>
    <row r="258">
      <c r="P258">
        <f>IF(E258="","",IFERROR(INDEX(Classes!$B$2:$B$200,MATCH(E258,Classes!$E$2:$E$200,0)),""))</f>
        <v/>
      </c>
    </row>
    <row r="259">
      <c r="P259">
        <f>IF(E259="","",IFERROR(INDEX(Classes!$B$2:$B$200,MATCH(E259,Classes!$E$2:$E$200,0)),""))</f>
        <v/>
      </c>
    </row>
    <row r="260">
      <c r="P260">
        <f>IF(E260="","",IFERROR(INDEX(Classes!$B$2:$B$200,MATCH(E260,Classes!$E$2:$E$200,0)),""))</f>
        <v/>
      </c>
    </row>
    <row r="261">
      <c r="P261">
        <f>IF(E261="","",IFERROR(INDEX(Classes!$B$2:$B$200,MATCH(E261,Classes!$E$2:$E$200,0)),""))</f>
        <v/>
      </c>
    </row>
    <row r="262">
      <c r="P262">
        <f>IF(E262="","",IFERROR(INDEX(Classes!$B$2:$B$200,MATCH(E262,Classes!$E$2:$E$200,0)),""))</f>
        <v/>
      </c>
    </row>
    <row r="263">
      <c r="P263">
        <f>IF(E263="","",IFERROR(INDEX(Classes!$B$2:$B$200,MATCH(E263,Classes!$E$2:$E$200,0)),""))</f>
        <v/>
      </c>
    </row>
    <row r="264">
      <c r="P264">
        <f>IF(E264="","",IFERROR(INDEX(Classes!$B$2:$B$200,MATCH(E264,Classes!$E$2:$E$200,0)),""))</f>
        <v/>
      </c>
    </row>
    <row r="265">
      <c r="P265">
        <f>IF(E265="","",IFERROR(INDEX(Classes!$B$2:$B$200,MATCH(E265,Classes!$E$2:$E$200,0)),""))</f>
        <v/>
      </c>
    </row>
    <row r="266">
      <c r="P266">
        <f>IF(E266="","",IFERROR(INDEX(Classes!$B$2:$B$200,MATCH(E266,Classes!$E$2:$E$200,0)),""))</f>
        <v/>
      </c>
    </row>
    <row r="267">
      <c r="P267">
        <f>IF(E267="","",IFERROR(INDEX(Classes!$B$2:$B$200,MATCH(E267,Classes!$E$2:$E$200,0)),""))</f>
        <v/>
      </c>
    </row>
    <row r="268">
      <c r="P268">
        <f>IF(E268="","",IFERROR(INDEX(Classes!$B$2:$B$200,MATCH(E268,Classes!$E$2:$E$200,0)),""))</f>
        <v/>
      </c>
    </row>
    <row r="269">
      <c r="P269">
        <f>IF(E269="","",IFERROR(INDEX(Classes!$B$2:$B$200,MATCH(E269,Classes!$E$2:$E$200,0)),""))</f>
        <v/>
      </c>
    </row>
    <row r="270">
      <c r="P270">
        <f>IF(E270="","",IFERROR(INDEX(Classes!$B$2:$B$200,MATCH(E270,Classes!$E$2:$E$200,0)),""))</f>
        <v/>
      </c>
    </row>
    <row r="271">
      <c r="P271">
        <f>IF(E271="","",IFERROR(INDEX(Classes!$B$2:$B$200,MATCH(E271,Classes!$E$2:$E$200,0)),""))</f>
        <v/>
      </c>
    </row>
    <row r="272">
      <c r="P272">
        <f>IF(E272="","",IFERROR(INDEX(Classes!$B$2:$B$200,MATCH(E272,Classes!$E$2:$E$200,0)),""))</f>
        <v/>
      </c>
    </row>
    <row r="273">
      <c r="P273">
        <f>IF(E273="","",IFERROR(INDEX(Classes!$B$2:$B$200,MATCH(E273,Classes!$E$2:$E$200,0)),""))</f>
        <v/>
      </c>
    </row>
    <row r="274">
      <c r="P274">
        <f>IF(E274="","",IFERROR(INDEX(Classes!$B$2:$B$200,MATCH(E274,Classes!$E$2:$E$200,0)),""))</f>
        <v/>
      </c>
    </row>
    <row r="275">
      <c r="P275">
        <f>IF(E275="","",IFERROR(INDEX(Classes!$B$2:$B$200,MATCH(E275,Classes!$E$2:$E$200,0)),""))</f>
        <v/>
      </c>
    </row>
    <row r="276">
      <c r="P276">
        <f>IF(E276="","",IFERROR(INDEX(Classes!$B$2:$B$200,MATCH(E276,Classes!$E$2:$E$200,0)),""))</f>
        <v/>
      </c>
    </row>
    <row r="277">
      <c r="P277">
        <f>IF(E277="","",IFERROR(INDEX(Classes!$B$2:$B$200,MATCH(E277,Classes!$E$2:$E$200,0)),""))</f>
        <v/>
      </c>
    </row>
    <row r="278">
      <c r="P278">
        <f>IF(E278="","",IFERROR(INDEX(Classes!$B$2:$B$200,MATCH(E278,Classes!$E$2:$E$200,0)),""))</f>
        <v/>
      </c>
    </row>
    <row r="279">
      <c r="P279">
        <f>IF(E279="","",IFERROR(INDEX(Classes!$B$2:$B$200,MATCH(E279,Classes!$E$2:$E$200,0)),""))</f>
        <v/>
      </c>
    </row>
    <row r="280">
      <c r="P280">
        <f>IF(E280="","",IFERROR(INDEX(Classes!$B$2:$B$200,MATCH(E280,Classes!$E$2:$E$200,0)),""))</f>
        <v/>
      </c>
    </row>
    <row r="281">
      <c r="P281">
        <f>IF(E281="","",IFERROR(INDEX(Classes!$B$2:$B$200,MATCH(E281,Classes!$E$2:$E$200,0)),""))</f>
        <v/>
      </c>
    </row>
    <row r="282">
      <c r="P282">
        <f>IF(E282="","",IFERROR(INDEX(Classes!$B$2:$B$200,MATCH(E282,Classes!$E$2:$E$200,0)),""))</f>
        <v/>
      </c>
    </row>
    <row r="283">
      <c r="P283">
        <f>IF(E283="","",IFERROR(INDEX(Classes!$B$2:$B$200,MATCH(E283,Classes!$E$2:$E$200,0)),""))</f>
        <v/>
      </c>
    </row>
    <row r="284">
      <c r="P284">
        <f>IF(E284="","",IFERROR(INDEX(Classes!$B$2:$B$200,MATCH(E284,Classes!$E$2:$E$200,0)),""))</f>
        <v/>
      </c>
    </row>
    <row r="285">
      <c r="P285">
        <f>IF(E285="","",IFERROR(INDEX(Classes!$B$2:$B$200,MATCH(E285,Classes!$E$2:$E$200,0)),""))</f>
        <v/>
      </c>
    </row>
    <row r="286">
      <c r="P286">
        <f>IF(E286="","",IFERROR(INDEX(Classes!$B$2:$B$200,MATCH(E286,Classes!$E$2:$E$200,0)),""))</f>
        <v/>
      </c>
    </row>
    <row r="287">
      <c r="P287">
        <f>IF(E287="","",IFERROR(INDEX(Classes!$B$2:$B$200,MATCH(E287,Classes!$E$2:$E$200,0)),""))</f>
        <v/>
      </c>
    </row>
    <row r="288">
      <c r="P288">
        <f>IF(E288="","",IFERROR(INDEX(Classes!$B$2:$B$200,MATCH(E288,Classes!$E$2:$E$200,0)),""))</f>
        <v/>
      </c>
    </row>
    <row r="289">
      <c r="P289">
        <f>IF(E289="","",IFERROR(INDEX(Classes!$B$2:$B$200,MATCH(E289,Classes!$E$2:$E$200,0)),""))</f>
        <v/>
      </c>
    </row>
    <row r="290">
      <c r="P290">
        <f>IF(E290="","",IFERROR(INDEX(Classes!$B$2:$B$200,MATCH(E290,Classes!$E$2:$E$200,0)),""))</f>
        <v/>
      </c>
    </row>
    <row r="291">
      <c r="P291">
        <f>IF(E291="","",IFERROR(INDEX(Classes!$B$2:$B$200,MATCH(E291,Classes!$E$2:$E$200,0)),""))</f>
        <v/>
      </c>
    </row>
    <row r="292">
      <c r="P292">
        <f>IF(E292="","",IFERROR(INDEX(Classes!$B$2:$B$200,MATCH(E292,Classes!$E$2:$E$200,0)),""))</f>
        <v/>
      </c>
    </row>
    <row r="293">
      <c r="P293">
        <f>IF(E293="","",IFERROR(INDEX(Classes!$B$2:$B$200,MATCH(E293,Classes!$E$2:$E$200,0)),""))</f>
        <v/>
      </c>
    </row>
    <row r="294">
      <c r="P294">
        <f>IF(E294="","",IFERROR(INDEX(Classes!$B$2:$B$200,MATCH(E294,Classes!$E$2:$E$200,0)),""))</f>
        <v/>
      </c>
    </row>
    <row r="295">
      <c r="P295">
        <f>IF(E295="","",IFERROR(INDEX(Classes!$B$2:$B$200,MATCH(E295,Classes!$E$2:$E$200,0)),""))</f>
        <v/>
      </c>
    </row>
    <row r="296">
      <c r="P296">
        <f>IF(E296="","",IFERROR(INDEX(Classes!$B$2:$B$200,MATCH(E296,Classes!$E$2:$E$200,0)),""))</f>
        <v/>
      </c>
    </row>
    <row r="297">
      <c r="P297">
        <f>IF(E297="","",IFERROR(INDEX(Classes!$B$2:$B$200,MATCH(E297,Classes!$E$2:$E$200,0)),""))</f>
        <v/>
      </c>
    </row>
    <row r="298">
      <c r="P298">
        <f>IF(E298="","",IFERROR(INDEX(Classes!$B$2:$B$200,MATCH(E298,Classes!$E$2:$E$200,0)),""))</f>
        <v/>
      </c>
    </row>
    <row r="299">
      <c r="P299">
        <f>IF(E299="","",IFERROR(INDEX(Classes!$B$2:$B$200,MATCH(E299,Classes!$E$2:$E$200,0)),""))</f>
        <v/>
      </c>
    </row>
    <row r="300">
      <c r="P300">
        <f>IF(E300="","",IFERROR(INDEX(Classes!$B$2:$B$200,MATCH(E300,Classes!$E$2:$E$200,0)),""))</f>
        <v/>
      </c>
    </row>
    <row r="301">
      <c r="P301">
        <f>IF(E301="","",IFERROR(INDEX(Classes!$B$2:$B$200,MATCH(E301,Classes!$E$2:$E$200,0)),""))</f>
        <v/>
      </c>
    </row>
    <row r="302">
      <c r="P302">
        <f>IF(E302="","",IFERROR(INDEX(Classes!$B$2:$B$200,MATCH(E302,Classes!$E$2:$E$200,0)),""))</f>
        <v/>
      </c>
    </row>
    <row r="303">
      <c r="P303">
        <f>IF(E303="","",IFERROR(INDEX(Classes!$B$2:$B$200,MATCH(E303,Classes!$E$2:$E$200,0)),""))</f>
        <v/>
      </c>
    </row>
    <row r="304">
      <c r="P304">
        <f>IF(E304="","",IFERROR(INDEX(Classes!$B$2:$B$200,MATCH(E304,Classes!$E$2:$E$200,0)),""))</f>
        <v/>
      </c>
    </row>
    <row r="305">
      <c r="P305">
        <f>IF(E305="","",IFERROR(INDEX(Classes!$B$2:$B$200,MATCH(E305,Classes!$E$2:$E$200,0)),""))</f>
        <v/>
      </c>
    </row>
    <row r="306">
      <c r="P306">
        <f>IF(E306="","",IFERROR(INDEX(Classes!$B$2:$B$200,MATCH(E306,Classes!$E$2:$E$200,0)),""))</f>
        <v/>
      </c>
    </row>
    <row r="307">
      <c r="P307">
        <f>IF(E307="","",IFERROR(INDEX(Classes!$B$2:$B$200,MATCH(E307,Classes!$E$2:$E$200,0)),""))</f>
        <v/>
      </c>
    </row>
    <row r="308">
      <c r="P308">
        <f>IF(E308="","",IFERROR(INDEX(Classes!$B$2:$B$200,MATCH(E308,Classes!$E$2:$E$200,0)),""))</f>
        <v/>
      </c>
    </row>
    <row r="309">
      <c r="P309">
        <f>IF(E309="","",IFERROR(INDEX(Classes!$B$2:$B$200,MATCH(E309,Classes!$E$2:$E$200,0)),""))</f>
        <v/>
      </c>
    </row>
    <row r="310">
      <c r="P310">
        <f>IF(E310="","",IFERROR(INDEX(Classes!$B$2:$B$200,MATCH(E310,Classes!$E$2:$E$200,0)),""))</f>
        <v/>
      </c>
    </row>
    <row r="311">
      <c r="P311">
        <f>IF(E311="","",IFERROR(INDEX(Classes!$B$2:$B$200,MATCH(E311,Classes!$E$2:$E$200,0)),""))</f>
        <v/>
      </c>
    </row>
    <row r="312">
      <c r="P312">
        <f>IF(E312="","",IFERROR(INDEX(Classes!$B$2:$B$200,MATCH(E312,Classes!$E$2:$E$200,0)),""))</f>
        <v/>
      </c>
    </row>
    <row r="313">
      <c r="P313">
        <f>IF(E313="","",IFERROR(INDEX(Classes!$B$2:$B$200,MATCH(E313,Classes!$E$2:$E$200,0)),""))</f>
        <v/>
      </c>
    </row>
    <row r="314">
      <c r="P314">
        <f>IF(E314="","",IFERROR(INDEX(Classes!$B$2:$B$200,MATCH(E314,Classes!$E$2:$E$200,0)),""))</f>
        <v/>
      </c>
    </row>
    <row r="315">
      <c r="P315">
        <f>IF(E315="","",IFERROR(INDEX(Classes!$B$2:$B$200,MATCH(E315,Classes!$E$2:$E$200,0)),""))</f>
        <v/>
      </c>
    </row>
    <row r="316">
      <c r="P316">
        <f>IF(E316="","",IFERROR(INDEX(Classes!$B$2:$B$200,MATCH(E316,Classes!$E$2:$E$200,0)),""))</f>
        <v/>
      </c>
    </row>
    <row r="317">
      <c r="P317">
        <f>IF(E317="","",IFERROR(INDEX(Classes!$B$2:$B$200,MATCH(E317,Classes!$E$2:$E$200,0)),""))</f>
        <v/>
      </c>
    </row>
    <row r="318">
      <c r="P318">
        <f>IF(E318="","",IFERROR(INDEX(Classes!$B$2:$B$200,MATCH(E318,Classes!$E$2:$E$200,0)),""))</f>
        <v/>
      </c>
    </row>
    <row r="319">
      <c r="P319">
        <f>IF(E319="","",IFERROR(INDEX(Classes!$B$2:$B$200,MATCH(E319,Classes!$E$2:$E$200,0)),""))</f>
        <v/>
      </c>
    </row>
    <row r="320">
      <c r="P320">
        <f>IF(E320="","",IFERROR(INDEX(Classes!$B$2:$B$200,MATCH(E320,Classes!$E$2:$E$200,0)),""))</f>
        <v/>
      </c>
    </row>
    <row r="321">
      <c r="P321">
        <f>IF(E321="","",IFERROR(INDEX(Classes!$B$2:$B$200,MATCH(E321,Classes!$E$2:$E$200,0)),""))</f>
        <v/>
      </c>
    </row>
    <row r="322">
      <c r="P322">
        <f>IF(E322="","",IFERROR(INDEX(Classes!$B$2:$B$200,MATCH(E322,Classes!$E$2:$E$200,0)),""))</f>
        <v/>
      </c>
    </row>
    <row r="323">
      <c r="P323">
        <f>IF(E323="","",IFERROR(INDEX(Classes!$B$2:$B$200,MATCH(E323,Classes!$E$2:$E$200,0)),""))</f>
        <v/>
      </c>
    </row>
    <row r="324">
      <c r="P324">
        <f>IF(E324="","",IFERROR(INDEX(Classes!$B$2:$B$200,MATCH(E324,Classes!$E$2:$E$200,0)),""))</f>
        <v/>
      </c>
    </row>
    <row r="325">
      <c r="P325">
        <f>IF(E325="","",IFERROR(INDEX(Classes!$B$2:$B$200,MATCH(E325,Classes!$E$2:$E$200,0)),""))</f>
        <v/>
      </c>
    </row>
    <row r="326">
      <c r="P326">
        <f>IF(E326="","",IFERROR(INDEX(Classes!$B$2:$B$200,MATCH(E326,Classes!$E$2:$E$200,0)),""))</f>
        <v/>
      </c>
    </row>
    <row r="327">
      <c r="P327">
        <f>IF(E327="","",IFERROR(INDEX(Classes!$B$2:$B$200,MATCH(E327,Classes!$E$2:$E$200,0)),""))</f>
        <v/>
      </c>
    </row>
    <row r="328">
      <c r="P328">
        <f>IF(E328="","",IFERROR(INDEX(Classes!$B$2:$B$200,MATCH(E328,Classes!$E$2:$E$200,0)),""))</f>
        <v/>
      </c>
    </row>
    <row r="329">
      <c r="P329">
        <f>IF(E329="","",IFERROR(INDEX(Classes!$B$2:$B$200,MATCH(E329,Classes!$E$2:$E$200,0)),""))</f>
        <v/>
      </c>
    </row>
    <row r="330">
      <c r="P330">
        <f>IF(E330="","",IFERROR(INDEX(Classes!$B$2:$B$200,MATCH(E330,Classes!$E$2:$E$200,0)),""))</f>
        <v/>
      </c>
    </row>
    <row r="331">
      <c r="P331">
        <f>IF(E331="","",IFERROR(INDEX(Classes!$B$2:$B$200,MATCH(E331,Classes!$E$2:$E$200,0)),""))</f>
        <v/>
      </c>
    </row>
    <row r="332">
      <c r="P332">
        <f>IF(E332="","",IFERROR(INDEX(Classes!$B$2:$B$200,MATCH(E332,Classes!$E$2:$E$200,0)),""))</f>
        <v/>
      </c>
    </row>
    <row r="333">
      <c r="P333">
        <f>IF(E333="","",IFERROR(INDEX(Classes!$B$2:$B$200,MATCH(E333,Classes!$E$2:$E$200,0)),""))</f>
        <v/>
      </c>
    </row>
    <row r="334">
      <c r="P334">
        <f>IF(E334="","",IFERROR(INDEX(Classes!$B$2:$B$200,MATCH(E334,Classes!$E$2:$E$200,0)),""))</f>
        <v/>
      </c>
    </row>
    <row r="335">
      <c r="P335">
        <f>IF(E335="","",IFERROR(INDEX(Classes!$B$2:$B$200,MATCH(E335,Classes!$E$2:$E$200,0)),""))</f>
        <v/>
      </c>
    </row>
    <row r="336">
      <c r="P336">
        <f>IF(E336="","",IFERROR(INDEX(Classes!$B$2:$B$200,MATCH(E336,Classes!$E$2:$E$200,0)),""))</f>
        <v/>
      </c>
    </row>
    <row r="337">
      <c r="P337">
        <f>IF(E337="","",IFERROR(INDEX(Classes!$B$2:$B$200,MATCH(E337,Classes!$E$2:$E$200,0)),""))</f>
        <v/>
      </c>
    </row>
    <row r="338">
      <c r="P338">
        <f>IF(E338="","",IFERROR(INDEX(Classes!$B$2:$B$200,MATCH(E338,Classes!$E$2:$E$200,0)),""))</f>
        <v/>
      </c>
    </row>
    <row r="339">
      <c r="P339">
        <f>IF(E339="","",IFERROR(INDEX(Classes!$B$2:$B$200,MATCH(E339,Classes!$E$2:$E$200,0)),""))</f>
        <v/>
      </c>
    </row>
    <row r="340">
      <c r="P340">
        <f>IF(E340="","",IFERROR(INDEX(Classes!$B$2:$B$200,MATCH(E340,Classes!$E$2:$E$200,0)),""))</f>
        <v/>
      </c>
    </row>
    <row r="341">
      <c r="P341">
        <f>IF(E341="","",IFERROR(INDEX(Classes!$B$2:$B$200,MATCH(E341,Classes!$E$2:$E$200,0)),""))</f>
        <v/>
      </c>
    </row>
    <row r="342">
      <c r="P342">
        <f>IF(E342="","",IFERROR(INDEX(Classes!$B$2:$B$200,MATCH(E342,Classes!$E$2:$E$200,0)),""))</f>
        <v/>
      </c>
    </row>
    <row r="343">
      <c r="P343">
        <f>IF(E343="","",IFERROR(INDEX(Classes!$B$2:$B$200,MATCH(E343,Classes!$E$2:$E$200,0)),""))</f>
        <v/>
      </c>
    </row>
    <row r="344">
      <c r="P344">
        <f>IF(E344="","",IFERROR(INDEX(Classes!$B$2:$B$200,MATCH(E344,Classes!$E$2:$E$200,0)),""))</f>
        <v/>
      </c>
    </row>
    <row r="345">
      <c r="P345">
        <f>IF(E345="","",IFERROR(INDEX(Classes!$B$2:$B$200,MATCH(E345,Classes!$E$2:$E$200,0)),""))</f>
        <v/>
      </c>
    </row>
    <row r="346">
      <c r="P346">
        <f>IF(E346="","",IFERROR(INDEX(Classes!$B$2:$B$200,MATCH(E346,Classes!$E$2:$E$200,0)),""))</f>
        <v/>
      </c>
    </row>
    <row r="347">
      <c r="P347">
        <f>IF(E347="","",IFERROR(INDEX(Classes!$B$2:$B$200,MATCH(E347,Classes!$E$2:$E$200,0)),""))</f>
        <v/>
      </c>
    </row>
    <row r="348">
      <c r="P348">
        <f>IF(E348="","",IFERROR(INDEX(Classes!$B$2:$B$200,MATCH(E348,Classes!$E$2:$E$200,0)),""))</f>
        <v/>
      </c>
    </row>
    <row r="349">
      <c r="P349">
        <f>IF(E349="","",IFERROR(INDEX(Classes!$B$2:$B$200,MATCH(E349,Classes!$E$2:$E$200,0)),""))</f>
        <v/>
      </c>
    </row>
    <row r="350">
      <c r="P350">
        <f>IF(E350="","",IFERROR(INDEX(Classes!$B$2:$B$200,MATCH(E350,Classes!$E$2:$E$200,0)),""))</f>
        <v/>
      </c>
    </row>
    <row r="351">
      <c r="P351">
        <f>IF(E351="","",IFERROR(INDEX(Classes!$B$2:$B$200,MATCH(E351,Classes!$E$2:$E$200,0)),""))</f>
        <v/>
      </c>
    </row>
    <row r="352">
      <c r="P352">
        <f>IF(E352="","",IFERROR(INDEX(Classes!$B$2:$B$200,MATCH(E352,Classes!$E$2:$E$200,0)),""))</f>
        <v/>
      </c>
    </row>
    <row r="353">
      <c r="P353">
        <f>IF(E353="","",IFERROR(INDEX(Classes!$B$2:$B$200,MATCH(E353,Classes!$E$2:$E$200,0)),""))</f>
        <v/>
      </c>
    </row>
    <row r="354">
      <c r="P354">
        <f>IF(E354="","",IFERROR(INDEX(Classes!$B$2:$B$200,MATCH(E354,Classes!$E$2:$E$200,0)),""))</f>
        <v/>
      </c>
    </row>
    <row r="355">
      <c r="P355">
        <f>IF(E355="","",IFERROR(INDEX(Classes!$B$2:$B$200,MATCH(E355,Classes!$E$2:$E$200,0)),""))</f>
        <v/>
      </c>
    </row>
    <row r="356">
      <c r="P356">
        <f>IF(E356="","",IFERROR(INDEX(Classes!$B$2:$B$200,MATCH(E356,Classes!$E$2:$E$200,0)),""))</f>
        <v/>
      </c>
    </row>
    <row r="357">
      <c r="P357">
        <f>IF(E357="","",IFERROR(INDEX(Classes!$B$2:$B$200,MATCH(E357,Classes!$E$2:$E$200,0)),""))</f>
        <v/>
      </c>
    </row>
    <row r="358">
      <c r="P358">
        <f>IF(E358="","",IFERROR(INDEX(Classes!$B$2:$B$200,MATCH(E358,Classes!$E$2:$E$200,0)),""))</f>
        <v/>
      </c>
    </row>
    <row r="359">
      <c r="P359">
        <f>IF(E359="","",IFERROR(INDEX(Classes!$B$2:$B$200,MATCH(E359,Classes!$E$2:$E$200,0)),""))</f>
        <v/>
      </c>
    </row>
    <row r="360">
      <c r="P360">
        <f>IF(E360="","",IFERROR(INDEX(Classes!$B$2:$B$200,MATCH(E360,Classes!$E$2:$E$200,0)),""))</f>
        <v/>
      </c>
    </row>
    <row r="361">
      <c r="P361">
        <f>IF(E361="","",IFERROR(INDEX(Classes!$B$2:$B$200,MATCH(E361,Classes!$E$2:$E$200,0)),""))</f>
        <v/>
      </c>
    </row>
    <row r="362">
      <c r="P362">
        <f>IF(E362="","",IFERROR(INDEX(Classes!$B$2:$B$200,MATCH(E362,Classes!$E$2:$E$200,0)),""))</f>
        <v/>
      </c>
    </row>
    <row r="363">
      <c r="P363">
        <f>IF(E363="","",IFERROR(INDEX(Classes!$B$2:$B$200,MATCH(E363,Classes!$E$2:$E$200,0)),""))</f>
        <v/>
      </c>
    </row>
    <row r="364">
      <c r="P364">
        <f>IF(E364="","",IFERROR(INDEX(Classes!$B$2:$B$200,MATCH(E364,Classes!$E$2:$E$200,0)),""))</f>
        <v/>
      </c>
    </row>
    <row r="365">
      <c r="P365">
        <f>IF(E365="","",IFERROR(INDEX(Classes!$B$2:$B$200,MATCH(E365,Classes!$E$2:$E$200,0)),""))</f>
        <v/>
      </c>
    </row>
    <row r="366">
      <c r="P366">
        <f>IF(E366="","",IFERROR(INDEX(Classes!$B$2:$B$200,MATCH(E366,Classes!$E$2:$E$200,0)),""))</f>
        <v/>
      </c>
    </row>
    <row r="367">
      <c r="P367">
        <f>IF(E367="","",IFERROR(INDEX(Classes!$B$2:$B$200,MATCH(E367,Classes!$E$2:$E$200,0)),""))</f>
        <v/>
      </c>
    </row>
    <row r="368">
      <c r="P368">
        <f>IF(E368="","",IFERROR(INDEX(Classes!$B$2:$B$200,MATCH(E368,Classes!$E$2:$E$200,0)),""))</f>
        <v/>
      </c>
    </row>
    <row r="369">
      <c r="P369">
        <f>IF(E369="","",IFERROR(INDEX(Classes!$B$2:$B$200,MATCH(E369,Classes!$E$2:$E$200,0)),""))</f>
        <v/>
      </c>
    </row>
    <row r="370">
      <c r="P370">
        <f>IF(E370="","",IFERROR(INDEX(Classes!$B$2:$B$200,MATCH(E370,Classes!$E$2:$E$200,0)),""))</f>
        <v/>
      </c>
    </row>
    <row r="371">
      <c r="P371">
        <f>IF(E371="","",IFERROR(INDEX(Classes!$B$2:$B$200,MATCH(E371,Classes!$E$2:$E$200,0)),""))</f>
        <v/>
      </c>
    </row>
    <row r="372">
      <c r="P372">
        <f>IF(E372="","",IFERROR(INDEX(Classes!$B$2:$B$200,MATCH(E372,Classes!$E$2:$E$200,0)),""))</f>
        <v/>
      </c>
    </row>
    <row r="373">
      <c r="P373">
        <f>IF(E373="","",IFERROR(INDEX(Classes!$B$2:$B$200,MATCH(E373,Classes!$E$2:$E$200,0)),""))</f>
        <v/>
      </c>
    </row>
    <row r="374">
      <c r="P374">
        <f>IF(E374="","",IFERROR(INDEX(Classes!$B$2:$B$200,MATCH(E374,Classes!$E$2:$E$200,0)),""))</f>
        <v/>
      </c>
    </row>
    <row r="375">
      <c r="P375">
        <f>IF(E375="","",IFERROR(INDEX(Classes!$B$2:$B$200,MATCH(E375,Classes!$E$2:$E$200,0)),""))</f>
        <v/>
      </c>
    </row>
    <row r="376">
      <c r="P376">
        <f>IF(E376="","",IFERROR(INDEX(Classes!$B$2:$B$200,MATCH(E376,Classes!$E$2:$E$200,0)),""))</f>
        <v/>
      </c>
    </row>
    <row r="377">
      <c r="P377">
        <f>IF(E377="","",IFERROR(INDEX(Classes!$B$2:$B$200,MATCH(E377,Classes!$E$2:$E$200,0)),""))</f>
        <v/>
      </c>
    </row>
    <row r="378">
      <c r="P378">
        <f>IF(E378="","",IFERROR(INDEX(Classes!$B$2:$B$200,MATCH(E378,Classes!$E$2:$E$200,0)),""))</f>
        <v/>
      </c>
    </row>
    <row r="379">
      <c r="P379">
        <f>IF(E379="","",IFERROR(INDEX(Classes!$B$2:$B$200,MATCH(E379,Classes!$E$2:$E$200,0)),""))</f>
        <v/>
      </c>
    </row>
    <row r="380">
      <c r="P380">
        <f>IF(E380="","",IFERROR(INDEX(Classes!$B$2:$B$200,MATCH(E380,Classes!$E$2:$E$200,0)),""))</f>
        <v/>
      </c>
    </row>
    <row r="381">
      <c r="P381">
        <f>IF(E381="","",IFERROR(INDEX(Classes!$B$2:$B$200,MATCH(E381,Classes!$E$2:$E$200,0)),""))</f>
        <v/>
      </c>
    </row>
    <row r="382">
      <c r="P382">
        <f>IF(E382="","",IFERROR(INDEX(Classes!$B$2:$B$200,MATCH(E382,Classes!$E$2:$E$200,0)),""))</f>
        <v/>
      </c>
    </row>
    <row r="383">
      <c r="P383">
        <f>IF(E383="","",IFERROR(INDEX(Classes!$B$2:$B$200,MATCH(E383,Classes!$E$2:$E$200,0)),""))</f>
        <v/>
      </c>
    </row>
    <row r="384">
      <c r="P384">
        <f>IF(E384="","",IFERROR(INDEX(Classes!$B$2:$B$200,MATCH(E384,Classes!$E$2:$E$200,0)),""))</f>
        <v/>
      </c>
    </row>
    <row r="385">
      <c r="P385">
        <f>IF(E385="","",IFERROR(INDEX(Classes!$B$2:$B$200,MATCH(E385,Classes!$E$2:$E$200,0)),""))</f>
        <v/>
      </c>
    </row>
    <row r="386">
      <c r="P386">
        <f>IF(E386="","",IFERROR(INDEX(Classes!$B$2:$B$200,MATCH(E386,Classes!$E$2:$E$200,0)),""))</f>
        <v/>
      </c>
    </row>
    <row r="387">
      <c r="P387">
        <f>IF(E387="","",IFERROR(INDEX(Classes!$B$2:$B$200,MATCH(E387,Classes!$E$2:$E$200,0)),""))</f>
        <v/>
      </c>
    </row>
    <row r="388">
      <c r="P388">
        <f>IF(E388="","",IFERROR(INDEX(Classes!$B$2:$B$200,MATCH(E388,Classes!$E$2:$E$200,0)),""))</f>
        <v/>
      </c>
    </row>
    <row r="389">
      <c r="P389">
        <f>IF(E389="","",IFERROR(INDEX(Classes!$B$2:$B$200,MATCH(E389,Classes!$E$2:$E$200,0)),""))</f>
        <v/>
      </c>
    </row>
    <row r="390">
      <c r="P390">
        <f>IF(E390="","",IFERROR(INDEX(Classes!$B$2:$B$200,MATCH(E390,Classes!$E$2:$E$200,0)),""))</f>
        <v/>
      </c>
    </row>
    <row r="391">
      <c r="P391">
        <f>IF(E391="","",IFERROR(INDEX(Classes!$B$2:$B$200,MATCH(E391,Classes!$E$2:$E$200,0)),""))</f>
        <v/>
      </c>
    </row>
    <row r="392">
      <c r="P392">
        <f>IF(E392="","",IFERROR(INDEX(Classes!$B$2:$B$200,MATCH(E392,Classes!$E$2:$E$200,0)),""))</f>
        <v/>
      </c>
    </row>
    <row r="393">
      <c r="P393">
        <f>IF(E393="","",IFERROR(INDEX(Classes!$B$2:$B$200,MATCH(E393,Classes!$E$2:$E$200,0)),""))</f>
        <v/>
      </c>
    </row>
    <row r="394">
      <c r="P394">
        <f>IF(E394="","",IFERROR(INDEX(Classes!$B$2:$B$200,MATCH(E394,Classes!$E$2:$E$200,0)),""))</f>
        <v/>
      </c>
    </row>
    <row r="395">
      <c r="P395">
        <f>IF(E395="","",IFERROR(INDEX(Classes!$B$2:$B$200,MATCH(E395,Classes!$E$2:$E$200,0)),""))</f>
        <v/>
      </c>
    </row>
    <row r="396">
      <c r="P396">
        <f>IF(E396="","",IFERROR(INDEX(Classes!$B$2:$B$200,MATCH(E396,Classes!$E$2:$E$200,0)),""))</f>
        <v/>
      </c>
    </row>
    <row r="397">
      <c r="P397">
        <f>IF(E397="","",IFERROR(INDEX(Classes!$B$2:$B$200,MATCH(E397,Classes!$E$2:$E$200,0)),""))</f>
        <v/>
      </c>
    </row>
    <row r="398">
      <c r="P398">
        <f>IF(E398="","",IFERROR(INDEX(Classes!$B$2:$B$200,MATCH(E398,Classes!$E$2:$E$200,0)),""))</f>
        <v/>
      </c>
    </row>
    <row r="399">
      <c r="P399">
        <f>IF(E399="","",IFERROR(INDEX(Classes!$B$2:$B$200,MATCH(E399,Classes!$E$2:$E$200,0)),""))</f>
        <v/>
      </c>
    </row>
    <row r="400">
      <c r="P400">
        <f>IF(E400="","",IFERROR(INDEX(Classes!$B$2:$B$200,MATCH(E400,Classes!$E$2:$E$200,0)),""))</f>
        <v/>
      </c>
    </row>
    <row r="401">
      <c r="P401">
        <f>IF(E401="","",IFERROR(INDEX(Classes!$B$2:$B$200,MATCH(E401,Classes!$E$2:$E$200,0)),""))</f>
        <v/>
      </c>
    </row>
    <row r="402">
      <c r="P402">
        <f>IF(E402="","",IFERROR(INDEX(Classes!$B$2:$B$200,MATCH(E402,Classes!$E$2:$E$200,0)),""))</f>
        <v/>
      </c>
    </row>
    <row r="403">
      <c r="P403">
        <f>IF(E403="","",IFERROR(INDEX(Classes!$B$2:$B$200,MATCH(E403,Classes!$E$2:$E$200,0)),""))</f>
        <v/>
      </c>
    </row>
    <row r="404">
      <c r="P404">
        <f>IF(E404="","",IFERROR(INDEX(Classes!$B$2:$B$200,MATCH(E404,Classes!$E$2:$E$200,0)),""))</f>
        <v/>
      </c>
    </row>
    <row r="405">
      <c r="P405">
        <f>IF(E405="","",IFERROR(INDEX(Classes!$B$2:$B$200,MATCH(E405,Classes!$E$2:$E$200,0)),""))</f>
        <v/>
      </c>
    </row>
    <row r="406">
      <c r="P406">
        <f>IF(E406="","",IFERROR(INDEX(Classes!$B$2:$B$200,MATCH(E406,Classes!$E$2:$E$200,0)),""))</f>
        <v/>
      </c>
    </row>
    <row r="407">
      <c r="P407">
        <f>IF(E407="","",IFERROR(INDEX(Classes!$B$2:$B$200,MATCH(E407,Classes!$E$2:$E$200,0)),""))</f>
        <v/>
      </c>
    </row>
    <row r="408">
      <c r="P408">
        <f>IF(E408="","",IFERROR(INDEX(Classes!$B$2:$B$200,MATCH(E408,Classes!$E$2:$E$200,0)),""))</f>
        <v/>
      </c>
    </row>
    <row r="409">
      <c r="P409">
        <f>IF(E409="","",IFERROR(INDEX(Classes!$B$2:$B$200,MATCH(E409,Classes!$E$2:$E$200,0)),""))</f>
        <v/>
      </c>
    </row>
    <row r="410">
      <c r="P410">
        <f>IF(E410="","",IFERROR(INDEX(Classes!$B$2:$B$200,MATCH(E410,Classes!$E$2:$E$200,0)),""))</f>
        <v/>
      </c>
    </row>
    <row r="411">
      <c r="P411">
        <f>IF(E411="","",IFERROR(INDEX(Classes!$B$2:$B$200,MATCH(E411,Classes!$E$2:$E$200,0)),""))</f>
        <v/>
      </c>
    </row>
    <row r="412">
      <c r="P412">
        <f>IF(E412="","",IFERROR(INDEX(Classes!$B$2:$B$200,MATCH(E412,Classes!$E$2:$E$200,0)),""))</f>
        <v/>
      </c>
    </row>
    <row r="413">
      <c r="P413">
        <f>IF(E413="","",IFERROR(INDEX(Classes!$B$2:$B$200,MATCH(E413,Classes!$E$2:$E$200,0)),""))</f>
        <v/>
      </c>
    </row>
    <row r="414">
      <c r="P414">
        <f>IF(E414="","",IFERROR(INDEX(Classes!$B$2:$B$200,MATCH(E414,Classes!$E$2:$E$200,0)),""))</f>
        <v/>
      </c>
    </row>
    <row r="415">
      <c r="P415">
        <f>IF(E415="","",IFERROR(INDEX(Classes!$B$2:$B$200,MATCH(E415,Classes!$E$2:$E$200,0)),""))</f>
        <v/>
      </c>
    </row>
    <row r="416">
      <c r="P416">
        <f>IF(E416="","",IFERROR(INDEX(Classes!$B$2:$B$200,MATCH(E416,Classes!$E$2:$E$200,0)),""))</f>
        <v/>
      </c>
    </row>
    <row r="417">
      <c r="P417">
        <f>IF(E417="","",IFERROR(INDEX(Classes!$B$2:$B$200,MATCH(E417,Classes!$E$2:$E$200,0)),""))</f>
        <v/>
      </c>
    </row>
    <row r="418">
      <c r="P418">
        <f>IF(E418="","",IFERROR(INDEX(Classes!$B$2:$B$200,MATCH(E418,Classes!$E$2:$E$200,0)),""))</f>
        <v/>
      </c>
    </row>
    <row r="419">
      <c r="P419">
        <f>IF(E419="","",IFERROR(INDEX(Classes!$B$2:$B$200,MATCH(E419,Classes!$E$2:$E$200,0)),""))</f>
        <v/>
      </c>
    </row>
    <row r="420">
      <c r="P420">
        <f>IF(E420="","",IFERROR(INDEX(Classes!$B$2:$B$200,MATCH(E420,Classes!$E$2:$E$200,0)),""))</f>
        <v/>
      </c>
    </row>
    <row r="421">
      <c r="P421">
        <f>IF(E421="","",IFERROR(INDEX(Classes!$B$2:$B$200,MATCH(E421,Classes!$E$2:$E$200,0)),""))</f>
        <v/>
      </c>
    </row>
    <row r="422">
      <c r="P422">
        <f>IF(E422="","",IFERROR(INDEX(Classes!$B$2:$B$200,MATCH(E422,Classes!$E$2:$E$200,0)),""))</f>
        <v/>
      </c>
    </row>
    <row r="423">
      <c r="P423">
        <f>IF(E423="","",IFERROR(INDEX(Classes!$B$2:$B$200,MATCH(E423,Classes!$E$2:$E$200,0)),""))</f>
        <v/>
      </c>
    </row>
    <row r="424">
      <c r="P424">
        <f>IF(E424="","",IFERROR(INDEX(Classes!$B$2:$B$200,MATCH(E424,Classes!$E$2:$E$200,0)),""))</f>
        <v/>
      </c>
    </row>
    <row r="425">
      <c r="P425">
        <f>IF(E425="","",IFERROR(INDEX(Classes!$B$2:$B$200,MATCH(E425,Classes!$E$2:$E$200,0)),""))</f>
        <v/>
      </c>
    </row>
    <row r="426">
      <c r="P426">
        <f>IF(E426="","",IFERROR(INDEX(Classes!$B$2:$B$200,MATCH(E426,Classes!$E$2:$E$200,0)),""))</f>
        <v/>
      </c>
    </row>
    <row r="427">
      <c r="P427">
        <f>IF(E427="","",IFERROR(INDEX(Classes!$B$2:$B$200,MATCH(E427,Classes!$E$2:$E$200,0)),""))</f>
        <v/>
      </c>
    </row>
    <row r="428">
      <c r="P428">
        <f>IF(E428="","",IFERROR(INDEX(Classes!$B$2:$B$200,MATCH(E428,Classes!$E$2:$E$200,0)),""))</f>
        <v/>
      </c>
    </row>
    <row r="429">
      <c r="P429">
        <f>IF(E429="","",IFERROR(INDEX(Classes!$B$2:$B$200,MATCH(E429,Classes!$E$2:$E$200,0)),""))</f>
        <v/>
      </c>
    </row>
    <row r="430">
      <c r="P430">
        <f>IF(E430="","",IFERROR(INDEX(Classes!$B$2:$B$200,MATCH(E430,Classes!$E$2:$E$200,0)),""))</f>
        <v/>
      </c>
    </row>
    <row r="431">
      <c r="P431">
        <f>IF(E431="","",IFERROR(INDEX(Classes!$B$2:$B$200,MATCH(E431,Classes!$E$2:$E$200,0)),""))</f>
        <v/>
      </c>
    </row>
    <row r="432">
      <c r="P432">
        <f>IF(E432="","",IFERROR(INDEX(Classes!$B$2:$B$200,MATCH(E432,Classes!$E$2:$E$200,0)),""))</f>
        <v/>
      </c>
    </row>
    <row r="433">
      <c r="P433">
        <f>IF(E433="","",IFERROR(INDEX(Classes!$B$2:$B$200,MATCH(E433,Classes!$E$2:$E$200,0)),""))</f>
        <v/>
      </c>
    </row>
    <row r="434">
      <c r="P434">
        <f>IF(E434="","",IFERROR(INDEX(Classes!$B$2:$B$200,MATCH(E434,Classes!$E$2:$E$200,0)),""))</f>
        <v/>
      </c>
    </row>
    <row r="435">
      <c r="P435">
        <f>IF(E435="","",IFERROR(INDEX(Classes!$B$2:$B$200,MATCH(E435,Classes!$E$2:$E$200,0)),""))</f>
        <v/>
      </c>
    </row>
    <row r="436">
      <c r="P436">
        <f>IF(E436="","",IFERROR(INDEX(Classes!$B$2:$B$200,MATCH(E436,Classes!$E$2:$E$200,0)),""))</f>
        <v/>
      </c>
    </row>
    <row r="437">
      <c r="P437">
        <f>IF(E437="","",IFERROR(INDEX(Classes!$B$2:$B$200,MATCH(E437,Classes!$E$2:$E$200,0)),""))</f>
        <v/>
      </c>
    </row>
    <row r="438">
      <c r="P438">
        <f>IF(E438="","",IFERROR(INDEX(Classes!$B$2:$B$200,MATCH(E438,Classes!$E$2:$E$200,0)),""))</f>
        <v/>
      </c>
    </row>
    <row r="439">
      <c r="P439">
        <f>IF(E439="","",IFERROR(INDEX(Classes!$B$2:$B$200,MATCH(E439,Classes!$E$2:$E$200,0)),""))</f>
        <v/>
      </c>
    </row>
    <row r="440">
      <c r="P440">
        <f>IF(E440="","",IFERROR(INDEX(Classes!$B$2:$B$200,MATCH(E440,Classes!$E$2:$E$200,0)),""))</f>
        <v/>
      </c>
    </row>
    <row r="441">
      <c r="P441">
        <f>IF(E441="","",IFERROR(INDEX(Classes!$B$2:$B$200,MATCH(E441,Classes!$E$2:$E$200,0)),""))</f>
        <v/>
      </c>
    </row>
    <row r="442">
      <c r="P442">
        <f>IF(E442="","",IFERROR(INDEX(Classes!$B$2:$B$200,MATCH(E442,Classes!$E$2:$E$200,0)),""))</f>
        <v/>
      </c>
    </row>
    <row r="443">
      <c r="P443">
        <f>IF(E443="","",IFERROR(INDEX(Classes!$B$2:$B$200,MATCH(E443,Classes!$E$2:$E$200,0)),""))</f>
        <v/>
      </c>
    </row>
    <row r="444">
      <c r="P444">
        <f>IF(E444="","",IFERROR(INDEX(Classes!$B$2:$B$200,MATCH(E444,Classes!$E$2:$E$200,0)),""))</f>
        <v/>
      </c>
    </row>
    <row r="445">
      <c r="P445">
        <f>IF(E445="","",IFERROR(INDEX(Classes!$B$2:$B$200,MATCH(E445,Classes!$E$2:$E$200,0)),""))</f>
        <v/>
      </c>
    </row>
    <row r="446">
      <c r="P446">
        <f>IF(E446="","",IFERROR(INDEX(Classes!$B$2:$B$200,MATCH(E446,Classes!$E$2:$E$200,0)),""))</f>
        <v/>
      </c>
    </row>
    <row r="447">
      <c r="P447">
        <f>IF(E447="","",IFERROR(INDEX(Classes!$B$2:$B$200,MATCH(E447,Classes!$E$2:$E$200,0)),""))</f>
        <v/>
      </c>
    </row>
    <row r="448">
      <c r="P448">
        <f>IF(E448="","",IFERROR(INDEX(Classes!$B$2:$B$200,MATCH(E448,Classes!$E$2:$E$200,0)),""))</f>
        <v/>
      </c>
    </row>
    <row r="449">
      <c r="P449">
        <f>IF(E449="","",IFERROR(INDEX(Classes!$B$2:$B$200,MATCH(E449,Classes!$E$2:$E$200,0)),""))</f>
        <v/>
      </c>
    </row>
    <row r="450">
      <c r="P450">
        <f>IF(E450="","",IFERROR(INDEX(Classes!$B$2:$B$200,MATCH(E450,Classes!$E$2:$E$200,0)),""))</f>
        <v/>
      </c>
    </row>
    <row r="451">
      <c r="P451">
        <f>IF(E451="","",IFERROR(INDEX(Classes!$B$2:$B$200,MATCH(E451,Classes!$E$2:$E$200,0)),""))</f>
        <v/>
      </c>
    </row>
    <row r="452">
      <c r="P452">
        <f>IF(E452="","",IFERROR(INDEX(Classes!$B$2:$B$200,MATCH(E452,Classes!$E$2:$E$200,0)),""))</f>
        <v/>
      </c>
    </row>
    <row r="453">
      <c r="P453">
        <f>IF(E453="","",IFERROR(INDEX(Classes!$B$2:$B$200,MATCH(E453,Classes!$E$2:$E$200,0)),""))</f>
        <v/>
      </c>
    </row>
    <row r="454">
      <c r="P454">
        <f>IF(E454="","",IFERROR(INDEX(Classes!$B$2:$B$200,MATCH(E454,Classes!$E$2:$E$200,0)),""))</f>
        <v/>
      </c>
    </row>
    <row r="455">
      <c r="P455">
        <f>IF(E455="","",IFERROR(INDEX(Classes!$B$2:$B$200,MATCH(E455,Classes!$E$2:$E$200,0)),""))</f>
        <v/>
      </c>
    </row>
    <row r="456">
      <c r="P456">
        <f>IF(E456="","",IFERROR(INDEX(Classes!$B$2:$B$200,MATCH(E456,Classes!$E$2:$E$200,0)),""))</f>
        <v/>
      </c>
    </row>
    <row r="457">
      <c r="P457">
        <f>IF(E457="","",IFERROR(INDEX(Classes!$B$2:$B$200,MATCH(E457,Classes!$E$2:$E$200,0)),""))</f>
        <v/>
      </c>
    </row>
    <row r="458">
      <c r="P458">
        <f>IF(E458="","",IFERROR(INDEX(Classes!$B$2:$B$200,MATCH(E458,Classes!$E$2:$E$200,0)),""))</f>
        <v/>
      </c>
    </row>
    <row r="459">
      <c r="P459">
        <f>IF(E459="","",IFERROR(INDEX(Classes!$B$2:$B$200,MATCH(E459,Classes!$E$2:$E$200,0)),""))</f>
        <v/>
      </c>
    </row>
    <row r="460">
      <c r="P460">
        <f>IF(E460="","",IFERROR(INDEX(Classes!$B$2:$B$200,MATCH(E460,Classes!$E$2:$E$200,0)),""))</f>
        <v/>
      </c>
    </row>
    <row r="461">
      <c r="P461">
        <f>IF(E461="","",IFERROR(INDEX(Classes!$B$2:$B$200,MATCH(E461,Classes!$E$2:$E$200,0)),""))</f>
        <v/>
      </c>
    </row>
    <row r="462">
      <c r="P462">
        <f>IF(E462="","",IFERROR(INDEX(Classes!$B$2:$B$200,MATCH(E462,Classes!$E$2:$E$200,0)),""))</f>
        <v/>
      </c>
    </row>
    <row r="463">
      <c r="P463">
        <f>IF(E463="","",IFERROR(INDEX(Classes!$B$2:$B$200,MATCH(E463,Classes!$E$2:$E$200,0)),""))</f>
        <v/>
      </c>
    </row>
    <row r="464">
      <c r="P464">
        <f>IF(E464="","",IFERROR(INDEX(Classes!$B$2:$B$200,MATCH(E464,Classes!$E$2:$E$200,0)),""))</f>
        <v/>
      </c>
    </row>
    <row r="465">
      <c r="P465">
        <f>IF(E465="","",IFERROR(INDEX(Classes!$B$2:$B$200,MATCH(E465,Classes!$E$2:$E$200,0)),""))</f>
        <v/>
      </c>
    </row>
    <row r="466">
      <c r="P466">
        <f>IF(E466="","",IFERROR(INDEX(Classes!$B$2:$B$200,MATCH(E466,Classes!$E$2:$E$200,0)),""))</f>
        <v/>
      </c>
    </row>
    <row r="467">
      <c r="P467">
        <f>IF(E467="","",IFERROR(INDEX(Classes!$B$2:$B$200,MATCH(E467,Classes!$E$2:$E$200,0)),""))</f>
        <v/>
      </c>
    </row>
    <row r="468">
      <c r="P468">
        <f>IF(E468="","",IFERROR(INDEX(Classes!$B$2:$B$200,MATCH(E468,Classes!$E$2:$E$200,0)),""))</f>
        <v/>
      </c>
    </row>
    <row r="469">
      <c r="P469">
        <f>IF(E469="","",IFERROR(INDEX(Classes!$B$2:$B$200,MATCH(E469,Classes!$E$2:$E$200,0)),""))</f>
        <v/>
      </c>
    </row>
    <row r="470">
      <c r="P470">
        <f>IF(E470="","",IFERROR(INDEX(Classes!$B$2:$B$200,MATCH(E470,Classes!$E$2:$E$200,0)),""))</f>
        <v/>
      </c>
    </row>
    <row r="471">
      <c r="P471">
        <f>IF(E471="","",IFERROR(INDEX(Classes!$B$2:$B$200,MATCH(E471,Classes!$E$2:$E$200,0)),""))</f>
        <v/>
      </c>
    </row>
    <row r="472">
      <c r="P472">
        <f>IF(E472="","",IFERROR(INDEX(Classes!$B$2:$B$200,MATCH(E472,Classes!$E$2:$E$200,0)),""))</f>
        <v/>
      </c>
    </row>
    <row r="473">
      <c r="P473">
        <f>IF(E473="","",IFERROR(INDEX(Classes!$B$2:$B$200,MATCH(E473,Classes!$E$2:$E$200,0)),""))</f>
        <v/>
      </c>
    </row>
    <row r="474">
      <c r="P474">
        <f>IF(E474="","",IFERROR(INDEX(Classes!$B$2:$B$200,MATCH(E474,Classes!$E$2:$E$200,0)),""))</f>
        <v/>
      </c>
    </row>
    <row r="475">
      <c r="P475">
        <f>IF(E475="","",IFERROR(INDEX(Classes!$B$2:$B$200,MATCH(E475,Classes!$E$2:$E$200,0)),""))</f>
        <v/>
      </c>
    </row>
    <row r="476">
      <c r="P476">
        <f>IF(E476="","",IFERROR(INDEX(Classes!$B$2:$B$200,MATCH(E476,Classes!$E$2:$E$200,0)),""))</f>
        <v/>
      </c>
    </row>
    <row r="477">
      <c r="P477">
        <f>IF(E477="","",IFERROR(INDEX(Classes!$B$2:$B$200,MATCH(E477,Classes!$E$2:$E$200,0)),""))</f>
        <v/>
      </c>
    </row>
    <row r="478">
      <c r="P478">
        <f>IF(E478="","",IFERROR(INDEX(Classes!$B$2:$B$200,MATCH(E478,Classes!$E$2:$E$200,0)),""))</f>
        <v/>
      </c>
    </row>
    <row r="479">
      <c r="P479">
        <f>IF(E479="","",IFERROR(INDEX(Classes!$B$2:$B$200,MATCH(E479,Classes!$E$2:$E$200,0)),""))</f>
        <v/>
      </c>
    </row>
    <row r="480">
      <c r="P480">
        <f>IF(E480="","",IFERROR(INDEX(Classes!$B$2:$B$200,MATCH(E480,Classes!$E$2:$E$200,0)),""))</f>
        <v/>
      </c>
    </row>
    <row r="481">
      <c r="P481">
        <f>IF(E481="","",IFERROR(INDEX(Classes!$B$2:$B$200,MATCH(E481,Classes!$E$2:$E$200,0)),""))</f>
        <v/>
      </c>
    </row>
    <row r="482">
      <c r="P482">
        <f>IF(E482="","",IFERROR(INDEX(Classes!$B$2:$B$200,MATCH(E482,Classes!$E$2:$E$200,0)),""))</f>
        <v/>
      </c>
    </row>
    <row r="483">
      <c r="P483">
        <f>IF(E483="","",IFERROR(INDEX(Classes!$B$2:$B$200,MATCH(E483,Classes!$E$2:$E$200,0)),""))</f>
        <v/>
      </c>
    </row>
    <row r="484">
      <c r="P484">
        <f>IF(E484="","",IFERROR(INDEX(Classes!$B$2:$B$200,MATCH(E484,Classes!$E$2:$E$200,0)),""))</f>
        <v/>
      </c>
    </row>
    <row r="485">
      <c r="P485">
        <f>IF(E485="","",IFERROR(INDEX(Classes!$B$2:$B$200,MATCH(E485,Classes!$E$2:$E$200,0)),""))</f>
        <v/>
      </c>
    </row>
    <row r="486">
      <c r="P486">
        <f>IF(E486="","",IFERROR(INDEX(Classes!$B$2:$B$200,MATCH(E486,Classes!$E$2:$E$200,0)),""))</f>
        <v/>
      </c>
    </row>
    <row r="487">
      <c r="P487">
        <f>IF(E487="","",IFERROR(INDEX(Classes!$B$2:$B$200,MATCH(E487,Classes!$E$2:$E$200,0)),""))</f>
        <v/>
      </c>
    </row>
    <row r="488">
      <c r="P488">
        <f>IF(E488="","",IFERROR(INDEX(Classes!$B$2:$B$200,MATCH(E488,Classes!$E$2:$E$200,0)),""))</f>
        <v/>
      </c>
    </row>
    <row r="489">
      <c r="P489">
        <f>IF(E489="","",IFERROR(INDEX(Classes!$B$2:$B$200,MATCH(E489,Classes!$E$2:$E$200,0)),""))</f>
        <v/>
      </c>
    </row>
    <row r="490">
      <c r="P490">
        <f>IF(E490="","",IFERROR(INDEX(Classes!$B$2:$B$200,MATCH(E490,Classes!$E$2:$E$200,0)),""))</f>
        <v/>
      </c>
    </row>
    <row r="491">
      <c r="P491">
        <f>IF(E491="","",IFERROR(INDEX(Classes!$B$2:$B$200,MATCH(E491,Classes!$E$2:$E$200,0)),""))</f>
        <v/>
      </c>
    </row>
    <row r="492">
      <c r="P492">
        <f>IF(E492="","",IFERROR(INDEX(Classes!$B$2:$B$200,MATCH(E492,Classes!$E$2:$E$200,0)),""))</f>
        <v/>
      </c>
    </row>
    <row r="493">
      <c r="P493">
        <f>IF(E493="","",IFERROR(INDEX(Classes!$B$2:$B$200,MATCH(E493,Classes!$E$2:$E$200,0)),""))</f>
        <v/>
      </c>
    </row>
    <row r="494">
      <c r="P494">
        <f>IF(E494="","",IFERROR(INDEX(Classes!$B$2:$B$200,MATCH(E494,Classes!$E$2:$E$200,0)),""))</f>
        <v/>
      </c>
    </row>
    <row r="495">
      <c r="P495">
        <f>IF(E495="","",IFERROR(INDEX(Classes!$B$2:$B$200,MATCH(E495,Classes!$E$2:$E$200,0)),""))</f>
        <v/>
      </c>
    </row>
    <row r="496">
      <c r="P496">
        <f>IF(E496="","",IFERROR(INDEX(Classes!$B$2:$B$200,MATCH(E496,Classes!$E$2:$E$200,0)),""))</f>
        <v/>
      </c>
    </row>
    <row r="497">
      <c r="P497">
        <f>IF(E497="","",IFERROR(INDEX(Classes!$B$2:$B$200,MATCH(E497,Classes!$E$2:$E$200,0)),""))</f>
        <v/>
      </c>
    </row>
    <row r="498">
      <c r="P498">
        <f>IF(E498="","",IFERROR(INDEX(Classes!$B$2:$B$200,MATCH(E498,Classes!$E$2:$E$200,0)),""))</f>
        <v/>
      </c>
    </row>
    <row r="499">
      <c r="P499">
        <f>IF(E499="","",IFERROR(INDEX(Classes!$B$2:$B$200,MATCH(E499,Classes!$E$2:$E$200,0)),""))</f>
        <v/>
      </c>
    </row>
    <row r="500">
      <c r="P500">
        <f>IF(E500="","",IFERROR(INDEX(Classes!$B$2:$B$200,MATCH(E500,Classes!$E$2:$E$200,0)),""))</f>
        <v/>
      </c>
    </row>
  </sheetData>
  <dataValidations count="9">
    <dataValidation sqref="B2:B500" showDropDown="0" showInputMessage="0" showErrorMessage="0" allowBlank="1" type="list">
      <formula1>"Upper,Lower"</formula1>
    </dataValidation>
    <dataValidation sqref="G2:G500" showDropDown="0" showInputMessage="0" showErrorMessage="0" allowBlank="1" type="list">
      <formula1>"On Track,Slightly Behind,Behind"</formula1>
    </dataValidation>
    <dataValidation sqref="K2:K500" showDropDown="0" showInputMessage="0" showErrorMessage="0" allowBlank="1" type="list">
      <formula1>"Yes,No"</formula1>
    </dataValidation>
    <dataValidation sqref="L2:L500" showDropDown="0" showInputMessage="0" showErrorMessage="0" allowBlank="1" type="list">
      <formula1>"Yes,No"</formula1>
    </dataValidation>
    <dataValidation sqref="M2:M500" showDropDown="0" showInputMessage="0" showErrorMessage="0" allowBlank="1" type="list">
      <formula1>"Yes,No"</formula1>
    </dataValidation>
    <dataValidation sqref="D2:D500" showDropDown="0" showInputMessage="0" showErrorMessage="0" allowBlank="1" type="list">
      <formula1>=Teachers!$A$2:$A$500</formula1>
    </dataValidation>
    <dataValidation sqref="C2:C500" showDropDown="0" showInputMessage="0" showErrorMessage="0" allowBlank="1" type="list">
      <formula1>=Lists!$A$2:$A$100</formula1>
    </dataValidation>
    <dataValidation sqref="E2:E500" showDropDown="0" showInputMessage="0" showErrorMessage="0" allowBlank="1" type="list">
      <formula1>=Classes!$E$2:$E$200</formula1>
    </dataValidation>
    <dataValidation sqref="C2:C500" showDropDown="0" showInputMessage="0" showErrorMessage="0" allowBlank="1" type="list">
      <formula1>=IF($P2="Early Years",EarlyYears_Subjects,LowerPrimary_Subjects)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22" customWidth="1" min="8" max="8"/>
    <col width="30" customWidth="1" min="9" max="9"/>
    <col width="30" customWidth="1" min="10" max="10"/>
  </cols>
  <sheetData>
    <row r="1">
      <c r="A1" s="1" t="inlineStr">
        <is>
          <t>Week Ending</t>
        </is>
      </c>
      <c r="B1" s="1" t="inlineStr">
        <is>
          <t>Campus (Upper/Lower)</t>
        </is>
      </c>
      <c r="C1" s="1" t="inlineStr">
        <is>
          <t>Teacher Name</t>
        </is>
      </c>
      <c r="D1" s="1" t="inlineStr">
        <is>
          <t>On Time All Week (Yes/No)</t>
        </is>
      </c>
      <c r="E1" s="1" t="inlineStr">
        <is>
          <t>Lessons Missed (No.)</t>
        </is>
      </c>
      <c r="F1" s="1" t="inlineStr">
        <is>
          <t>Books Marked (Yes/No)</t>
        </is>
      </c>
      <c r="G1" s="1" t="inlineStr">
        <is>
          <t>Schemes Updated (Yes/No)</t>
        </is>
      </c>
      <c r="H1" s="1" t="inlineStr">
        <is>
          <t>Class Control (Good/Fair/Poor)</t>
        </is>
      </c>
      <c r="I1" s="1" t="inlineStr">
        <is>
          <t>General Performance (Excellent/Good/Fair/Poor)</t>
        </is>
      </c>
      <c r="J1" s="1" t="inlineStr">
        <is>
          <t>Notes</t>
        </is>
      </c>
    </row>
  </sheetData>
  <dataValidations count="7">
    <dataValidation sqref="B2:B500" showDropDown="0" showInputMessage="0" showErrorMessage="0" allowBlank="1" type="list">
      <formula1>"Upper,Lower"</formula1>
    </dataValidation>
    <dataValidation sqref="D2:D500" showDropDown="0" showInputMessage="0" showErrorMessage="0" allowBlank="1" type="list">
      <formula1>"Yes,No"</formula1>
    </dataValidation>
    <dataValidation sqref="F2:F500" showDropDown="0" showInputMessage="0" showErrorMessage="0" allowBlank="1" type="list">
      <formula1>"Yes,No"</formula1>
    </dataValidation>
    <dataValidation sqref="G2:G500" showDropDown="0" showInputMessage="0" showErrorMessage="0" allowBlank="1" type="list">
      <formula1>"Yes,No"</formula1>
    </dataValidation>
    <dataValidation sqref="H2:H500" showDropDown="0" showInputMessage="0" showErrorMessage="0" allowBlank="1" type="list">
      <formula1>"Good,Fair,Poor"</formula1>
    </dataValidation>
    <dataValidation sqref="I2:I500" showDropDown="0" showInputMessage="0" showErrorMessage="0" allowBlank="1" type="list">
      <formula1>"Excellent,Good,Fair,Poor"</formula1>
    </dataValidation>
    <dataValidation sqref="C2:C500" showDropDown="0" showInputMessage="0" showErrorMessage="0" allowBlank="1" type="list">
      <formula1>=Teachers!$A$2:$A$500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0" customWidth="1" min="4" max="4"/>
    <col width="22" customWidth="1" min="5" max="5"/>
    <col width="22" customWidth="1" min="6" max="6"/>
    <col width="28" customWidth="1" min="7" max="7"/>
    <col width="22" customWidth="1" min="8" max="8"/>
    <col width="28" customWidth="1" min="9" max="9"/>
    <col width="30" customWidth="1" min="10" max="10"/>
  </cols>
  <sheetData>
    <row r="1">
      <c r="A1" s="1" t="inlineStr">
        <is>
          <t>Week Ending</t>
        </is>
      </c>
      <c r="B1" s="1" t="inlineStr">
        <is>
          <t>Campus (Upper/Lower)</t>
        </is>
      </c>
      <c r="C1" s="1" t="inlineStr">
        <is>
          <t>Student Name</t>
        </is>
      </c>
      <c r="D1" s="1" t="inlineStr">
        <is>
          <t>Class</t>
        </is>
      </c>
      <c r="E1" s="1" t="inlineStr">
        <is>
          <t>Academic Concern (Yes/No)</t>
        </is>
      </c>
      <c r="F1" s="1" t="inlineStr">
        <is>
          <t>Behavior Concern (Yes/No)</t>
        </is>
      </c>
      <c r="G1" s="1" t="inlineStr">
        <is>
          <t>Action Taken</t>
        </is>
      </c>
      <c r="H1" s="1" t="inlineStr">
        <is>
          <t>Parent Contacted (Yes/No)</t>
        </is>
      </c>
      <c r="I1" s="1" t="inlineStr">
        <is>
          <t>Progress Status (Improving/Same/Worse)</t>
        </is>
      </c>
      <c r="J1" s="1" t="inlineStr">
        <is>
          <t>Notes</t>
        </is>
      </c>
    </row>
  </sheetData>
  <dataValidations count="5">
    <dataValidation sqref="B2:B500" showDropDown="0" showInputMessage="0" showErrorMessage="0" allowBlank="1" type="list">
      <formula1>"Upper,Lower"</formula1>
    </dataValidation>
    <dataValidation sqref="E2:E500" showDropDown="0" showInputMessage="0" showErrorMessage="0" allowBlank="1" type="list">
      <formula1>"Yes,No"</formula1>
    </dataValidation>
    <dataValidation sqref="F2:F500" showDropDown="0" showInputMessage="0" showErrorMessage="0" allowBlank="1" type="list">
      <formula1>"Yes,No"</formula1>
    </dataValidation>
    <dataValidation sqref="H2:H500" showDropDown="0" showInputMessage="0" showErrorMessage="0" allowBlank="1" type="list">
      <formula1>"Yes,No"</formula1>
    </dataValidation>
    <dataValidation sqref="I2:I500" showDropDown="0" showInputMessage="0" showErrorMessage="0" allowBlank="1" type="list">
      <formula1>"Improving,Same,Worse"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8" customWidth="1" min="4" max="4"/>
    <col width="28" customWidth="1" min="5" max="5"/>
    <col width="28" customWidth="1" min="6" max="6"/>
    <col width="22" customWidth="1" min="7" max="7"/>
    <col width="16" customWidth="1" min="8" max="8"/>
    <col width="28" customWidth="1" min="9" max="9"/>
  </cols>
  <sheetData>
    <row r="1">
      <c r="A1" s="1" t="inlineStr">
        <is>
          <t>Week Ending</t>
        </is>
      </c>
      <c r="B1" s="1" t="inlineStr">
        <is>
          <t>Campus (Upper/Lower)</t>
        </is>
      </c>
      <c r="C1" s="1" t="inlineStr">
        <is>
          <t>Area (Toilets/Classrooms/Desks/Kitchen/Water/Transport/Security)</t>
        </is>
      </c>
      <c r="D1" s="1" t="inlineStr">
        <is>
          <t>Status (Good/Fair/Poor)</t>
        </is>
      </c>
      <c r="E1" s="1" t="inlineStr">
        <is>
          <t>Issue Noted</t>
        </is>
      </c>
      <c r="F1" s="1" t="inlineStr">
        <is>
          <t>Action Needed</t>
        </is>
      </c>
      <c r="G1" s="1" t="inlineStr">
        <is>
          <t>Responsible Person</t>
        </is>
      </c>
      <c r="H1" s="1" t="inlineStr">
        <is>
          <t>Resolved (Yes/No)</t>
        </is>
      </c>
      <c r="I1" s="1" t="inlineStr">
        <is>
          <t>Notes</t>
        </is>
      </c>
    </row>
  </sheetData>
  <dataValidations count="3">
    <dataValidation sqref="B2:B500" showDropDown="0" showInputMessage="0" showErrorMessage="0" allowBlank="1" type="list">
      <formula1>"Upper,Lower"</formula1>
    </dataValidation>
    <dataValidation sqref="D2:D500" showDropDown="0" showInputMessage="0" showErrorMessage="0" allowBlank="1" type="list">
      <formula1>"Good,Fair,Poor"</formula1>
    </dataValidation>
    <dataValidation sqref="H2:H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>
      <c r="A1" s="2" t="inlineStr">
        <is>
          <t>Selected Week Ending (type date exactly as in sheets)</t>
        </is>
      </c>
    </row>
    <row r="3">
      <c r="A3" s="3" t="inlineStr">
        <is>
          <t>Key Weekly Alerts (Selected Week)</t>
        </is>
      </c>
    </row>
    <row r="4">
      <c r="A4" s="2" t="inlineStr">
        <is>
          <t>Metric</t>
        </is>
      </c>
      <c r="B4" s="2" t="inlineStr">
        <is>
          <t>Count</t>
        </is>
      </c>
    </row>
    <row r="5">
      <c r="A5" t="inlineStr">
        <is>
          <t>Classes with Poor Discipline</t>
        </is>
      </c>
      <c r="B5">
        <f>COUNTIFS('Class Reports'!A:A,$B$1,'Class Reports'!G:G,"Poor")</f>
        <v/>
      </c>
    </row>
    <row r="6">
      <c r="A6" t="inlineStr">
        <is>
          <t>Classes with Low Homework</t>
        </is>
      </c>
      <c r="B6">
        <f>COUNTIFS('Class Reports'!A:A,$B$1,'Class Reports'!H:H,"Low")</f>
        <v/>
      </c>
    </row>
    <row r="7">
      <c r="A7" t="inlineStr">
        <is>
          <t>Subjects Behind Syllabus</t>
        </is>
      </c>
      <c r="B7">
        <f>COUNTIFS('Subject Reports'!A:A,$B$1,'Subject Reports'!G:G,"Behind")</f>
        <v/>
      </c>
    </row>
    <row r="8">
      <c r="A8" t="inlineStr">
        <is>
          <t>Teachers Not Marking Books</t>
        </is>
      </c>
      <c r="B8">
        <f>COUNTIFS('Staff Weekly'!A:A,$B$1,'Staff Weekly'!F:F,"No")</f>
        <v/>
      </c>
    </row>
    <row r="9">
      <c r="A9" t="inlineStr">
        <is>
          <t>Students with Academic Concerns</t>
        </is>
      </c>
      <c r="B9">
        <f>COUNTIFS('Student Follow-Up'!A:A,$B$1,'Student Follow-Up'!E:E,"Yes")</f>
        <v/>
      </c>
    </row>
    <row r="10">
      <c r="A10" t="inlineStr">
        <is>
          <t>Unresolved Facility Issues</t>
        </is>
      </c>
      <c r="B10">
        <f>COUNTIFS('Operations &amp; Facilities'!A:A,$B$1,'Operations &amp; Facilities'!H:H,"No")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22" customWidth="1" min="4" max="4"/>
    <col width="20" customWidth="1" min="5" max="5"/>
    <col width="20" customWidth="1" min="6" max="6"/>
    <col width="20" customWidth="1" min="7" max="7"/>
    <col width="16" customWidth="1" min="8" max="8"/>
    <col width="18" customWidth="1" min="9" max="9"/>
    <col width="20" customWidth="1" min="10" max="10"/>
    <col width="20" customWidth="1" min="11" max="11"/>
    <col width="28" customWidth="1" min="13" max="13"/>
    <col width="12" customWidth="1" min="14" max="14"/>
  </cols>
  <sheetData>
    <row r="1">
      <c r="A1" s="1" t="inlineStr">
        <is>
          <t>Week</t>
        </is>
      </c>
      <c r="B1" s="1" t="inlineStr">
        <is>
          <t>Week Ending Date</t>
        </is>
      </c>
      <c r="C1" s="1" t="inlineStr">
        <is>
          <t>Subjects Behind</t>
        </is>
      </c>
      <c r="D1" s="1" t="inlineStr">
        <is>
          <t>Poor Discipline Classes</t>
        </is>
      </c>
      <c r="E1" s="1" t="inlineStr">
        <is>
          <t>Low Homework Classes</t>
        </is>
      </c>
      <c r="F1" s="1" t="inlineStr">
        <is>
          <t>Teachers Not Marking</t>
        </is>
      </c>
      <c r="G1" s="1" t="inlineStr">
        <is>
          <t>Facility Areas Poor</t>
        </is>
      </c>
      <c r="H1" s="1" t="inlineStr">
        <is>
          <t>Overall Score %</t>
        </is>
      </c>
      <c r="I1" s="1" t="inlineStr">
        <is>
          <t>Overall Rating</t>
        </is>
      </c>
      <c r="J1" s="1" t="inlineStr">
        <is>
          <t>Upper Campus Score %</t>
        </is>
      </c>
      <c r="K1" s="1" t="inlineStr">
        <is>
          <t>Lower Campus Score %</t>
        </is>
      </c>
      <c r="M1" s="2" t="inlineStr">
        <is>
          <t>Targets (Max acceptable per week)</t>
        </is>
      </c>
    </row>
    <row r="2">
      <c r="A2" t="inlineStr">
        <is>
          <t>Week 1</t>
        </is>
      </c>
      <c r="C2">
        <f>COUNTIFS('Subject Reports'!A:A,$B2,'Subject Reports'!G:G,"Behind")</f>
        <v/>
      </c>
      <c r="D2">
        <f>COUNTIFS('Class Reports'!A:A,$B2,'Class Reports'!G:G,"Poor")</f>
        <v/>
      </c>
      <c r="E2">
        <f>COUNTIFS('Class Reports'!A:A,$B2,'Class Reports'!H:H,"Low")</f>
        <v/>
      </c>
      <c r="F2">
        <f>COUNTIFS('Staff Weekly'!A:A,$B2,'Staff Weekly'!F:F,"No")</f>
        <v/>
      </c>
      <c r="G2">
        <f>COUNTIFS('Operations &amp; Facilities'!A:A,$B2,'Operations &amp; Facilities'!D:D,"Poor")</f>
        <v/>
      </c>
      <c r="H2">
        <f>ROUND(100*(((1-MIN(1,C2/$N$2))+(1-MIN(1,D2/$N$3))+(1-MIN(1,E2/$N$4))+(1-MIN(1,F2/$N$5))+(1-MIN(1,G2/$N$6)))/5),0)</f>
        <v/>
      </c>
      <c r="I2">
        <f>IF(H2&gt;=90,"Excellent",IF(H2&gt;=75,"Good",IF(H2&gt;=60,"Fair","Needs Improvement")))</f>
        <v/>
      </c>
      <c r="J2">
        <f>ROUND(100*(((1-MIN(1,COUNTIFS('Subject Reports'!A:A,$B2,'Subject Reports'!B:B,"Upper",'Subject Reports'!G:G,"Behind")/$N$2))+(1-MIN(1,COUNTIFS('Class Reports'!A:A,$B2,'Class Reports'!B:B,"Upper",'Class Reports'!G:G,"Poor")/$N$3))+(1-MIN(1,COUNTIFS('Class Reports'!A:A,$B2,'Class Reports'!B:B,"Upper",'Class Reports'!H:H,"Low")/$N$4))+(1-MIN(1,COUNTIFS('Staff Weekly'!A:A,$B2,'Staff Weekly'!B:B,"Upper",'Staff Weekly'!F:F,"No")/$N$5))+(1-MIN(1,COUNTIFS('Operations &amp; Facilities'!A:A,$B2,'Operations &amp; Facilities'!B:B,"Upper",'Operations &amp; Facilities'!D:D,"Poor")/$N$6)))/5),0)</f>
        <v/>
      </c>
      <c r="K2">
        <f>ROUND(100*(((1-MIN(1,COUNTIFS('Subject Reports'!A:A,$B2,'Subject Reports'!B:B,"Lower",'Subject Reports'!G:G,"Behind")/$N$2))+(1-MIN(1,COUNTIFS('Class Reports'!A:A,$B2,'Class Reports'!B:B,"Lower",'Class Reports'!G:G,"Poor")/$N$3))+(1-MIN(1,COUNTIFS('Class Reports'!A:A,$B2,'Class Reports'!B:B,"Lower",'Class Reports'!H:H,"Low")/$N$4))+(1-MIN(1,COUNTIFS('Staff Weekly'!A:A,$B2,'Staff Weekly'!B:B,"Lower",'Staff Weekly'!F:F,"No")/$N$5))+(1-MIN(1,COUNTIFS('Operations &amp; Facilities'!A:A,$B2,'Operations &amp; Facilities'!B:B,"Lower",'Operations &amp; Facilities'!D:D,"Poor")/$N$6)))/5),0)</f>
        <v/>
      </c>
      <c r="M2" s="2" t="inlineStr">
        <is>
          <t>Subjects Behind</t>
        </is>
      </c>
      <c r="N2" s="2" t="n">
        <v>3</v>
      </c>
    </row>
    <row r="3">
      <c r="A3" t="inlineStr">
        <is>
          <t>Week 2</t>
        </is>
      </c>
      <c r="C3">
        <f>COUNTIFS('Subject Reports'!A:A,$B3,'Subject Reports'!G:G,"Behind")</f>
        <v/>
      </c>
      <c r="D3">
        <f>COUNTIFS('Class Reports'!A:A,$B3,'Class Reports'!G:G,"Poor")</f>
        <v/>
      </c>
      <c r="E3">
        <f>COUNTIFS('Class Reports'!A:A,$B3,'Class Reports'!H:H,"Low")</f>
        <v/>
      </c>
      <c r="F3">
        <f>COUNTIFS('Staff Weekly'!A:A,$B3,'Staff Weekly'!F:F,"No")</f>
        <v/>
      </c>
      <c r="G3">
        <f>COUNTIFS('Operations &amp; Facilities'!A:A,$B3,'Operations &amp; Facilities'!D:D,"Poor")</f>
        <v/>
      </c>
      <c r="H3">
        <f>ROUND(100*(((1-MIN(1,C3/$N$2))+(1-MIN(1,D3/$N$3))+(1-MIN(1,E3/$N$4))+(1-MIN(1,F3/$N$5))+(1-MIN(1,G3/$N$6)))/5),0)</f>
        <v/>
      </c>
      <c r="I3">
        <f>IF(H3&gt;=90,"Excellent",IF(H3&gt;=75,"Good",IF(H3&gt;=60,"Fair","Needs Improvement")))</f>
        <v/>
      </c>
      <c r="J3">
        <f>ROUND(100*(((1-MIN(1,COUNTIFS('Subject Reports'!A:A,$B3,'Subject Reports'!B:B,"Upper",'Subject Reports'!G:G,"Behind")/$N$2))+(1-MIN(1,COUNTIFS('Class Reports'!A:A,$B3,'Class Reports'!B:B,"Upper",'Class Reports'!G:G,"Poor")/$N$3))+(1-MIN(1,COUNTIFS('Class Reports'!A:A,$B3,'Class Reports'!B:B,"Upper",'Class Reports'!H:H,"Low")/$N$4))+(1-MIN(1,COUNTIFS('Staff Weekly'!A:A,$B3,'Staff Weekly'!B:B,"Upper",'Staff Weekly'!F:F,"No")/$N$5))+(1-MIN(1,COUNTIFS('Operations &amp; Facilities'!A:A,$B3,'Operations &amp; Facilities'!B:B,"Upper",'Operations &amp; Facilities'!D:D,"Poor")/$N$6)))/5),0)</f>
        <v/>
      </c>
      <c r="K3">
        <f>ROUND(100*(((1-MIN(1,COUNTIFS('Subject Reports'!A:A,$B3,'Subject Reports'!B:B,"Lower",'Subject Reports'!G:G,"Behind")/$N$2))+(1-MIN(1,COUNTIFS('Class Reports'!A:A,$B3,'Class Reports'!B:B,"Lower",'Class Reports'!G:G,"Poor")/$N$3))+(1-MIN(1,COUNTIFS('Class Reports'!A:A,$B3,'Class Reports'!B:B,"Lower",'Class Reports'!H:H,"Low")/$N$4))+(1-MIN(1,COUNTIFS('Staff Weekly'!A:A,$B3,'Staff Weekly'!B:B,"Lower",'Staff Weekly'!F:F,"No")/$N$5))+(1-MIN(1,COUNTIFS('Operations &amp; Facilities'!A:A,$B3,'Operations &amp; Facilities'!B:B,"Lower",'Operations &amp; Facilities'!D:D,"Poor")/$N$6)))/5),0)</f>
        <v/>
      </c>
      <c r="M3" s="2" t="inlineStr">
        <is>
          <t>Poor Discipline</t>
        </is>
      </c>
      <c r="N3" s="2" t="n">
        <v>1</v>
      </c>
    </row>
    <row r="4">
      <c r="A4" t="inlineStr">
        <is>
          <t>Week 3</t>
        </is>
      </c>
      <c r="C4">
        <f>COUNTIFS('Subject Reports'!A:A,$B4,'Subject Reports'!G:G,"Behind")</f>
        <v/>
      </c>
      <c r="D4">
        <f>COUNTIFS('Class Reports'!A:A,$B4,'Class Reports'!G:G,"Poor")</f>
        <v/>
      </c>
      <c r="E4">
        <f>COUNTIFS('Class Reports'!A:A,$B4,'Class Reports'!H:H,"Low")</f>
        <v/>
      </c>
      <c r="F4">
        <f>COUNTIFS('Staff Weekly'!A:A,$B4,'Staff Weekly'!F:F,"No")</f>
        <v/>
      </c>
      <c r="G4">
        <f>COUNTIFS('Operations &amp; Facilities'!A:A,$B4,'Operations &amp; Facilities'!D:D,"Poor")</f>
        <v/>
      </c>
      <c r="H4">
        <f>ROUND(100*(((1-MIN(1,C4/$N$2))+(1-MIN(1,D4/$N$3))+(1-MIN(1,E4/$N$4))+(1-MIN(1,F4/$N$5))+(1-MIN(1,G4/$N$6)))/5),0)</f>
        <v/>
      </c>
      <c r="I4">
        <f>IF(H4&gt;=90,"Excellent",IF(H4&gt;=75,"Good",IF(H4&gt;=60,"Fair","Needs Improvement")))</f>
        <v/>
      </c>
      <c r="J4">
        <f>ROUND(100*(((1-MIN(1,COUNTIFS('Subject Reports'!A:A,$B4,'Subject Reports'!B:B,"Upper",'Subject Reports'!G:G,"Behind")/$N$2))+(1-MIN(1,COUNTIFS('Class Reports'!A:A,$B4,'Class Reports'!B:B,"Upper",'Class Reports'!G:G,"Poor")/$N$3))+(1-MIN(1,COUNTIFS('Class Reports'!A:A,$B4,'Class Reports'!B:B,"Upper",'Class Reports'!H:H,"Low")/$N$4))+(1-MIN(1,COUNTIFS('Staff Weekly'!A:A,$B4,'Staff Weekly'!B:B,"Upper",'Staff Weekly'!F:F,"No")/$N$5))+(1-MIN(1,COUNTIFS('Operations &amp; Facilities'!A:A,$B4,'Operations &amp; Facilities'!B:B,"Upper",'Operations &amp; Facilities'!D:D,"Poor")/$N$6)))/5),0)</f>
        <v/>
      </c>
      <c r="K4">
        <f>ROUND(100*(((1-MIN(1,COUNTIFS('Subject Reports'!A:A,$B4,'Subject Reports'!B:B,"Lower",'Subject Reports'!G:G,"Behind")/$N$2))+(1-MIN(1,COUNTIFS('Class Reports'!A:A,$B4,'Class Reports'!B:B,"Lower",'Class Reports'!G:G,"Poor")/$N$3))+(1-MIN(1,COUNTIFS('Class Reports'!A:A,$B4,'Class Reports'!B:B,"Lower",'Class Reports'!H:H,"Low")/$N$4))+(1-MIN(1,COUNTIFS('Staff Weekly'!A:A,$B4,'Staff Weekly'!B:B,"Lower",'Staff Weekly'!F:F,"No")/$N$5))+(1-MIN(1,COUNTIFS('Operations &amp; Facilities'!A:A,$B4,'Operations &amp; Facilities'!B:B,"Lower",'Operations &amp; Facilities'!D:D,"Poor")/$N$6)))/5),0)</f>
        <v/>
      </c>
      <c r="M4" s="2" t="inlineStr">
        <is>
          <t>Low Homework</t>
        </is>
      </c>
      <c r="N4" s="2" t="n">
        <v>2</v>
      </c>
    </row>
    <row r="5">
      <c r="A5" t="inlineStr">
        <is>
          <t>Week 4</t>
        </is>
      </c>
      <c r="C5">
        <f>COUNTIFS('Subject Reports'!A:A,$B5,'Subject Reports'!G:G,"Behind")</f>
        <v/>
      </c>
      <c r="D5">
        <f>COUNTIFS('Class Reports'!A:A,$B5,'Class Reports'!G:G,"Poor")</f>
        <v/>
      </c>
      <c r="E5">
        <f>COUNTIFS('Class Reports'!A:A,$B5,'Class Reports'!H:H,"Low")</f>
        <v/>
      </c>
      <c r="F5">
        <f>COUNTIFS('Staff Weekly'!A:A,$B5,'Staff Weekly'!F:F,"No")</f>
        <v/>
      </c>
      <c r="G5">
        <f>COUNTIFS('Operations &amp; Facilities'!A:A,$B5,'Operations &amp; Facilities'!D:D,"Poor")</f>
        <v/>
      </c>
      <c r="H5">
        <f>ROUND(100*(((1-MIN(1,C5/$N$2))+(1-MIN(1,D5/$N$3))+(1-MIN(1,E5/$N$4))+(1-MIN(1,F5/$N$5))+(1-MIN(1,G5/$N$6)))/5),0)</f>
        <v/>
      </c>
      <c r="I5">
        <f>IF(H5&gt;=90,"Excellent",IF(H5&gt;=75,"Good",IF(H5&gt;=60,"Fair","Needs Improvement")))</f>
        <v/>
      </c>
      <c r="J5">
        <f>ROUND(100*(((1-MIN(1,COUNTIFS('Subject Reports'!A:A,$B5,'Subject Reports'!B:B,"Upper",'Subject Reports'!G:G,"Behind")/$N$2))+(1-MIN(1,COUNTIFS('Class Reports'!A:A,$B5,'Class Reports'!B:B,"Upper",'Class Reports'!G:G,"Poor")/$N$3))+(1-MIN(1,COUNTIFS('Class Reports'!A:A,$B5,'Class Reports'!B:B,"Upper",'Class Reports'!H:H,"Low")/$N$4))+(1-MIN(1,COUNTIFS('Staff Weekly'!A:A,$B5,'Staff Weekly'!B:B,"Upper",'Staff Weekly'!F:F,"No")/$N$5))+(1-MIN(1,COUNTIFS('Operations &amp; Facilities'!A:A,$B5,'Operations &amp; Facilities'!B:B,"Upper",'Operations &amp; Facilities'!D:D,"Poor")/$N$6)))/5),0)</f>
        <v/>
      </c>
      <c r="K5">
        <f>ROUND(100*(((1-MIN(1,COUNTIFS('Subject Reports'!A:A,$B5,'Subject Reports'!B:B,"Lower",'Subject Reports'!G:G,"Behind")/$N$2))+(1-MIN(1,COUNTIFS('Class Reports'!A:A,$B5,'Class Reports'!B:B,"Lower",'Class Reports'!G:G,"Poor")/$N$3))+(1-MIN(1,COUNTIFS('Class Reports'!A:A,$B5,'Class Reports'!B:B,"Lower",'Class Reports'!H:H,"Low")/$N$4))+(1-MIN(1,COUNTIFS('Staff Weekly'!A:A,$B5,'Staff Weekly'!B:B,"Lower",'Staff Weekly'!F:F,"No")/$N$5))+(1-MIN(1,COUNTIFS('Operations &amp; Facilities'!A:A,$B5,'Operations &amp; Facilities'!B:B,"Lower",'Operations &amp; Facilities'!D:D,"Poor")/$N$6)))/5),0)</f>
        <v/>
      </c>
      <c r="M5" s="2" t="inlineStr">
        <is>
          <t>Not Marking</t>
        </is>
      </c>
      <c r="N5" s="2" t="n">
        <v>1</v>
      </c>
    </row>
    <row r="6">
      <c r="A6" t="inlineStr">
        <is>
          <t>Week 5</t>
        </is>
      </c>
      <c r="C6">
        <f>COUNTIFS('Subject Reports'!A:A,$B6,'Subject Reports'!G:G,"Behind")</f>
        <v/>
      </c>
      <c r="D6">
        <f>COUNTIFS('Class Reports'!A:A,$B6,'Class Reports'!G:G,"Poor")</f>
        <v/>
      </c>
      <c r="E6">
        <f>COUNTIFS('Class Reports'!A:A,$B6,'Class Reports'!H:H,"Low")</f>
        <v/>
      </c>
      <c r="F6">
        <f>COUNTIFS('Staff Weekly'!A:A,$B6,'Staff Weekly'!F:F,"No")</f>
        <v/>
      </c>
      <c r="G6">
        <f>COUNTIFS('Operations &amp; Facilities'!A:A,$B6,'Operations &amp; Facilities'!D:D,"Poor")</f>
        <v/>
      </c>
      <c r="H6">
        <f>ROUND(100*(((1-MIN(1,C6/$N$2))+(1-MIN(1,D6/$N$3))+(1-MIN(1,E6/$N$4))+(1-MIN(1,F6/$N$5))+(1-MIN(1,G6/$N$6)))/5),0)</f>
        <v/>
      </c>
      <c r="I6">
        <f>IF(H6&gt;=90,"Excellent",IF(H6&gt;=75,"Good",IF(H6&gt;=60,"Fair","Needs Improvement")))</f>
        <v/>
      </c>
      <c r="J6">
        <f>ROUND(100*(((1-MIN(1,COUNTIFS('Subject Reports'!A:A,$B6,'Subject Reports'!B:B,"Upper",'Subject Reports'!G:G,"Behind")/$N$2))+(1-MIN(1,COUNTIFS('Class Reports'!A:A,$B6,'Class Reports'!B:B,"Upper",'Class Reports'!G:G,"Poor")/$N$3))+(1-MIN(1,COUNTIFS('Class Reports'!A:A,$B6,'Class Reports'!B:B,"Upper",'Class Reports'!H:H,"Low")/$N$4))+(1-MIN(1,COUNTIFS('Staff Weekly'!A:A,$B6,'Staff Weekly'!B:B,"Upper",'Staff Weekly'!F:F,"No")/$N$5))+(1-MIN(1,COUNTIFS('Operations &amp; Facilities'!A:A,$B6,'Operations &amp; Facilities'!B:B,"Upper",'Operations &amp; Facilities'!D:D,"Poor")/$N$6)))/5),0)</f>
        <v/>
      </c>
      <c r="K6">
        <f>ROUND(100*(((1-MIN(1,COUNTIFS('Subject Reports'!A:A,$B6,'Subject Reports'!B:B,"Lower",'Subject Reports'!G:G,"Behind")/$N$2))+(1-MIN(1,COUNTIFS('Class Reports'!A:A,$B6,'Class Reports'!B:B,"Lower",'Class Reports'!G:G,"Poor")/$N$3))+(1-MIN(1,COUNTIFS('Class Reports'!A:A,$B6,'Class Reports'!B:B,"Lower",'Class Reports'!H:H,"Low")/$N$4))+(1-MIN(1,COUNTIFS('Staff Weekly'!A:A,$B6,'Staff Weekly'!B:B,"Lower",'Staff Weekly'!F:F,"No")/$N$5))+(1-MIN(1,COUNTIFS('Operations &amp; Facilities'!A:A,$B6,'Operations &amp; Facilities'!B:B,"Lower",'Operations &amp; Facilities'!D:D,"Poor")/$N$6)))/5),0)</f>
        <v/>
      </c>
      <c r="M6" s="2" t="inlineStr">
        <is>
          <t>Facility Poor</t>
        </is>
      </c>
      <c r="N6" s="2" t="n">
        <v>1</v>
      </c>
    </row>
    <row r="7">
      <c r="A7" t="inlineStr">
        <is>
          <t>Week 6</t>
        </is>
      </c>
      <c r="C7">
        <f>COUNTIFS('Subject Reports'!A:A,$B7,'Subject Reports'!G:G,"Behind")</f>
        <v/>
      </c>
      <c r="D7">
        <f>COUNTIFS('Class Reports'!A:A,$B7,'Class Reports'!G:G,"Poor")</f>
        <v/>
      </c>
      <c r="E7">
        <f>COUNTIFS('Class Reports'!A:A,$B7,'Class Reports'!H:H,"Low")</f>
        <v/>
      </c>
      <c r="F7">
        <f>COUNTIFS('Staff Weekly'!A:A,$B7,'Staff Weekly'!F:F,"No")</f>
        <v/>
      </c>
      <c r="G7">
        <f>COUNTIFS('Operations &amp; Facilities'!A:A,$B7,'Operations &amp; Facilities'!D:D,"Poor")</f>
        <v/>
      </c>
      <c r="H7">
        <f>ROUND(100*(((1-MIN(1,C7/$N$2))+(1-MIN(1,D7/$N$3))+(1-MIN(1,E7/$N$4))+(1-MIN(1,F7/$N$5))+(1-MIN(1,G7/$N$6)))/5),0)</f>
        <v/>
      </c>
      <c r="I7">
        <f>IF(H7&gt;=90,"Excellent",IF(H7&gt;=75,"Good",IF(H7&gt;=60,"Fair","Needs Improvement")))</f>
        <v/>
      </c>
      <c r="J7">
        <f>ROUND(100*(((1-MIN(1,COUNTIFS('Subject Reports'!A:A,$B7,'Subject Reports'!B:B,"Upper",'Subject Reports'!G:G,"Behind")/$N$2))+(1-MIN(1,COUNTIFS('Class Reports'!A:A,$B7,'Class Reports'!B:B,"Upper",'Class Reports'!G:G,"Poor")/$N$3))+(1-MIN(1,COUNTIFS('Class Reports'!A:A,$B7,'Class Reports'!B:B,"Upper",'Class Reports'!H:H,"Low")/$N$4))+(1-MIN(1,COUNTIFS('Staff Weekly'!A:A,$B7,'Staff Weekly'!B:B,"Upper",'Staff Weekly'!F:F,"No")/$N$5))+(1-MIN(1,COUNTIFS('Operations &amp; Facilities'!A:A,$B7,'Operations &amp; Facilities'!B:B,"Upper",'Operations &amp; Facilities'!D:D,"Poor")/$N$6)))/5),0)</f>
        <v/>
      </c>
      <c r="K7">
        <f>ROUND(100*(((1-MIN(1,COUNTIFS('Subject Reports'!A:A,$B7,'Subject Reports'!B:B,"Lower",'Subject Reports'!G:G,"Behind")/$N$2))+(1-MIN(1,COUNTIFS('Class Reports'!A:A,$B7,'Class Reports'!B:B,"Lower",'Class Reports'!G:G,"Poor")/$N$3))+(1-MIN(1,COUNTIFS('Class Reports'!A:A,$B7,'Class Reports'!B:B,"Lower",'Class Reports'!H:H,"Low")/$N$4))+(1-MIN(1,COUNTIFS('Staff Weekly'!A:A,$B7,'Staff Weekly'!B:B,"Lower",'Staff Weekly'!F:F,"No")/$N$5))+(1-MIN(1,COUNTIFS('Operations &amp; Facilities'!A:A,$B7,'Operations &amp; Facilities'!B:B,"Lower",'Operations &amp; Facilities'!D:D,"Poor")/$N$6)))/5),0)</f>
        <v/>
      </c>
    </row>
    <row r="8">
      <c r="A8" t="inlineStr">
        <is>
          <t>Week 7</t>
        </is>
      </c>
      <c r="C8">
        <f>COUNTIFS('Subject Reports'!A:A,$B8,'Subject Reports'!G:G,"Behind")</f>
        <v/>
      </c>
      <c r="D8">
        <f>COUNTIFS('Class Reports'!A:A,$B8,'Class Reports'!G:G,"Poor")</f>
        <v/>
      </c>
      <c r="E8">
        <f>COUNTIFS('Class Reports'!A:A,$B8,'Class Reports'!H:H,"Low")</f>
        <v/>
      </c>
      <c r="F8">
        <f>COUNTIFS('Staff Weekly'!A:A,$B8,'Staff Weekly'!F:F,"No")</f>
        <v/>
      </c>
      <c r="G8">
        <f>COUNTIFS('Operations &amp; Facilities'!A:A,$B8,'Operations &amp; Facilities'!D:D,"Poor")</f>
        <v/>
      </c>
      <c r="H8">
        <f>ROUND(100*(((1-MIN(1,C8/$N$2))+(1-MIN(1,D8/$N$3))+(1-MIN(1,E8/$N$4))+(1-MIN(1,F8/$N$5))+(1-MIN(1,G8/$N$6)))/5),0)</f>
        <v/>
      </c>
      <c r="I8">
        <f>IF(H8&gt;=90,"Excellent",IF(H8&gt;=75,"Good",IF(H8&gt;=60,"Fair","Needs Improvement")))</f>
        <v/>
      </c>
      <c r="J8">
        <f>ROUND(100*(((1-MIN(1,COUNTIFS('Subject Reports'!A:A,$B8,'Subject Reports'!B:B,"Upper",'Subject Reports'!G:G,"Behind")/$N$2))+(1-MIN(1,COUNTIFS('Class Reports'!A:A,$B8,'Class Reports'!B:B,"Upper",'Class Reports'!G:G,"Poor")/$N$3))+(1-MIN(1,COUNTIFS('Class Reports'!A:A,$B8,'Class Reports'!B:B,"Upper",'Class Reports'!H:H,"Low")/$N$4))+(1-MIN(1,COUNTIFS('Staff Weekly'!A:A,$B8,'Staff Weekly'!B:B,"Upper",'Staff Weekly'!F:F,"No")/$N$5))+(1-MIN(1,COUNTIFS('Operations &amp; Facilities'!A:A,$B8,'Operations &amp; Facilities'!B:B,"Upper",'Operations &amp; Facilities'!D:D,"Poor")/$N$6)))/5),0)</f>
        <v/>
      </c>
      <c r="K8">
        <f>ROUND(100*(((1-MIN(1,COUNTIFS('Subject Reports'!A:A,$B8,'Subject Reports'!B:B,"Lower",'Subject Reports'!G:G,"Behind")/$N$2))+(1-MIN(1,COUNTIFS('Class Reports'!A:A,$B8,'Class Reports'!B:B,"Lower",'Class Reports'!G:G,"Poor")/$N$3))+(1-MIN(1,COUNTIFS('Class Reports'!A:A,$B8,'Class Reports'!B:B,"Lower",'Class Reports'!H:H,"Low")/$N$4))+(1-MIN(1,COUNTIFS('Staff Weekly'!A:A,$B8,'Staff Weekly'!B:B,"Lower",'Staff Weekly'!F:F,"No")/$N$5))+(1-MIN(1,COUNTIFS('Operations &amp; Facilities'!A:A,$B8,'Operations &amp; Facilities'!B:B,"Lower",'Operations &amp; Facilities'!D:D,"Poor")/$N$6)))/5),0)</f>
        <v/>
      </c>
    </row>
    <row r="9">
      <c r="A9" t="inlineStr">
        <is>
          <t>Week 8</t>
        </is>
      </c>
      <c r="C9">
        <f>COUNTIFS('Subject Reports'!A:A,$B9,'Subject Reports'!G:G,"Behind")</f>
        <v/>
      </c>
      <c r="D9">
        <f>COUNTIFS('Class Reports'!A:A,$B9,'Class Reports'!G:G,"Poor")</f>
        <v/>
      </c>
      <c r="E9">
        <f>COUNTIFS('Class Reports'!A:A,$B9,'Class Reports'!H:H,"Low")</f>
        <v/>
      </c>
      <c r="F9">
        <f>COUNTIFS('Staff Weekly'!A:A,$B9,'Staff Weekly'!F:F,"No")</f>
        <v/>
      </c>
      <c r="G9">
        <f>COUNTIFS('Operations &amp; Facilities'!A:A,$B9,'Operations &amp; Facilities'!D:D,"Poor")</f>
        <v/>
      </c>
      <c r="H9">
        <f>ROUND(100*(((1-MIN(1,C9/$N$2))+(1-MIN(1,D9/$N$3))+(1-MIN(1,E9/$N$4))+(1-MIN(1,F9/$N$5))+(1-MIN(1,G9/$N$6)))/5),0)</f>
        <v/>
      </c>
      <c r="I9">
        <f>IF(H9&gt;=90,"Excellent",IF(H9&gt;=75,"Good",IF(H9&gt;=60,"Fair","Needs Improvement")))</f>
        <v/>
      </c>
      <c r="J9">
        <f>ROUND(100*(((1-MIN(1,COUNTIFS('Subject Reports'!A:A,$B9,'Subject Reports'!B:B,"Upper",'Subject Reports'!G:G,"Behind")/$N$2))+(1-MIN(1,COUNTIFS('Class Reports'!A:A,$B9,'Class Reports'!B:B,"Upper",'Class Reports'!G:G,"Poor")/$N$3))+(1-MIN(1,COUNTIFS('Class Reports'!A:A,$B9,'Class Reports'!B:B,"Upper",'Class Reports'!H:H,"Low")/$N$4))+(1-MIN(1,COUNTIFS('Staff Weekly'!A:A,$B9,'Staff Weekly'!B:B,"Upper",'Staff Weekly'!F:F,"No")/$N$5))+(1-MIN(1,COUNTIFS('Operations &amp; Facilities'!A:A,$B9,'Operations &amp; Facilities'!B:B,"Upper",'Operations &amp; Facilities'!D:D,"Poor")/$N$6)))/5),0)</f>
        <v/>
      </c>
      <c r="K9">
        <f>ROUND(100*(((1-MIN(1,COUNTIFS('Subject Reports'!A:A,$B9,'Subject Reports'!B:B,"Lower",'Subject Reports'!G:G,"Behind")/$N$2))+(1-MIN(1,COUNTIFS('Class Reports'!A:A,$B9,'Class Reports'!B:B,"Lower",'Class Reports'!G:G,"Poor")/$N$3))+(1-MIN(1,COUNTIFS('Class Reports'!A:A,$B9,'Class Reports'!B:B,"Lower",'Class Reports'!H:H,"Low")/$N$4))+(1-MIN(1,COUNTIFS('Staff Weekly'!A:A,$B9,'Staff Weekly'!B:B,"Lower",'Staff Weekly'!F:F,"No")/$N$5))+(1-MIN(1,COUNTIFS('Operations &amp; Facilities'!A:A,$B9,'Operations &amp; Facilities'!B:B,"Lower",'Operations &amp; Facilities'!D:D,"Poor")/$N$6)))/5),0)</f>
        <v/>
      </c>
    </row>
    <row r="10">
      <c r="A10" t="inlineStr">
        <is>
          <t>Week 9</t>
        </is>
      </c>
      <c r="C10">
        <f>COUNTIFS('Subject Reports'!A:A,$B10,'Subject Reports'!G:G,"Behind")</f>
        <v/>
      </c>
      <c r="D10">
        <f>COUNTIFS('Class Reports'!A:A,$B10,'Class Reports'!G:G,"Poor")</f>
        <v/>
      </c>
      <c r="E10">
        <f>COUNTIFS('Class Reports'!A:A,$B10,'Class Reports'!H:H,"Low")</f>
        <v/>
      </c>
      <c r="F10">
        <f>COUNTIFS('Staff Weekly'!A:A,$B10,'Staff Weekly'!F:F,"No")</f>
        <v/>
      </c>
      <c r="G10">
        <f>COUNTIFS('Operations &amp; Facilities'!A:A,$B10,'Operations &amp; Facilities'!D:D,"Poor")</f>
        <v/>
      </c>
      <c r="H10">
        <f>ROUND(100*(((1-MIN(1,C10/$N$2))+(1-MIN(1,D10/$N$3))+(1-MIN(1,E10/$N$4))+(1-MIN(1,F10/$N$5))+(1-MIN(1,G10/$N$6)))/5),0)</f>
        <v/>
      </c>
      <c r="I10">
        <f>IF(H10&gt;=90,"Excellent",IF(H10&gt;=75,"Good",IF(H10&gt;=60,"Fair","Needs Improvement")))</f>
        <v/>
      </c>
      <c r="J10">
        <f>ROUND(100*(((1-MIN(1,COUNTIFS('Subject Reports'!A:A,$B10,'Subject Reports'!B:B,"Upper",'Subject Reports'!G:G,"Behind")/$N$2))+(1-MIN(1,COUNTIFS('Class Reports'!A:A,$B10,'Class Reports'!B:B,"Upper",'Class Reports'!G:G,"Poor")/$N$3))+(1-MIN(1,COUNTIFS('Class Reports'!A:A,$B10,'Class Reports'!B:B,"Upper",'Class Reports'!H:H,"Low")/$N$4))+(1-MIN(1,COUNTIFS('Staff Weekly'!A:A,$B10,'Staff Weekly'!B:B,"Upper",'Staff Weekly'!F:F,"No")/$N$5))+(1-MIN(1,COUNTIFS('Operations &amp; Facilities'!A:A,$B10,'Operations &amp; Facilities'!B:B,"Upper",'Operations &amp; Facilities'!D:D,"Poor")/$N$6)))/5),0)</f>
        <v/>
      </c>
      <c r="K10">
        <f>ROUND(100*(((1-MIN(1,COUNTIFS('Subject Reports'!A:A,$B10,'Subject Reports'!B:B,"Lower",'Subject Reports'!G:G,"Behind")/$N$2))+(1-MIN(1,COUNTIFS('Class Reports'!A:A,$B10,'Class Reports'!B:B,"Lower",'Class Reports'!G:G,"Poor")/$N$3))+(1-MIN(1,COUNTIFS('Class Reports'!A:A,$B10,'Class Reports'!B:B,"Lower",'Class Reports'!H:H,"Low")/$N$4))+(1-MIN(1,COUNTIFS('Staff Weekly'!A:A,$B10,'Staff Weekly'!B:B,"Lower",'Staff Weekly'!F:F,"No")/$N$5))+(1-MIN(1,COUNTIFS('Operations &amp; Facilities'!A:A,$B10,'Operations &amp; Facilities'!B:B,"Lower",'Operations &amp; Facilities'!D:D,"Poor")/$N$6)))/5),0)</f>
        <v/>
      </c>
    </row>
    <row r="11">
      <c r="A11" t="inlineStr">
        <is>
          <t>Week 10</t>
        </is>
      </c>
      <c r="C11">
        <f>COUNTIFS('Subject Reports'!A:A,$B11,'Subject Reports'!G:G,"Behind")</f>
        <v/>
      </c>
      <c r="D11">
        <f>COUNTIFS('Class Reports'!A:A,$B11,'Class Reports'!G:G,"Poor")</f>
        <v/>
      </c>
      <c r="E11">
        <f>COUNTIFS('Class Reports'!A:A,$B11,'Class Reports'!H:H,"Low")</f>
        <v/>
      </c>
      <c r="F11">
        <f>COUNTIFS('Staff Weekly'!A:A,$B11,'Staff Weekly'!F:F,"No")</f>
        <v/>
      </c>
      <c r="G11">
        <f>COUNTIFS('Operations &amp; Facilities'!A:A,$B11,'Operations &amp; Facilities'!D:D,"Poor")</f>
        <v/>
      </c>
      <c r="H11">
        <f>ROUND(100*(((1-MIN(1,C11/$N$2))+(1-MIN(1,D11/$N$3))+(1-MIN(1,E11/$N$4))+(1-MIN(1,F11/$N$5))+(1-MIN(1,G11/$N$6)))/5),0)</f>
        <v/>
      </c>
      <c r="I11">
        <f>IF(H11&gt;=90,"Excellent",IF(H11&gt;=75,"Good",IF(H11&gt;=60,"Fair","Needs Improvement")))</f>
        <v/>
      </c>
      <c r="J11">
        <f>ROUND(100*(((1-MIN(1,COUNTIFS('Subject Reports'!A:A,$B11,'Subject Reports'!B:B,"Upper",'Subject Reports'!G:G,"Behind")/$N$2))+(1-MIN(1,COUNTIFS('Class Reports'!A:A,$B11,'Class Reports'!B:B,"Upper",'Class Reports'!G:G,"Poor")/$N$3))+(1-MIN(1,COUNTIFS('Class Reports'!A:A,$B11,'Class Reports'!B:B,"Upper",'Class Reports'!H:H,"Low")/$N$4))+(1-MIN(1,COUNTIFS('Staff Weekly'!A:A,$B11,'Staff Weekly'!B:B,"Upper",'Staff Weekly'!F:F,"No")/$N$5))+(1-MIN(1,COUNTIFS('Operations &amp; Facilities'!A:A,$B11,'Operations &amp; Facilities'!B:B,"Upper",'Operations &amp; Facilities'!D:D,"Poor")/$N$6)))/5),0)</f>
        <v/>
      </c>
      <c r="K11">
        <f>ROUND(100*(((1-MIN(1,COUNTIFS('Subject Reports'!A:A,$B11,'Subject Reports'!B:B,"Lower",'Subject Reports'!G:G,"Behind")/$N$2))+(1-MIN(1,COUNTIFS('Class Reports'!A:A,$B11,'Class Reports'!B:B,"Lower",'Class Reports'!G:G,"Poor")/$N$3))+(1-MIN(1,COUNTIFS('Class Reports'!A:A,$B11,'Class Reports'!B:B,"Lower",'Class Reports'!H:H,"Low")/$N$4))+(1-MIN(1,COUNTIFS('Staff Weekly'!A:A,$B11,'Staff Weekly'!B:B,"Lower",'Staff Weekly'!F:F,"No")/$N$5))+(1-MIN(1,COUNTIFS('Operations &amp; Facilities'!A:A,$B11,'Operations &amp; Facilities'!B:B,"Lower",'Operations &amp; Facilities'!D:D,"Poor")/$N$6)))/5),0)</f>
        <v/>
      </c>
    </row>
    <row r="12">
      <c r="A12" t="inlineStr">
        <is>
          <t>Week 11</t>
        </is>
      </c>
      <c r="C12">
        <f>COUNTIFS('Subject Reports'!A:A,$B12,'Subject Reports'!G:G,"Behind")</f>
        <v/>
      </c>
      <c r="D12">
        <f>COUNTIFS('Class Reports'!A:A,$B12,'Class Reports'!G:G,"Poor")</f>
        <v/>
      </c>
      <c r="E12">
        <f>COUNTIFS('Class Reports'!A:A,$B12,'Class Reports'!H:H,"Low")</f>
        <v/>
      </c>
      <c r="F12">
        <f>COUNTIFS('Staff Weekly'!A:A,$B12,'Staff Weekly'!F:F,"No")</f>
        <v/>
      </c>
      <c r="G12">
        <f>COUNTIFS('Operations &amp; Facilities'!A:A,$B12,'Operations &amp; Facilities'!D:D,"Poor")</f>
        <v/>
      </c>
      <c r="H12">
        <f>ROUND(100*(((1-MIN(1,C12/$N$2))+(1-MIN(1,D12/$N$3))+(1-MIN(1,E12/$N$4))+(1-MIN(1,F12/$N$5))+(1-MIN(1,G12/$N$6)))/5),0)</f>
        <v/>
      </c>
      <c r="I12">
        <f>IF(H12&gt;=90,"Excellent",IF(H12&gt;=75,"Good",IF(H12&gt;=60,"Fair","Needs Improvement")))</f>
        <v/>
      </c>
      <c r="J12">
        <f>ROUND(100*(((1-MIN(1,COUNTIFS('Subject Reports'!A:A,$B12,'Subject Reports'!B:B,"Upper",'Subject Reports'!G:G,"Behind")/$N$2))+(1-MIN(1,COUNTIFS('Class Reports'!A:A,$B12,'Class Reports'!B:B,"Upper",'Class Reports'!G:G,"Poor")/$N$3))+(1-MIN(1,COUNTIFS('Class Reports'!A:A,$B12,'Class Reports'!B:B,"Upper",'Class Reports'!H:H,"Low")/$N$4))+(1-MIN(1,COUNTIFS('Staff Weekly'!A:A,$B12,'Staff Weekly'!B:B,"Upper",'Staff Weekly'!F:F,"No")/$N$5))+(1-MIN(1,COUNTIFS('Operations &amp; Facilities'!A:A,$B12,'Operations &amp; Facilities'!B:B,"Upper",'Operations &amp; Facilities'!D:D,"Poor")/$N$6)))/5),0)</f>
        <v/>
      </c>
      <c r="K12">
        <f>ROUND(100*(((1-MIN(1,COUNTIFS('Subject Reports'!A:A,$B12,'Subject Reports'!B:B,"Lower",'Subject Reports'!G:G,"Behind")/$N$2))+(1-MIN(1,COUNTIFS('Class Reports'!A:A,$B12,'Class Reports'!B:B,"Lower",'Class Reports'!G:G,"Poor")/$N$3))+(1-MIN(1,COUNTIFS('Class Reports'!A:A,$B12,'Class Reports'!B:B,"Lower",'Class Reports'!H:H,"Low")/$N$4))+(1-MIN(1,COUNTIFS('Staff Weekly'!A:A,$B12,'Staff Weekly'!B:B,"Lower",'Staff Weekly'!F:F,"No")/$N$5))+(1-MIN(1,COUNTIFS('Operations &amp; Facilities'!A:A,$B12,'Operations &amp; Facilities'!B:B,"Lower",'Operations &amp; Facilities'!D:D,"Poor")/$N$6)))/5),0)</f>
        <v/>
      </c>
    </row>
    <row r="13">
      <c r="A13" t="inlineStr">
        <is>
          <t>Week 12</t>
        </is>
      </c>
      <c r="C13">
        <f>COUNTIFS('Subject Reports'!A:A,$B13,'Subject Reports'!G:G,"Behind")</f>
        <v/>
      </c>
      <c r="D13">
        <f>COUNTIFS('Class Reports'!A:A,$B13,'Class Reports'!G:G,"Poor")</f>
        <v/>
      </c>
      <c r="E13">
        <f>COUNTIFS('Class Reports'!A:A,$B13,'Class Reports'!H:H,"Low")</f>
        <v/>
      </c>
      <c r="F13">
        <f>COUNTIFS('Staff Weekly'!A:A,$B13,'Staff Weekly'!F:F,"No")</f>
        <v/>
      </c>
      <c r="G13">
        <f>COUNTIFS('Operations &amp; Facilities'!A:A,$B13,'Operations &amp; Facilities'!D:D,"Poor")</f>
        <v/>
      </c>
      <c r="H13">
        <f>ROUND(100*(((1-MIN(1,C13/$N$2))+(1-MIN(1,D13/$N$3))+(1-MIN(1,E13/$N$4))+(1-MIN(1,F13/$N$5))+(1-MIN(1,G13/$N$6)))/5),0)</f>
        <v/>
      </c>
      <c r="I13">
        <f>IF(H13&gt;=90,"Excellent",IF(H13&gt;=75,"Good",IF(H13&gt;=60,"Fair","Needs Improvement")))</f>
        <v/>
      </c>
      <c r="J13">
        <f>ROUND(100*(((1-MIN(1,COUNTIFS('Subject Reports'!A:A,$B13,'Subject Reports'!B:B,"Upper",'Subject Reports'!G:G,"Behind")/$N$2))+(1-MIN(1,COUNTIFS('Class Reports'!A:A,$B13,'Class Reports'!B:B,"Upper",'Class Reports'!G:G,"Poor")/$N$3))+(1-MIN(1,COUNTIFS('Class Reports'!A:A,$B13,'Class Reports'!B:B,"Upper",'Class Reports'!H:H,"Low")/$N$4))+(1-MIN(1,COUNTIFS('Staff Weekly'!A:A,$B13,'Staff Weekly'!B:B,"Upper",'Staff Weekly'!F:F,"No")/$N$5))+(1-MIN(1,COUNTIFS('Operations &amp; Facilities'!A:A,$B13,'Operations &amp; Facilities'!B:B,"Upper",'Operations &amp; Facilities'!D:D,"Poor")/$N$6)))/5),0)</f>
        <v/>
      </c>
      <c r="K13">
        <f>ROUND(100*(((1-MIN(1,COUNTIFS('Subject Reports'!A:A,$B13,'Subject Reports'!B:B,"Lower",'Subject Reports'!G:G,"Behind")/$N$2))+(1-MIN(1,COUNTIFS('Class Reports'!A:A,$B13,'Class Reports'!B:B,"Lower",'Class Reports'!G:G,"Poor")/$N$3))+(1-MIN(1,COUNTIFS('Class Reports'!A:A,$B13,'Class Reports'!B:B,"Lower",'Class Reports'!H:H,"Low")/$N$4))+(1-MIN(1,COUNTIFS('Staff Weekly'!A:A,$B13,'Staff Weekly'!B:B,"Lower",'Staff Weekly'!F:F,"No")/$N$5))+(1-MIN(1,COUNTIFS('Operations &amp; Facilities'!A:A,$B13,'Operations &amp; Facilities'!B:B,"Lower",'Operations &amp; Facilities'!D:D,"Poor")/$N$6)))/5),0)</f>
        <v/>
      </c>
    </row>
    <row r="14">
      <c r="A14" t="inlineStr">
        <is>
          <t>Week 13</t>
        </is>
      </c>
      <c r="C14">
        <f>COUNTIFS('Subject Reports'!A:A,$B14,'Subject Reports'!G:G,"Behind")</f>
        <v/>
      </c>
      <c r="D14">
        <f>COUNTIFS('Class Reports'!A:A,$B14,'Class Reports'!G:G,"Poor")</f>
        <v/>
      </c>
      <c r="E14">
        <f>COUNTIFS('Class Reports'!A:A,$B14,'Class Reports'!H:H,"Low")</f>
        <v/>
      </c>
      <c r="F14">
        <f>COUNTIFS('Staff Weekly'!A:A,$B14,'Staff Weekly'!F:F,"No")</f>
        <v/>
      </c>
      <c r="G14">
        <f>COUNTIFS('Operations &amp; Facilities'!A:A,$B14,'Operations &amp; Facilities'!D:D,"Poor")</f>
        <v/>
      </c>
      <c r="H14">
        <f>ROUND(100*(((1-MIN(1,C14/$N$2))+(1-MIN(1,D14/$N$3))+(1-MIN(1,E14/$N$4))+(1-MIN(1,F14/$N$5))+(1-MIN(1,G14/$N$6)))/5),0)</f>
        <v/>
      </c>
      <c r="I14">
        <f>IF(H14&gt;=90,"Excellent",IF(H14&gt;=75,"Good",IF(H14&gt;=60,"Fair","Needs Improvement")))</f>
        <v/>
      </c>
      <c r="J14">
        <f>ROUND(100*(((1-MIN(1,COUNTIFS('Subject Reports'!A:A,$B14,'Subject Reports'!B:B,"Upper",'Subject Reports'!G:G,"Behind")/$N$2))+(1-MIN(1,COUNTIFS('Class Reports'!A:A,$B14,'Class Reports'!B:B,"Upper",'Class Reports'!G:G,"Poor")/$N$3))+(1-MIN(1,COUNTIFS('Class Reports'!A:A,$B14,'Class Reports'!B:B,"Upper",'Class Reports'!H:H,"Low")/$N$4))+(1-MIN(1,COUNTIFS('Staff Weekly'!A:A,$B14,'Staff Weekly'!B:B,"Upper",'Staff Weekly'!F:F,"No")/$N$5))+(1-MIN(1,COUNTIFS('Operations &amp; Facilities'!A:A,$B14,'Operations &amp; Facilities'!B:B,"Upper",'Operations &amp; Facilities'!D:D,"Poor")/$N$6)))/5),0)</f>
        <v/>
      </c>
      <c r="K14">
        <f>ROUND(100*(((1-MIN(1,COUNTIFS('Subject Reports'!A:A,$B14,'Subject Reports'!B:B,"Lower",'Subject Reports'!G:G,"Behind")/$N$2))+(1-MIN(1,COUNTIFS('Class Reports'!A:A,$B14,'Class Reports'!B:B,"Lower",'Class Reports'!G:G,"Poor")/$N$3))+(1-MIN(1,COUNTIFS('Class Reports'!A:A,$B14,'Class Reports'!B:B,"Lower",'Class Reports'!H:H,"Low")/$N$4))+(1-MIN(1,COUNTIFS('Staff Weekly'!A:A,$B14,'Staff Weekly'!B:B,"Lower",'Staff Weekly'!F:F,"No")/$N$5))+(1-MIN(1,COUNTIFS('Operations &amp; Facilities'!A:A,$B14,'Operations &amp; Facilities'!B:B,"Lower",'Operations &amp; Facilities'!D:D,"Poor")/$N$6)))/5),0)</f>
        <v/>
      </c>
    </row>
    <row r="15">
      <c r="A15" t="inlineStr">
        <is>
          <t>Week 14</t>
        </is>
      </c>
      <c r="C15">
        <f>COUNTIFS('Subject Reports'!A:A,$B15,'Subject Reports'!G:G,"Behind")</f>
        <v/>
      </c>
      <c r="D15">
        <f>COUNTIFS('Class Reports'!A:A,$B15,'Class Reports'!G:G,"Poor")</f>
        <v/>
      </c>
      <c r="E15">
        <f>COUNTIFS('Class Reports'!A:A,$B15,'Class Reports'!H:H,"Low")</f>
        <v/>
      </c>
      <c r="F15">
        <f>COUNTIFS('Staff Weekly'!A:A,$B15,'Staff Weekly'!F:F,"No")</f>
        <v/>
      </c>
      <c r="G15">
        <f>COUNTIFS('Operations &amp; Facilities'!A:A,$B15,'Operations &amp; Facilities'!D:D,"Poor")</f>
        <v/>
      </c>
      <c r="H15">
        <f>ROUND(100*(((1-MIN(1,C15/$N$2))+(1-MIN(1,D15/$N$3))+(1-MIN(1,E15/$N$4))+(1-MIN(1,F15/$N$5))+(1-MIN(1,G15/$N$6)))/5),0)</f>
        <v/>
      </c>
      <c r="I15">
        <f>IF(H15&gt;=90,"Excellent",IF(H15&gt;=75,"Good",IF(H15&gt;=60,"Fair","Needs Improvement")))</f>
        <v/>
      </c>
      <c r="J15">
        <f>ROUND(100*(((1-MIN(1,COUNTIFS('Subject Reports'!A:A,$B15,'Subject Reports'!B:B,"Upper",'Subject Reports'!G:G,"Behind")/$N$2))+(1-MIN(1,COUNTIFS('Class Reports'!A:A,$B15,'Class Reports'!B:B,"Upper",'Class Reports'!G:G,"Poor")/$N$3))+(1-MIN(1,COUNTIFS('Class Reports'!A:A,$B15,'Class Reports'!B:B,"Upper",'Class Reports'!H:H,"Low")/$N$4))+(1-MIN(1,COUNTIFS('Staff Weekly'!A:A,$B15,'Staff Weekly'!B:B,"Upper",'Staff Weekly'!F:F,"No")/$N$5))+(1-MIN(1,COUNTIFS('Operations &amp; Facilities'!A:A,$B15,'Operations &amp; Facilities'!B:B,"Upper",'Operations &amp; Facilities'!D:D,"Poor")/$N$6)))/5),0)</f>
        <v/>
      </c>
      <c r="K15">
        <f>ROUND(100*(((1-MIN(1,COUNTIFS('Subject Reports'!A:A,$B15,'Subject Reports'!B:B,"Lower",'Subject Reports'!G:G,"Behind")/$N$2))+(1-MIN(1,COUNTIFS('Class Reports'!A:A,$B15,'Class Reports'!B:B,"Lower",'Class Reports'!G:G,"Poor")/$N$3))+(1-MIN(1,COUNTIFS('Class Reports'!A:A,$B15,'Class Reports'!B:B,"Lower",'Class Reports'!H:H,"Low")/$N$4))+(1-MIN(1,COUNTIFS('Staff Weekly'!A:A,$B15,'Staff Weekly'!B:B,"Lower",'Staff Weekly'!F:F,"No")/$N$5))+(1-MIN(1,COUNTIFS('Operations &amp; Facilities'!A:A,$B15,'Operations &amp; Facilities'!B:B,"Lower",'Operations &amp; Facilities'!D:D,"Poor")/$N$6)))/5),0)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</cols>
  <sheetData>
    <row r="1">
      <c r="A1" s="4" t="inlineStr">
        <is>
          <t>ROYAL KINGS PREMIER SCHOOL</t>
        </is>
      </c>
    </row>
    <row r="2">
      <c r="A2" s="3" t="inlineStr">
        <is>
          <t>TERM PERFORMANCE REPORT (WEEK 1 – WEEK 14)</t>
        </is>
      </c>
    </row>
    <row r="4">
      <c r="A4" s="3" t="inlineStr">
        <is>
          <t>OVERALL PERFORMANCE SUMMARY</t>
        </is>
      </c>
    </row>
    <row r="5">
      <c r="A5" s="2" t="inlineStr">
        <is>
          <t>Indicator</t>
        </is>
      </c>
      <c r="B5" s="2" t="inlineStr">
        <is>
          <t>Start (Week 1)</t>
        </is>
      </c>
      <c r="C5" s="2" t="inlineStr">
        <is>
          <t>End (Week 14)</t>
        </is>
      </c>
      <c r="D5" s="2" t="inlineStr">
        <is>
          <t>Trend</t>
        </is>
      </c>
    </row>
    <row r="6">
      <c r="A6" t="inlineStr">
        <is>
          <t>Overall School Score %</t>
        </is>
      </c>
      <c r="B6">
        <f>INDEX('Term Summary'!H:H,2)</f>
        <v/>
      </c>
      <c r="C6">
        <f>INDEX('Term Summary'!H:H,15)</f>
        <v/>
      </c>
      <c r="D6">
        <f>IF(C6&gt;B6,"⬆ Improving",IF(C6&lt;B6,"⬇ Declining","➖ Stable"))</f>
        <v/>
      </c>
    </row>
    <row r="7">
      <c r="A7" t="inlineStr">
        <is>
          <t>Upper Campus Score %</t>
        </is>
      </c>
      <c r="B7">
        <f>INDEX('Term Summary'!J:J,2)</f>
        <v/>
      </c>
      <c r="C7">
        <f>INDEX('Term Summary'!J:J,15)</f>
        <v/>
      </c>
      <c r="D7">
        <f>IF(C7&gt;B7,"⬆ Improving",IF(C7&lt;B7,"⬇ Declining","➖ Stable"))</f>
        <v/>
      </c>
    </row>
    <row r="8">
      <c r="A8" t="inlineStr">
        <is>
          <t>Lower Campus Score %</t>
        </is>
      </c>
      <c r="B8">
        <f>INDEX('Term Summary'!K:K,2)</f>
        <v/>
      </c>
      <c r="C8">
        <f>INDEX('Term Summary'!K:K,15)</f>
        <v/>
      </c>
      <c r="D8">
        <f>IF(C8&gt;B8,"⬆ Improving",IF(C8&lt;B8,"⬇ Declining","➖ Stable"))</f>
        <v/>
      </c>
    </row>
    <row r="10">
      <c r="A10" s="3" t="inlineStr">
        <is>
          <t>ACADEMIC PERFORMANCE (KEY RISKS)</t>
        </is>
      </c>
    </row>
    <row r="11">
      <c r="A11" s="2" t="inlineStr">
        <is>
          <t>Indicator</t>
        </is>
      </c>
      <c r="B11" s="2" t="inlineStr">
        <is>
          <t>Start (Week 1)</t>
        </is>
      </c>
      <c r="C11" s="2" t="inlineStr">
        <is>
          <t>End (Week 14)</t>
        </is>
      </c>
      <c r="D11" s="2" t="inlineStr">
        <is>
          <t>Trend</t>
        </is>
      </c>
    </row>
    <row r="12">
      <c r="A12" t="inlineStr">
        <is>
          <t>Subjects Behind Syllabus (count)</t>
        </is>
      </c>
      <c r="B12">
        <f>INDEX('Term Summary'!C:C,2)</f>
        <v/>
      </c>
      <c r="C12">
        <f>INDEX('Term Summary'!C:C,15)</f>
        <v/>
      </c>
      <c r="D12">
        <f>IF(C12&lt;B12,"⬆ Improving",IF(C12&gt;B12,"⬇ Worsening","➖ Stable"))</f>
        <v/>
      </c>
    </row>
    <row r="13">
      <c r="A13" t="inlineStr">
        <is>
          <t>Low Homework Classes (count)</t>
        </is>
      </c>
      <c r="B13">
        <f>INDEX('Term Summary'!E:E,2)</f>
        <v/>
      </c>
      <c r="C13">
        <f>INDEX('Term Summary'!E:E,15)</f>
        <v/>
      </c>
      <c r="D13">
        <f>IF(C13&lt;B13,"⬆ Improving",IF(C13&gt;B13,"⬇ Worsening","➖ Stable"))</f>
        <v/>
      </c>
    </row>
    <row r="15">
      <c r="A15" s="3" t="inlineStr">
        <is>
          <t>DISCIPLINE &amp; STUDENT WELFARE (KEY RISKS)</t>
        </is>
      </c>
    </row>
    <row r="16">
      <c r="A16" s="2" t="inlineStr">
        <is>
          <t>Indicator</t>
        </is>
      </c>
      <c r="B16" s="2" t="inlineStr">
        <is>
          <t>Start (Week 1)</t>
        </is>
      </c>
      <c r="C16" s="2" t="inlineStr">
        <is>
          <t>End (Week 14)</t>
        </is>
      </c>
      <c r="D16" s="2" t="inlineStr">
        <is>
          <t>Trend</t>
        </is>
      </c>
    </row>
    <row r="17">
      <c r="A17" t="inlineStr">
        <is>
          <t>Poor Discipline Classes (count)</t>
        </is>
      </c>
      <c r="B17">
        <f>INDEX('Term Summary'!D:D,2)</f>
        <v/>
      </c>
      <c r="C17">
        <f>INDEX('Term Summary'!D:D,15)</f>
        <v/>
      </c>
      <c r="D17">
        <f>IF(C17&lt;B17,"⬆ Improving",IF(C17&gt;B17,"⬇ Worsening","➖ Stable"))</f>
        <v/>
      </c>
    </row>
    <row r="19">
      <c r="A19" s="3" t="inlineStr">
        <is>
          <t>TEACHER PERFORMANCE (KEY RISKS)</t>
        </is>
      </c>
    </row>
    <row r="20">
      <c r="A20" s="2" t="inlineStr">
        <is>
          <t>Indicator</t>
        </is>
      </c>
      <c r="B20" s="2" t="inlineStr">
        <is>
          <t>Start (Week 1)</t>
        </is>
      </c>
      <c r="C20" s="2" t="inlineStr">
        <is>
          <t>End (Week 14)</t>
        </is>
      </c>
      <c r="D20" s="2" t="inlineStr">
        <is>
          <t>Trend</t>
        </is>
      </c>
    </row>
    <row r="21">
      <c r="A21" t="inlineStr">
        <is>
          <t>Teachers Not Marking (count)</t>
        </is>
      </c>
      <c r="B21">
        <f>INDEX('Term Summary'!F:F,2)</f>
        <v/>
      </c>
      <c r="C21">
        <f>INDEX('Term Summary'!F:F,15)</f>
        <v/>
      </c>
      <c r="D21">
        <f>IF(C21&lt;B21,"⬆ Improving",IF(C21&gt;B21,"⬇ Worsening","➖ Stable"))</f>
        <v/>
      </c>
    </row>
    <row r="23">
      <c r="A23" s="3" t="inlineStr">
        <is>
          <t>FACILITIES &amp; OPERATIONS (KEY RISKS)</t>
        </is>
      </c>
    </row>
    <row r="24">
      <c r="A24" s="2" t="inlineStr">
        <is>
          <t>Indicator</t>
        </is>
      </c>
      <c r="B24" s="2" t="inlineStr">
        <is>
          <t>Start (Week 1)</t>
        </is>
      </c>
      <c r="C24" s="2" t="inlineStr">
        <is>
          <t>End (Week 14)</t>
        </is>
      </c>
      <c r="D24" s="2" t="inlineStr">
        <is>
          <t>Trend</t>
        </is>
      </c>
    </row>
    <row r="25">
      <c r="A25" t="inlineStr">
        <is>
          <t>Facility Areas Poor (count)</t>
        </is>
      </c>
      <c r="B25">
        <f>INDEX('Term Summary'!G:G,2)</f>
        <v/>
      </c>
      <c r="C25">
        <f>INDEX('Term Summary'!G:G,15)</f>
        <v/>
      </c>
      <c r="D25">
        <f>IF(C25&lt;B25,"⬆ Improving",IF(C25&gt;B25,"⬇ Worsening","➖ Stable"))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</cols>
  <sheetData>
    <row r="1">
      <c r="A1" s="4" t="inlineStr">
        <is>
          <t>ROYAL KINGS PREMIER SCHOOL</t>
        </is>
      </c>
    </row>
    <row r="2">
      <c r="A2" s="3" t="inlineStr">
        <is>
          <t>TERM PERFORMANCE SNAPSHOT (ONE PAGE)</t>
        </is>
      </c>
    </row>
    <row r="4">
      <c r="A4" s="2" t="inlineStr">
        <is>
          <t>Metric</t>
        </is>
      </c>
      <c r="B4" s="2" t="inlineStr">
        <is>
          <t>Start (Week 1)</t>
        </is>
      </c>
      <c r="C4" s="2" t="inlineStr">
        <is>
          <t>End (Week 14)</t>
        </is>
      </c>
      <c r="D4" s="2" t="inlineStr">
        <is>
          <t>Trend</t>
        </is>
      </c>
    </row>
    <row r="5">
      <c r="A5" t="inlineStr">
        <is>
          <t>Overall Score %</t>
        </is>
      </c>
      <c r="B5">
        <f>INDEX('Term Summary'!H:H,2)</f>
        <v/>
      </c>
      <c r="C5">
        <f>INDEX('Term Summary'!H:H,15)</f>
        <v/>
      </c>
      <c r="D5">
        <f>IF(C5&gt;B5,"⬆ Improving",IF(C5&lt;B5,"⬇ Declining","➖ Stable"))</f>
        <v/>
      </c>
    </row>
    <row r="6">
      <c r="A6" t="inlineStr">
        <is>
          <t>Upper Campus Score %</t>
        </is>
      </c>
      <c r="B6">
        <f>INDEX('Term Summary'!J:J,2)</f>
        <v/>
      </c>
      <c r="C6">
        <f>INDEX('Term Summary'!J:J,15)</f>
        <v/>
      </c>
      <c r="D6">
        <f>IF(C6&gt;B6,"⬆ Improving",IF(C6&lt;B6,"⬇ Declining","➖ Stable"))</f>
        <v/>
      </c>
    </row>
    <row r="7">
      <c r="A7" t="inlineStr">
        <is>
          <t>Lower Campus Score %</t>
        </is>
      </c>
      <c r="B7">
        <f>INDEX('Term Summary'!K:K,2)</f>
        <v/>
      </c>
      <c r="C7">
        <f>INDEX('Term Summary'!K:K,15)</f>
        <v/>
      </c>
      <c r="D7">
        <f>IF(C7&gt;B7,"⬆ Improving",IF(C7&lt;B7,"⬇ Declining","➖ Stable"))</f>
        <v/>
      </c>
    </row>
    <row r="8">
      <c r="A8" t="inlineStr">
        <is>
          <t>Subjects Behind (count)</t>
        </is>
      </c>
      <c r="B8">
        <f>INDEX('Term Summary'!C:C,2)</f>
        <v/>
      </c>
      <c r="C8">
        <f>INDEX('Term Summary'!C:C,15)</f>
        <v/>
      </c>
      <c r="D8">
        <f>IF(C8&lt;B8,"⬆ Improving",IF(C8&gt;B8,"⬇ Worsening","➖ Stable"))</f>
        <v/>
      </c>
    </row>
    <row r="9">
      <c r="A9" t="inlineStr">
        <is>
          <t>Poor Discipline (count)</t>
        </is>
      </c>
      <c r="B9">
        <f>INDEX('Term Summary'!D:D,2)</f>
        <v/>
      </c>
      <c r="C9">
        <f>INDEX('Term Summary'!D:D,15)</f>
        <v/>
      </c>
      <c r="D9">
        <f>IF(C9&lt;B9,"⬆ Improving",IF(C9&gt;B9,"⬇ Worsening","➖ Stable"))</f>
        <v/>
      </c>
    </row>
    <row r="10">
      <c r="A10" t="inlineStr">
        <is>
          <t>Low Homework (count)</t>
        </is>
      </c>
      <c r="B10">
        <f>INDEX('Term Summary'!E:E,2)</f>
        <v/>
      </c>
      <c r="C10">
        <f>INDEX('Term Summary'!E:E,15)</f>
        <v/>
      </c>
      <c r="D10">
        <f>IF(C10&lt;B10,"⬆ Improving",IF(C10&gt;B10,"⬇ Worsening","➖ Stable"))</f>
        <v/>
      </c>
    </row>
    <row r="11">
      <c r="A11" t="inlineStr">
        <is>
          <t>Not Marking (count)</t>
        </is>
      </c>
      <c r="B11">
        <f>INDEX('Term Summary'!F:F,2)</f>
        <v/>
      </c>
      <c r="C11">
        <f>INDEX('Term Summary'!F:F,15)</f>
        <v/>
      </c>
      <c r="D11">
        <f>IF(C11&lt;B11,"⬆ Improving",IF(C11&gt;B11,"⬇ Worsening","➖ Stable"))</f>
        <v/>
      </c>
    </row>
    <row r="12">
      <c r="A12" t="inlineStr">
        <is>
          <t>Facility Poor (count)</t>
        </is>
      </c>
      <c r="B12">
        <f>INDEX('Term Summary'!G:G,2)</f>
        <v/>
      </c>
      <c r="C12">
        <f>INDEX('Term Summary'!G:G,15)</f>
        <v/>
      </c>
      <c r="D12">
        <f>IF(C12&lt;B12,"⬆ Improving",IF(C12&gt;B12,"⬇ Worsening","➖ Stable"))</f>
        <v/>
      </c>
    </row>
    <row r="14">
      <c r="A14" s="2" t="inlineStr">
        <is>
          <t>Summary Comment:</t>
        </is>
      </c>
    </row>
  </sheetData>
  <mergeCells count="1">
    <mergeCell ref="B14:D1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18" customWidth="1" min="4" max="4"/>
    <col width="18" customWidth="1" min="5" max="5"/>
    <col width="20" customWidth="1" min="6" max="6"/>
    <col width="24" customWidth="1" min="7" max="7"/>
    <col width="26" customWidth="1" min="8" max="8"/>
    <col width="18" customWidth="1" min="9" max="9"/>
    <col width="10" customWidth="1" min="10" max="10"/>
    <col width="18" customWidth="1" min="11" max="11"/>
    <col width="26" customWidth="1" min="12" max="12"/>
  </cols>
  <sheetData>
    <row r="1">
      <c r="A1" s="1" t="inlineStr">
        <is>
          <t>Week Ending</t>
        </is>
      </c>
      <c r="B1" s="1" t="inlineStr">
        <is>
          <t>Teacher Name</t>
        </is>
      </c>
      <c r="C1" s="1" t="inlineStr">
        <is>
          <t>Campus (Upper/Lower)</t>
        </is>
      </c>
      <c r="D1" s="1" t="inlineStr">
        <is>
          <t>Marking Score (20)</t>
        </is>
      </c>
      <c r="E1" s="1" t="inlineStr">
        <is>
          <t>Schemes Score (20)</t>
        </is>
      </c>
      <c r="F1" s="1" t="inlineStr">
        <is>
          <t>Punctuality Score (20)</t>
        </is>
      </c>
      <c r="G1" s="1" t="inlineStr">
        <is>
          <t>Class Management Score (20)</t>
        </is>
      </c>
      <c r="H1" s="1" t="inlineStr">
        <is>
          <t>Syllabus Progress Score (20)</t>
        </is>
      </c>
      <c r="I1" s="1" t="inlineStr">
        <is>
          <t>Total Score (100)</t>
        </is>
      </c>
      <c r="J1" s="1" t="inlineStr">
        <is>
          <t>Rank</t>
        </is>
      </c>
      <c r="K1" s="1" t="inlineStr">
        <is>
          <t>Performance Level</t>
        </is>
      </c>
      <c r="L1" s="1" t="inlineStr">
        <is>
          <t>Notes / Action</t>
        </is>
      </c>
    </row>
    <row r="2">
      <c r="D2">
        <f>IF(COUNTIFS('Staff Weekly'!A:A,$A2,'Staff Weekly'!C:C,$B2,'Staff Weekly'!F:F,"Yes")&gt;0,20,0)</f>
        <v/>
      </c>
      <c r="E2">
        <f>IF(COUNTIFS('Staff Weekly'!A:A,$A2,'Staff Weekly'!C:C,$B2,'Staff Weekly'!G:G,"Yes")&gt;0,20,0)</f>
        <v/>
      </c>
      <c r="F2">
        <f>IF(COUNTIFS('Staff Weekly'!A:A,$A2,'Staff Weekly'!C:C,$B2,'Staff Weekly'!D:D,"Yes")&gt;0,20,0)</f>
        <v/>
      </c>
      <c r="G2">
        <f>IF($B2="","",IF(COUNTIFS('Class Reports'!A:A,$A2,'Class Reports'!D:D,$B2,'Class Reports'!G:G,"Poor") + COUNTIFS('Class Reports'!A:A,$A2,'Class Reports'!D:D,$B2,'Class Reports'!H:H,"Low")=0,20,10))</f>
        <v/>
      </c>
      <c r="H2">
        <f>IF($B2="","",IF(COUNTIFS('Subject Reports'!A:A,$A2,'Subject Reports'!D:D,$B2,'Subject Reports'!G:G,"Behind")=0,20,10))</f>
        <v/>
      </c>
      <c r="I2">
        <f>IF($B2="","",SUM(D2:H2))</f>
        <v/>
      </c>
      <c r="J2">
        <f>IF($I2="","",RANK($I2,$I$2:$I$200,0))</f>
        <v/>
      </c>
      <c r="K2">
        <f>IF($I2="","",IF($I2&gt;=90,"Outstanding",IF($I2&gt;=75,"Very Good",IF($I2&gt;=60,"Good","Needs Support"))))</f>
        <v/>
      </c>
    </row>
    <row r="3">
      <c r="D3">
        <f>IF(COUNTIFS('Staff Weekly'!A:A,$A3,'Staff Weekly'!C:C,$B3,'Staff Weekly'!F:F,"Yes")&gt;0,20,0)</f>
        <v/>
      </c>
      <c r="E3">
        <f>IF(COUNTIFS('Staff Weekly'!A:A,$A3,'Staff Weekly'!C:C,$B3,'Staff Weekly'!G:G,"Yes")&gt;0,20,0)</f>
        <v/>
      </c>
      <c r="F3">
        <f>IF(COUNTIFS('Staff Weekly'!A:A,$A3,'Staff Weekly'!C:C,$B3,'Staff Weekly'!D:D,"Yes")&gt;0,20,0)</f>
        <v/>
      </c>
      <c r="G3">
        <f>IF($B3="","",IF(COUNTIFS('Class Reports'!A:A,$A3,'Class Reports'!D:D,$B3,'Class Reports'!G:G,"Poor") + COUNTIFS('Class Reports'!A:A,$A3,'Class Reports'!D:D,$B3,'Class Reports'!H:H,"Low")=0,20,10))</f>
        <v/>
      </c>
      <c r="H3">
        <f>IF($B3="","",IF(COUNTIFS('Subject Reports'!A:A,$A3,'Subject Reports'!D:D,$B3,'Subject Reports'!G:G,"Behind")=0,20,10))</f>
        <v/>
      </c>
      <c r="I3">
        <f>IF($B3="","",SUM(D3:H3))</f>
        <v/>
      </c>
      <c r="J3">
        <f>IF($I3="","",RANK($I3,$I$2:$I$200,0))</f>
        <v/>
      </c>
      <c r="K3">
        <f>IF($I3="","",IF($I3&gt;=90,"Outstanding",IF($I3&gt;=75,"Very Good",IF($I3&gt;=60,"Good","Needs Support"))))</f>
        <v/>
      </c>
    </row>
    <row r="4">
      <c r="D4">
        <f>IF(COUNTIFS('Staff Weekly'!A:A,$A4,'Staff Weekly'!C:C,$B4,'Staff Weekly'!F:F,"Yes")&gt;0,20,0)</f>
        <v/>
      </c>
      <c r="E4">
        <f>IF(COUNTIFS('Staff Weekly'!A:A,$A4,'Staff Weekly'!C:C,$B4,'Staff Weekly'!G:G,"Yes")&gt;0,20,0)</f>
        <v/>
      </c>
      <c r="F4">
        <f>IF(COUNTIFS('Staff Weekly'!A:A,$A4,'Staff Weekly'!C:C,$B4,'Staff Weekly'!D:D,"Yes")&gt;0,20,0)</f>
        <v/>
      </c>
      <c r="G4">
        <f>IF($B4="","",IF(COUNTIFS('Class Reports'!A:A,$A4,'Class Reports'!D:D,$B4,'Class Reports'!G:G,"Poor") + COUNTIFS('Class Reports'!A:A,$A4,'Class Reports'!D:D,$B4,'Class Reports'!H:H,"Low")=0,20,10))</f>
        <v/>
      </c>
      <c r="H4">
        <f>IF($B4="","",IF(COUNTIFS('Subject Reports'!A:A,$A4,'Subject Reports'!D:D,$B4,'Subject Reports'!G:G,"Behind")=0,20,10))</f>
        <v/>
      </c>
      <c r="I4">
        <f>IF($B4="","",SUM(D4:H4))</f>
        <v/>
      </c>
      <c r="J4">
        <f>IF($I4="","",RANK($I4,$I$2:$I$200,0))</f>
        <v/>
      </c>
      <c r="K4">
        <f>IF($I4="","",IF($I4&gt;=90,"Outstanding",IF($I4&gt;=75,"Very Good",IF($I4&gt;=60,"Good","Needs Support"))))</f>
        <v/>
      </c>
    </row>
    <row r="5">
      <c r="D5">
        <f>IF(COUNTIFS('Staff Weekly'!A:A,$A5,'Staff Weekly'!C:C,$B5,'Staff Weekly'!F:F,"Yes")&gt;0,20,0)</f>
        <v/>
      </c>
      <c r="E5">
        <f>IF(COUNTIFS('Staff Weekly'!A:A,$A5,'Staff Weekly'!C:C,$B5,'Staff Weekly'!G:G,"Yes")&gt;0,20,0)</f>
        <v/>
      </c>
      <c r="F5">
        <f>IF(COUNTIFS('Staff Weekly'!A:A,$A5,'Staff Weekly'!C:C,$B5,'Staff Weekly'!D:D,"Yes")&gt;0,20,0)</f>
        <v/>
      </c>
      <c r="G5">
        <f>IF($B5="","",IF(COUNTIFS('Class Reports'!A:A,$A5,'Class Reports'!D:D,$B5,'Class Reports'!G:G,"Poor") + COUNTIFS('Class Reports'!A:A,$A5,'Class Reports'!D:D,$B5,'Class Reports'!H:H,"Low")=0,20,10))</f>
        <v/>
      </c>
      <c r="H5">
        <f>IF($B5="","",IF(COUNTIFS('Subject Reports'!A:A,$A5,'Subject Reports'!D:D,$B5,'Subject Reports'!G:G,"Behind")=0,20,10))</f>
        <v/>
      </c>
      <c r="I5">
        <f>IF($B5="","",SUM(D5:H5))</f>
        <v/>
      </c>
      <c r="J5">
        <f>IF($I5="","",RANK($I5,$I$2:$I$200,0))</f>
        <v/>
      </c>
      <c r="K5">
        <f>IF($I5="","",IF($I5&gt;=90,"Outstanding",IF($I5&gt;=75,"Very Good",IF($I5&gt;=60,"Good","Needs Support"))))</f>
        <v/>
      </c>
    </row>
    <row r="6">
      <c r="D6">
        <f>IF(COUNTIFS('Staff Weekly'!A:A,$A6,'Staff Weekly'!C:C,$B6,'Staff Weekly'!F:F,"Yes")&gt;0,20,0)</f>
        <v/>
      </c>
      <c r="E6">
        <f>IF(COUNTIFS('Staff Weekly'!A:A,$A6,'Staff Weekly'!C:C,$B6,'Staff Weekly'!G:G,"Yes")&gt;0,20,0)</f>
        <v/>
      </c>
      <c r="F6">
        <f>IF(COUNTIFS('Staff Weekly'!A:A,$A6,'Staff Weekly'!C:C,$B6,'Staff Weekly'!D:D,"Yes")&gt;0,20,0)</f>
        <v/>
      </c>
      <c r="G6">
        <f>IF($B6="","",IF(COUNTIFS('Class Reports'!A:A,$A6,'Class Reports'!D:D,$B6,'Class Reports'!G:G,"Poor") + COUNTIFS('Class Reports'!A:A,$A6,'Class Reports'!D:D,$B6,'Class Reports'!H:H,"Low")=0,20,10))</f>
        <v/>
      </c>
      <c r="H6">
        <f>IF($B6="","",IF(COUNTIFS('Subject Reports'!A:A,$A6,'Subject Reports'!D:D,$B6,'Subject Reports'!G:G,"Behind")=0,20,10))</f>
        <v/>
      </c>
      <c r="I6">
        <f>IF($B6="","",SUM(D6:H6))</f>
        <v/>
      </c>
      <c r="J6">
        <f>IF($I6="","",RANK($I6,$I$2:$I$200,0))</f>
        <v/>
      </c>
      <c r="K6">
        <f>IF($I6="","",IF($I6&gt;=90,"Outstanding",IF($I6&gt;=75,"Very Good",IF($I6&gt;=60,"Good","Needs Support"))))</f>
        <v/>
      </c>
    </row>
    <row r="7">
      <c r="D7">
        <f>IF(COUNTIFS('Staff Weekly'!A:A,$A7,'Staff Weekly'!C:C,$B7,'Staff Weekly'!F:F,"Yes")&gt;0,20,0)</f>
        <v/>
      </c>
      <c r="E7">
        <f>IF(COUNTIFS('Staff Weekly'!A:A,$A7,'Staff Weekly'!C:C,$B7,'Staff Weekly'!G:G,"Yes")&gt;0,20,0)</f>
        <v/>
      </c>
      <c r="F7">
        <f>IF(COUNTIFS('Staff Weekly'!A:A,$A7,'Staff Weekly'!C:C,$B7,'Staff Weekly'!D:D,"Yes")&gt;0,20,0)</f>
        <v/>
      </c>
      <c r="G7">
        <f>IF($B7="","",IF(COUNTIFS('Class Reports'!A:A,$A7,'Class Reports'!D:D,$B7,'Class Reports'!G:G,"Poor") + COUNTIFS('Class Reports'!A:A,$A7,'Class Reports'!D:D,$B7,'Class Reports'!H:H,"Low")=0,20,10))</f>
        <v/>
      </c>
      <c r="H7">
        <f>IF($B7="","",IF(COUNTIFS('Subject Reports'!A:A,$A7,'Subject Reports'!D:D,$B7,'Subject Reports'!G:G,"Behind")=0,20,10))</f>
        <v/>
      </c>
      <c r="I7">
        <f>IF($B7="","",SUM(D7:H7))</f>
        <v/>
      </c>
      <c r="J7">
        <f>IF($I7="","",RANK($I7,$I$2:$I$200,0))</f>
        <v/>
      </c>
      <c r="K7">
        <f>IF($I7="","",IF($I7&gt;=90,"Outstanding",IF($I7&gt;=75,"Very Good",IF($I7&gt;=60,"Good","Needs Support"))))</f>
        <v/>
      </c>
    </row>
    <row r="8">
      <c r="D8">
        <f>IF(COUNTIFS('Staff Weekly'!A:A,$A8,'Staff Weekly'!C:C,$B8,'Staff Weekly'!F:F,"Yes")&gt;0,20,0)</f>
        <v/>
      </c>
      <c r="E8">
        <f>IF(COUNTIFS('Staff Weekly'!A:A,$A8,'Staff Weekly'!C:C,$B8,'Staff Weekly'!G:G,"Yes")&gt;0,20,0)</f>
        <v/>
      </c>
      <c r="F8">
        <f>IF(COUNTIFS('Staff Weekly'!A:A,$A8,'Staff Weekly'!C:C,$B8,'Staff Weekly'!D:D,"Yes")&gt;0,20,0)</f>
        <v/>
      </c>
      <c r="G8">
        <f>IF($B8="","",IF(COUNTIFS('Class Reports'!A:A,$A8,'Class Reports'!D:D,$B8,'Class Reports'!G:G,"Poor") + COUNTIFS('Class Reports'!A:A,$A8,'Class Reports'!D:D,$B8,'Class Reports'!H:H,"Low")=0,20,10))</f>
        <v/>
      </c>
      <c r="H8">
        <f>IF($B8="","",IF(COUNTIFS('Subject Reports'!A:A,$A8,'Subject Reports'!D:D,$B8,'Subject Reports'!G:G,"Behind")=0,20,10))</f>
        <v/>
      </c>
      <c r="I8">
        <f>IF($B8="","",SUM(D8:H8))</f>
        <v/>
      </c>
      <c r="J8">
        <f>IF($I8="","",RANK($I8,$I$2:$I$200,0))</f>
        <v/>
      </c>
      <c r="K8">
        <f>IF($I8="","",IF($I8&gt;=90,"Outstanding",IF($I8&gt;=75,"Very Good",IF($I8&gt;=60,"Good","Needs Support"))))</f>
        <v/>
      </c>
    </row>
    <row r="9">
      <c r="D9">
        <f>IF(COUNTIFS('Staff Weekly'!A:A,$A9,'Staff Weekly'!C:C,$B9,'Staff Weekly'!F:F,"Yes")&gt;0,20,0)</f>
        <v/>
      </c>
      <c r="E9">
        <f>IF(COUNTIFS('Staff Weekly'!A:A,$A9,'Staff Weekly'!C:C,$B9,'Staff Weekly'!G:G,"Yes")&gt;0,20,0)</f>
        <v/>
      </c>
      <c r="F9">
        <f>IF(COUNTIFS('Staff Weekly'!A:A,$A9,'Staff Weekly'!C:C,$B9,'Staff Weekly'!D:D,"Yes")&gt;0,20,0)</f>
        <v/>
      </c>
      <c r="G9">
        <f>IF($B9="","",IF(COUNTIFS('Class Reports'!A:A,$A9,'Class Reports'!D:D,$B9,'Class Reports'!G:G,"Poor") + COUNTIFS('Class Reports'!A:A,$A9,'Class Reports'!D:D,$B9,'Class Reports'!H:H,"Low")=0,20,10))</f>
        <v/>
      </c>
      <c r="H9">
        <f>IF($B9="","",IF(COUNTIFS('Subject Reports'!A:A,$A9,'Subject Reports'!D:D,$B9,'Subject Reports'!G:G,"Behind")=0,20,10))</f>
        <v/>
      </c>
      <c r="I9">
        <f>IF($B9="","",SUM(D9:H9))</f>
        <v/>
      </c>
      <c r="J9">
        <f>IF($I9="","",RANK($I9,$I$2:$I$200,0))</f>
        <v/>
      </c>
      <c r="K9">
        <f>IF($I9="","",IF($I9&gt;=90,"Outstanding",IF($I9&gt;=75,"Very Good",IF($I9&gt;=60,"Good","Needs Support"))))</f>
        <v/>
      </c>
    </row>
    <row r="10">
      <c r="D10">
        <f>IF(COUNTIFS('Staff Weekly'!A:A,$A10,'Staff Weekly'!C:C,$B10,'Staff Weekly'!F:F,"Yes")&gt;0,20,0)</f>
        <v/>
      </c>
      <c r="E10">
        <f>IF(COUNTIFS('Staff Weekly'!A:A,$A10,'Staff Weekly'!C:C,$B10,'Staff Weekly'!G:G,"Yes")&gt;0,20,0)</f>
        <v/>
      </c>
      <c r="F10">
        <f>IF(COUNTIFS('Staff Weekly'!A:A,$A10,'Staff Weekly'!C:C,$B10,'Staff Weekly'!D:D,"Yes")&gt;0,20,0)</f>
        <v/>
      </c>
      <c r="G10">
        <f>IF($B10="","",IF(COUNTIFS('Class Reports'!A:A,$A10,'Class Reports'!D:D,$B10,'Class Reports'!G:G,"Poor") + COUNTIFS('Class Reports'!A:A,$A10,'Class Reports'!D:D,$B10,'Class Reports'!H:H,"Low")=0,20,10))</f>
        <v/>
      </c>
      <c r="H10">
        <f>IF($B10="","",IF(COUNTIFS('Subject Reports'!A:A,$A10,'Subject Reports'!D:D,$B10,'Subject Reports'!G:G,"Behind")=0,20,10))</f>
        <v/>
      </c>
      <c r="I10">
        <f>IF($B10="","",SUM(D10:H10))</f>
        <v/>
      </c>
      <c r="J10">
        <f>IF($I10="","",RANK($I10,$I$2:$I$200,0))</f>
        <v/>
      </c>
      <c r="K10">
        <f>IF($I10="","",IF($I10&gt;=90,"Outstanding",IF($I10&gt;=75,"Very Good",IF($I10&gt;=60,"Good","Needs Support"))))</f>
        <v/>
      </c>
    </row>
    <row r="11">
      <c r="D11">
        <f>IF(COUNTIFS('Staff Weekly'!A:A,$A11,'Staff Weekly'!C:C,$B11,'Staff Weekly'!F:F,"Yes")&gt;0,20,0)</f>
        <v/>
      </c>
      <c r="E11">
        <f>IF(COUNTIFS('Staff Weekly'!A:A,$A11,'Staff Weekly'!C:C,$B11,'Staff Weekly'!G:G,"Yes")&gt;0,20,0)</f>
        <v/>
      </c>
      <c r="F11">
        <f>IF(COUNTIFS('Staff Weekly'!A:A,$A11,'Staff Weekly'!C:C,$B11,'Staff Weekly'!D:D,"Yes")&gt;0,20,0)</f>
        <v/>
      </c>
      <c r="G11">
        <f>IF($B11="","",IF(COUNTIFS('Class Reports'!A:A,$A11,'Class Reports'!D:D,$B11,'Class Reports'!G:G,"Poor") + COUNTIFS('Class Reports'!A:A,$A11,'Class Reports'!D:D,$B11,'Class Reports'!H:H,"Low")=0,20,10))</f>
        <v/>
      </c>
      <c r="H11">
        <f>IF($B11="","",IF(COUNTIFS('Subject Reports'!A:A,$A11,'Subject Reports'!D:D,$B11,'Subject Reports'!G:G,"Behind")=0,20,10))</f>
        <v/>
      </c>
      <c r="I11">
        <f>IF($B11="","",SUM(D11:H11))</f>
        <v/>
      </c>
      <c r="J11">
        <f>IF($I11="","",RANK($I11,$I$2:$I$200,0))</f>
        <v/>
      </c>
      <c r="K11">
        <f>IF($I11="","",IF($I11&gt;=90,"Outstanding",IF($I11&gt;=75,"Very Good",IF($I11&gt;=60,"Good","Needs Support"))))</f>
        <v/>
      </c>
    </row>
    <row r="12">
      <c r="D12">
        <f>IF(COUNTIFS('Staff Weekly'!A:A,$A12,'Staff Weekly'!C:C,$B12,'Staff Weekly'!F:F,"Yes")&gt;0,20,0)</f>
        <v/>
      </c>
      <c r="E12">
        <f>IF(COUNTIFS('Staff Weekly'!A:A,$A12,'Staff Weekly'!C:C,$B12,'Staff Weekly'!G:G,"Yes")&gt;0,20,0)</f>
        <v/>
      </c>
      <c r="F12">
        <f>IF(COUNTIFS('Staff Weekly'!A:A,$A12,'Staff Weekly'!C:C,$B12,'Staff Weekly'!D:D,"Yes")&gt;0,20,0)</f>
        <v/>
      </c>
      <c r="G12">
        <f>IF($B12="","",IF(COUNTIFS('Class Reports'!A:A,$A12,'Class Reports'!D:D,$B12,'Class Reports'!G:G,"Poor") + COUNTIFS('Class Reports'!A:A,$A12,'Class Reports'!D:D,$B12,'Class Reports'!H:H,"Low")=0,20,10))</f>
        <v/>
      </c>
      <c r="H12">
        <f>IF($B12="","",IF(COUNTIFS('Subject Reports'!A:A,$A12,'Subject Reports'!D:D,$B12,'Subject Reports'!G:G,"Behind")=0,20,10))</f>
        <v/>
      </c>
      <c r="I12">
        <f>IF($B12="","",SUM(D12:H12))</f>
        <v/>
      </c>
      <c r="J12">
        <f>IF($I12="","",RANK($I12,$I$2:$I$200,0))</f>
        <v/>
      </c>
      <c r="K12">
        <f>IF($I12="","",IF($I12&gt;=90,"Outstanding",IF($I12&gt;=75,"Very Good",IF($I12&gt;=60,"Good","Needs Support"))))</f>
        <v/>
      </c>
    </row>
    <row r="13">
      <c r="D13">
        <f>IF(COUNTIFS('Staff Weekly'!A:A,$A13,'Staff Weekly'!C:C,$B13,'Staff Weekly'!F:F,"Yes")&gt;0,20,0)</f>
        <v/>
      </c>
      <c r="E13">
        <f>IF(COUNTIFS('Staff Weekly'!A:A,$A13,'Staff Weekly'!C:C,$B13,'Staff Weekly'!G:G,"Yes")&gt;0,20,0)</f>
        <v/>
      </c>
      <c r="F13">
        <f>IF(COUNTIFS('Staff Weekly'!A:A,$A13,'Staff Weekly'!C:C,$B13,'Staff Weekly'!D:D,"Yes")&gt;0,20,0)</f>
        <v/>
      </c>
      <c r="G13">
        <f>IF($B13="","",IF(COUNTIFS('Class Reports'!A:A,$A13,'Class Reports'!D:D,$B13,'Class Reports'!G:G,"Poor") + COUNTIFS('Class Reports'!A:A,$A13,'Class Reports'!D:D,$B13,'Class Reports'!H:H,"Low")=0,20,10))</f>
        <v/>
      </c>
      <c r="H13">
        <f>IF($B13="","",IF(COUNTIFS('Subject Reports'!A:A,$A13,'Subject Reports'!D:D,$B13,'Subject Reports'!G:G,"Behind")=0,20,10))</f>
        <v/>
      </c>
      <c r="I13">
        <f>IF($B13="","",SUM(D13:H13))</f>
        <v/>
      </c>
      <c r="J13">
        <f>IF($I13="","",RANK($I13,$I$2:$I$200,0))</f>
        <v/>
      </c>
      <c r="K13">
        <f>IF($I13="","",IF($I13&gt;=90,"Outstanding",IF($I13&gt;=75,"Very Good",IF($I13&gt;=60,"Good","Needs Support"))))</f>
        <v/>
      </c>
    </row>
    <row r="14">
      <c r="D14">
        <f>IF(COUNTIFS('Staff Weekly'!A:A,$A14,'Staff Weekly'!C:C,$B14,'Staff Weekly'!F:F,"Yes")&gt;0,20,0)</f>
        <v/>
      </c>
      <c r="E14">
        <f>IF(COUNTIFS('Staff Weekly'!A:A,$A14,'Staff Weekly'!C:C,$B14,'Staff Weekly'!G:G,"Yes")&gt;0,20,0)</f>
        <v/>
      </c>
      <c r="F14">
        <f>IF(COUNTIFS('Staff Weekly'!A:A,$A14,'Staff Weekly'!C:C,$B14,'Staff Weekly'!D:D,"Yes")&gt;0,20,0)</f>
        <v/>
      </c>
      <c r="G14">
        <f>IF($B14="","",IF(COUNTIFS('Class Reports'!A:A,$A14,'Class Reports'!D:D,$B14,'Class Reports'!G:G,"Poor") + COUNTIFS('Class Reports'!A:A,$A14,'Class Reports'!D:D,$B14,'Class Reports'!H:H,"Low")=0,20,10))</f>
        <v/>
      </c>
      <c r="H14">
        <f>IF($B14="","",IF(COUNTIFS('Subject Reports'!A:A,$A14,'Subject Reports'!D:D,$B14,'Subject Reports'!G:G,"Behind")=0,20,10))</f>
        <v/>
      </c>
      <c r="I14">
        <f>IF($B14="","",SUM(D14:H14))</f>
        <v/>
      </c>
      <c r="J14">
        <f>IF($I14="","",RANK($I14,$I$2:$I$200,0))</f>
        <v/>
      </c>
      <c r="K14">
        <f>IF($I14="","",IF($I14&gt;=90,"Outstanding",IF($I14&gt;=75,"Very Good",IF($I14&gt;=60,"Good","Needs Support"))))</f>
        <v/>
      </c>
    </row>
    <row r="15">
      <c r="D15">
        <f>IF(COUNTIFS('Staff Weekly'!A:A,$A15,'Staff Weekly'!C:C,$B15,'Staff Weekly'!F:F,"Yes")&gt;0,20,0)</f>
        <v/>
      </c>
      <c r="E15">
        <f>IF(COUNTIFS('Staff Weekly'!A:A,$A15,'Staff Weekly'!C:C,$B15,'Staff Weekly'!G:G,"Yes")&gt;0,20,0)</f>
        <v/>
      </c>
      <c r="F15">
        <f>IF(COUNTIFS('Staff Weekly'!A:A,$A15,'Staff Weekly'!C:C,$B15,'Staff Weekly'!D:D,"Yes")&gt;0,20,0)</f>
        <v/>
      </c>
      <c r="G15">
        <f>IF($B15="","",IF(COUNTIFS('Class Reports'!A:A,$A15,'Class Reports'!D:D,$B15,'Class Reports'!G:G,"Poor") + COUNTIFS('Class Reports'!A:A,$A15,'Class Reports'!D:D,$B15,'Class Reports'!H:H,"Low")=0,20,10))</f>
        <v/>
      </c>
      <c r="H15">
        <f>IF($B15="","",IF(COUNTIFS('Subject Reports'!A:A,$A15,'Subject Reports'!D:D,$B15,'Subject Reports'!G:G,"Behind")=0,20,10))</f>
        <v/>
      </c>
      <c r="I15">
        <f>IF($B15="","",SUM(D15:H15))</f>
        <v/>
      </c>
      <c r="J15">
        <f>IF($I15="","",RANK($I15,$I$2:$I$200,0))</f>
        <v/>
      </c>
      <c r="K15">
        <f>IF($I15="","",IF($I15&gt;=90,"Outstanding",IF($I15&gt;=75,"Very Good",IF($I15&gt;=60,"Good","Needs Support"))))</f>
        <v/>
      </c>
    </row>
    <row r="16">
      <c r="D16">
        <f>IF(COUNTIFS('Staff Weekly'!A:A,$A16,'Staff Weekly'!C:C,$B16,'Staff Weekly'!F:F,"Yes")&gt;0,20,0)</f>
        <v/>
      </c>
      <c r="E16">
        <f>IF(COUNTIFS('Staff Weekly'!A:A,$A16,'Staff Weekly'!C:C,$B16,'Staff Weekly'!G:G,"Yes")&gt;0,20,0)</f>
        <v/>
      </c>
      <c r="F16">
        <f>IF(COUNTIFS('Staff Weekly'!A:A,$A16,'Staff Weekly'!C:C,$B16,'Staff Weekly'!D:D,"Yes")&gt;0,20,0)</f>
        <v/>
      </c>
      <c r="G16">
        <f>IF($B16="","",IF(COUNTIFS('Class Reports'!A:A,$A16,'Class Reports'!D:D,$B16,'Class Reports'!G:G,"Poor") + COUNTIFS('Class Reports'!A:A,$A16,'Class Reports'!D:D,$B16,'Class Reports'!H:H,"Low")=0,20,10))</f>
        <v/>
      </c>
      <c r="H16">
        <f>IF($B16="","",IF(COUNTIFS('Subject Reports'!A:A,$A16,'Subject Reports'!D:D,$B16,'Subject Reports'!G:G,"Behind")=0,20,10))</f>
        <v/>
      </c>
      <c r="I16">
        <f>IF($B16="","",SUM(D16:H16))</f>
        <v/>
      </c>
      <c r="J16">
        <f>IF($I16="","",RANK($I16,$I$2:$I$200,0))</f>
        <v/>
      </c>
      <c r="K16">
        <f>IF($I16="","",IF($I16&gt;=90,"Outstanding",IF($I16&gt;=75,"Very Good",IF($I16&gt;=60,"Good","Needs Support"))))</f>
        <v/>
      </c>
    </row>
    <row r="17">
      <c r="D17">
        <f>IF(COUNTIFS('Staff Weekly'!A:A,$A17,'Staff Weekly'!C:C,$B17,'Staff Weekly'!F:F,"Yes")&gt;0,20,0)</f>
        <v/>
      </c>
      <c r="E17">
        <f>IF(COUNTIFS('Staff Weekly'!A:A,$A17,'Staff Weekly'!C:C,$B17,'Staff Weekly'!G:G,"Yes")&gt;0,20,0)</f>
        <v/>
      </c>
      <c r="F17">
        <f>IF(COUNTIFS('Staff Weekly'!A:A,$A17,'Staff Weekly'!C:C,$B17,'Staff Weekly'!D:D,"Yes")&gt;0,20,0)</f>
        <v/>
      </c>
      <c r="G17">
        <f>IF($B17="","",IF(COUNTIFS('Class Reports'!A:A,$A17,'Class Reports'!D:D,$B17,'Class Reports'!G:G,"Poor") + COUNTIFS('Class Reports'!A:A,$A17,'Class Reports'!D:D,$B17,'Class Reports'!H:H,"Low")=0,20,10))</f>
        <v/>
      </c>
      <c r="H17">
        <f>IF($B17="","",IF(COUNTIFS('Subject Reports'!A:A,$A17,'Subject Reports'!D:D,$B17,'Subject Reports'!G:G,"Behind")=0,20,10))</f>
        <v/>
      </c>
      <c r="I17">
        <f>IF($B17="","",SUM(D17:H17))</f>
        <v/>
      </c>
      <c r="J17">
        <f>IF($I17="","",RANK($I17,$I$2:$I$200,0))</f>
        <v/>
      </c>
      <c r="K17">
        <f>IF($I17="","",IF($I17&gt;=90,"Outstanding",IF($I17&gt;=75,"Very Good",IF($I17&gt;=60,"Good","Needs Support"))))</f>
        <v/>
      </c>
    </row>
    <row r="18">
      <c r="D18">
        <f>IF(COUNTIFS('Staff Weekly'!A:A,$A18,'Staff Weekly'!C:C,$B18,'Staff Weekly'!F:F,"Yes")&gt;0,20,0)</f>
        <v/>
      </c>
      <c r="E18">
        <f>IF(COUNTIFS('Staff Weekly'!A:A,$A18,'Staff Weekly'!C:C,$B18,'Staff Weekly'!G:G,"Yes")&gt;0,20,0)</f>
        <v/>
      </c>
      <c r="F18">
        <f>IF(COUNTIFS('Staff Weekly'!A:A,$A18,'Staff Weekly'!C:C,$B18,'Staff Weekly'!D:D,"Yes")&gt;0,20,0)</f>
        <v/>
      </c>
      <c r="G18">
        <f>IF($B18="","",IF(COUNTIFS('Class Reports'!A:A,$A18,'Class Reports'!D:D,$B18,'Class Reports'!G:G,"Poor") + COUNTIFS('Class Reports'!A:A,$A18,'Class Reports'!D:D,$B18,'Class Reports'!H:H,"Low")=0,20,10))</f>
        <v/>
      </c>
      <c r="H18">
        <f>IF($B18="","",IF(COUNTIFS('Subject Reports'!A:A,$A18,'Subject Reports'!D:D,$B18,'Subject Reports'!G:G,"Behind")=0,20,10))</f>
        <v/>
      </c>
      <c r="I18">
        <f>IF($B18="","",SUM(D18:H18))</f>
        <v/>
      </c>
      <c r="J18">
        <f>IF($I18="","",RANK($I18,$I$2:$I$200,0))</f>
        <v/>
      </c>
      <c r="K18">
        <f>IF($I18="","",IF($I18&gt;=90,"Outstanding",IF($I18&gt;=75,"Very Good",IF($I18&gt;=60,"Good","Needs Support"))))</f>
        <v/>
      </c>
    </row>
    <row r="19">
      <c r="D19">
        <f>IF(COUNTIFS('Staff Weekly'!A:A,$A19,'Staff Weekly'!C:C,$B19,'Staff Weekly'!F:F,"Yes")&gt;0,20,0)</f>
        <v/>
      </c>
      <c r="E19">
        <f>IF(COUNTIFS('Staff Weekly'!A:A,$A19,'Staff Weekly'!C:C,$B19,'Staff Weekly'!G:G,"Yes")&gt;0,20,0)</f>
        <v/>
      </c>
      <c r="F19">
        <f>IF(COUNTIFS('Staff Weekly'!A:A,$A19,'Staff Weekly'!C:C,$B19,'Staff Weekly'!D:D,"Yes")&gt;0,20,0)</f>
        <v/>
      </c>
      <c r="G19">
        <f>IF($B19="","",IF(COUNTIFS('Class Reports'!A:A,$A19,'Class Reports'!D:D,$B19,'Class Reports'!G:G,"Poor") + COUNTIFS('Class Reports'!A:A,$A19,'Class Reports'!D:D,$B19,'Class Reports'!H:H,"Low")=0,20,10))</f>
        <v/>
      </c>
      <c r="H19">
        <f>IF($B19="","",IF(COUNTIFS('Subject Reports'!A:A,$A19,'Subject Reports'!D:D,$B19,'Subject Reports'!G:G,"Behind")=0,20,10))</f>
        <v/>
      </c>
      <c r="I19">
        <f>IF($B19="","",SUM(D19:H19))</f>
        <v/>
      </c>
      <c r="J19">
        <f>IF($I19="","",RANK($I19,$I$2:$I$200,0))</f>
        <v/>
      </c>
      <c r="K19">
        <f>IF($I19="","",IF($I19&gt;=90,"Outstanding",IF($I19&gt;=75,"Very Good",IF($I19&gt;=60,"Good","Needs Support"))))</f>
        <v/>
      </c>
    </row>
    <row r="20">
      <c r="D20">
        <f>IF(COUNTIFS('Staff Weekly'!A:A,$A20,'Staff Weekly'!C:C,$B20,'Staff Weekly'!F:F,"Yes")&gt;0,20,0)</f>
        <v/>
      </c>
      <c r="E20">
        <f>IF(COUNTIFS('Staff Weekly'!A:A,$A20,'Staff Weekly'!C:C,$B20,'Staff Weekly'!G:G,"Yes")&gt;0,20,0)</f>
        <v/>
      </c>
      <c r="F20">
        <f>IF(COUNTIFS('Staff Weekly'!A:A,$A20,'Staff Weekly'!C:C,$B20,'Staff Weekly'!D:D,"Yes")&gt;0,20,0)</f>
        <v/>
      </c>
      <c r="G20">
        <f>IF($B20="","",IF(COUNTIFS('Class Reports'!A:A,$A20,'Class Reports'!D:D,$B20,'Class Reports'!G:G,"Poor") + COUNTIFS('Class Reports'!A:A,$A20,'Class Reports'!D:D,$B20,'Class Reports'!H:H,"Low")=0,20,10))</f>
        <v/>
      </c>
      <c r="H20">
        <f>IF($B20="","",IF(COUNTIFS('Subject Reports'!A:A,$A20,'Subject Reports'!D:D,$B20,'Subject Reports'!G:G,"Behind")=0,20,10))</f>
        <v/>
      </c>
      <c r="I20">
        <f>IF($B20="","",SUM(D20:H20))</f>
        <v/>
      </c>
      <c r="J20">
        <f>IF($I20="","",RANK($I20,$I$2:$I$200,0))</f>
        <v/>
      </c>
      <c r="K20">
        <f>IF($I20="","",IF($I20&gt;=90,"Outstanding",IF($I20&gt;=75,"Very Good",IF($I20&gt;=60,"Good","Needs Support"))))</f>
        <v/>
      </c>
    </row>
    <row r="21">
      <c r="D21">
        <f>IF(COUNTIFS('Staff Weekly'!A:A,$A21,'Staff Weekly'!C:C,$B21,'Staff Weekly'!F:F,"Yes")&gt;0,20,0)</f>
        <v/>
      </c>
      <c r="E21">
        <f>IF(COUNTIFS('Staff Weekly'!A:A,$A21,'Staff Weekly'!C:C,$B21,'Staff Weekly'!G:G,"Yes")&gt;0,20,0)</f>
        <v/>
      </c>
      <c r="F21">
        <f>IF(COUNTIFS('Staff Weekly'!A:A,$A21,'Staff Weekly'!C:C,$B21,'Staff Weekly'!D:D,"Yes")&gt;0,20,0)</f>
        <v/>
      </c>
      <c r="G21">
        <f>IF($B21="","",IF(COUNTIFS('Class Reports'!A:A,$A21,'Class Reports'!D:D,$B21,'Class Reports'!G:G,"Poor") + COUNTIFS('Class Reports'!A:A,$A21,'Class Reports'!D:D,$B21,'Class Reports'!H:H,"Low")=0,20,10))</f>
        <v/>
      </c>
      <c r="H21">
        <f>IF($B21="","",IF(COUNTIFS('Subject Reports'!A:A,$A21,'Subject Reports'!D:D,$B21,'Subject Reports'!G:G,"Behind")=0,20,10))</f>
        <v/>
      </c>
      <c r="I21">
        <f>IF($B21="","",SUM(D21:H21))</f>
        <v/>
      </c>
      <c r="J21">
        <f>IF($I21="","",RANK($I21,$I$2:$I$200,0))</f>
        <v/>
      </c>
      <c r="K21">
        <f>IF($I21="","",IF($I21&gt;=90,"Outstanding",IF($I21&gt;=75,"Very Good",IF($I21&gt;=60,"Good","Needs Support"))))</f>
        <v/>
      </c>
    </row>
    <row r="22">
      <c r="D22">
        <f>IF(COUNTIFS('Staff Weekly'!A:A,$A22,'Staff Weekly'!C:C,$B22,'Staff Weekly'!F:F,"Yes")&gt;0,20,0)</f>
        <v/>
      </c>
      <c r="E22">
        <f>IF(COUNTIFS('Staff Weekly'!A:A,$A22,'Staff Weekly'!C:C,$B22,'Staff Weekly'!G:G,"Yes")&gt;0,20,0)</f>
        <v/>
      </c>
      <c r="F22">
        <f>IF(COUNTIFS('Staff Weekly'!A:A,$A22,'Staff Weekly'!C:C,$B22,'Staff Weekly'!D:D,"Yes")&gt;0,20,0)</f>
        <v/>
      </c>
      <c r="G22">
        <f>IF($B22="","",IF(COUNTIFS('Class Reports'!A:A,$A22,'Class Reports'!D:D,$B22,'Class Reports'!G:G,"Poor") + COUNTIFS('Class Reports'!A:A,$A22,'Class Reports'!D:D,$B22,'Class Reports'!H:H,"Low")=0,20,10))</f>
        <v/>
      </c>
      <c r="H22">
        <f>IF($B22="","",IF(COUNTIFS('Subject Reports'!A:A,$A22,'Subject Reports'!D:D,$B22,'Subject Reports'!G:G,"Behind")=0,20,10))</f>
        <v/>
      </c>
      <c r="I22">
        <f>IF($B22="","",SUM(D22:H22))</f>
        <v/>
      </c>
      <c r="J22">
        <f>IF($I22="","",RANK($I22,$I$2:$I$200,0))</f>
        <v/>
      </c>
      <c r="K22">
        <f>IF($I22="","",IF($I22&gt;=90,"Outstanding",IF($I22&gt;=75,"Very Good",IF($I22&gt;=60,"Good","Needs Support"))))</f>
        <v/>
      </c>
    </row>
    <row r="23">
      <c r="D23">
        <f>IF(COUNTIFS('Staff Weekly'!A:A,$A23,'Staff Weekly'!C:C,$B23,'Staff Weekly'!F:F,"Yes")&gt;0,20,0)</f>
        <v/>
      </c>
      <c r="E23">
        <f>IF(COUNTIFS('Staff Weekly'!A:A,$A23,'Staff Weekly'!C:C,$B23,'Staff Weekly'!G:G,"Yes")&gt;0,20,0)</f>
        <v/>
      </c>
      <c r="F23">
        <f>IF(COUNTIFS('Staff Weekly'!A:A,$A23,'Staff Weekly'!C:C,$B23,'Staff Weekly'!D:D,"Yes")&gt;0,20,0)</f>
        <v/>
      </c>
      <c r="G23">
        <f>IF($B23="","",IF(COUNTIFS('Class Reports'!A:A,$A23,'Class Reports'!D:D,$B23,'Class Reports'!G:G,"Poor") + COUNTIFS('Class Reports'!A:A,$A23,'Class Reports'!D:D,$B23,'Class Reports'!H:H,"Low")=0,20,10))</f>
        <v/>
      </c>
      <c r="H23">
        <f>IF($B23="","",IF(COUNTIFS('Subject Reports'!A:A,$A23,'Subject Reports'!D:D,$B23,'Subject Reports'!G:G,"Behind")=0,20,10))</f>
        <v/>
      </c>
      <c r="I23">
        <f>IF($B23="","",SUM(D23:H23))</f>
        <v/>
      </c>
      <c r="J23">
        <f>IF($I23="","",RANK($I23,$I$2:$I$200,0))</f>
        <v/>
      </c>
      <c r="K23">
        <f>IF($I23="","",IF($I23&gt;=90,"Outstanding",IF($I23&gt;=75,"Very Good",IF($I23&gt;=60,"Good","Needs Support"))))</f>
        <v/>
      </c>
    </row>
    <row r="24">
      <c r="D24">
        <f>IF(COUNTIFS('Staff Weekly'!A:A,$A24,'Staff Weekly'!C:C,$B24,'Staff Weekly'!F:F,"Yes")&gt;0,20,0)</f>
        <v/>
      </c>
      <c r="E24">
        <f>IF(COUNTIFS('Staff Weekly'!A:A,$A24,'Staff Weekly'!C:C,$B24,'Staff Weekly'!G:G,"Yes")&gt;0,20,0)</f>
        <v/>
      </c>
      <c r="F24">
        <f>IF(COUNTIFS('Staff Weekly'!A:A,$A24,'Staff Weekly'!C:C,$B24,'Staff Weekly'!D:D,"Yes")&gt;0,20,0)</f>
        <v/>
      </c>
      <c r="G24">
        <f>IF($B24="","",IF(COUNTIFS('Class Reports'!A:A,$A24,'Class Reports'!D:D,$B24,'Class Reports'!G:G,"Poor") + COUNTIFS('Class Reports'!A:A,$A24,'Class Reports'!D:D,$B24,'Class Reports'!H:H,"Low")=0,20,10))</f>
        <v/>
      </c>
      <c r="H24">
        <f>IF($B24="","",IF(COUNTIFS('Subject Reports'!A:A,$A24,'Subject Reports'!D:D,$B24,'Subject Reports'!G:G,"Behind")=0,20,10))</f>
        <v/>
      </c>
      <c r="I24">
        <f>IF($B24="","",SUM(D24:H24))</f>
        <v/>
      </c>
      <c r="J24">
        <f>IF($I24="","",RANK($I24,$I$2:$I$200,0))</f>
        <v/>
      </c>
      <c r="K24">
        <f>IF($I24="","",IF($I24&gt;=90,"Outstanding",IF($I24&gt;=75,"Very Good",IF($I24&gt;=60,"Good","Needs Support"))))</f>
        <v/>
      </c>
    </row>
    <row r="25">
      <c r="D25">
        <f>IF(COUNTIFS('Staff Weekly'!A:A,$A25,'Staff Weekly'!C:C,$B25,'Staff Weekly'!F:F,"Yes")&gt;0,20,0)</f>
        <v/>
      </c>
      <c r="E25">
        <f>IF(COUNTIFS('Staff Weekly'!A:A,$A25,'Staff Weekly'!C:C,$B25,'Staff Weekly'!G:G,"Yes")&gt;0,20,0)</f>
        <v/>
      </c>
      <c r="F25">
        <f>IF(COUNTIFS('Staff Weekly'!A:A,$A25,'Staff Weekly'!C:C,$B25,'Staff Weekly'!D:D,"Yes")&gt;0,20,0)</f>
        <v/>
      </c>
      <c r="G25">
        <f>IF($B25="","",IF(COUNTIFS('Class Reports'!A:A,$A25,'Class Reports'!D:D,$B25,'Class Reports'!G:G,"Poor") + COUNTIFS('Class Reports'!A:A,$A25,'Class Reports'!D:D,$B25,'Class Reports'!H:H,"Low")=0,20,10))</f>
        <v/>
      </c>
      <c r="H25">
        <f>IF($B25="","",IF(COUNTIFS('Subject Reports'!A:A,$A25,'Subject Reports'!D:D,$B25,'Subject Reports'!G:G,"Behind")=0,20,10))</f>
        <v/>
      </c>
      <c r="I25">
        <f>IF($B25="","",SUM(D25:H25))</f>
        <v/>
      </c>
      <c r="J25">
        <f>IF($I25="","",RANK($I25,$I$2:$I$200,0))</f>
        <v/>
      </c>
      <c r="K25">
        <f>IF($I25="","",IF($I25&gt;=90,"Outstanding",IF($I25&gt;=75,"Very Good",IF($I25&gt;=60,"Good","Needs Support"))))</f>
        <v/>
      </c>
    </row>
    <row r="26">
      <c r="D26">
        <f>IF(COUNTIFS('Staff Weekly'!A:A,$A26,'Staff Weekly'!C:C,$B26,'Staff Weekly'!F:F,"Yes")&gt;0,20,0)</f>
        <v/>
      </c>
      <c r="E26">
        <f>IF(COUNTIFS('Staff Weekly'!A:A,$A26,'Staff Weekly'!C:C,$B26,'Staff Weekly'!G:G,"Yes")&gt;0,20,0)</f>
        <v/>
      </c>
      <c r="F26">
        <f>IF(COUNTIFS('Staff Weekly'!A:A,$A26,'Staff Weekly'!C:C,$B26,'Staff Weekly'!D:D,"Yes")&gt;0,20,0)</f>
        <v/>
      </c>
      <c r="G26">
        <f>IF($B26="","",IF(COUNTIFS('Class Reports'!A:A,$A26,'Class Reports'!D:D,$B26,'Class Reports'!G:G,"Poor") + COUNTIFS('Class Reports'!A:A,$A26,'Class Reports'!D:D,$B26,'Class Reports'!H:H,"Low")=0,20,10))</f>
        <v/>
      </c>
      <c r="H26">
        <f>IF($B26="","",IF(COUNTIFS('Subject Reports'!A:A,$A26,'Subject Reports'!D:D,$B26,'Subject Reports'!G:G,"Behind")=0,20,10))</f>
        <v/>
      </c>
      <c r="I26">
        <f>IF($B26="","",SUM(D26:H26))</f>
        <v/>
      </c>
      <c r="J26">
        <f>IF($I26="","",RANK($I26,$I$2:$I$200,0))</f>
        <v/>
      </c>
      <c r="K26">
        <f>IF($I26="","",IF($I26&gt;=90,"Outstanding",IF($I26&gt;=75,"Very Good",IF($I26&gt;=60,"Good","Needs Support"))))</f>
        <v/>
      </c>
    </row>
    <row r="27">
      <c r="D27">
        <f>IF(COUNTIFS('Staff Weekly'!A:A,$A27,'Staff Weekly'!C:C,$B27,'Staff Weekly'!F:F,"Yes")&gt;0,20,0)</f>
        <v/>
      </c>
      <c r="E27">
        <f>IF(COUNTIFS('Staff Weekly'!A:A,$A27,'Staff Weekly'!C:C,$B27,'Staff Weekly'!G:G,"Yes")&gt;0,20,0)</f>
        <v/>
      </c>
      <c r="F27">
        <f>IF(COUNTIFS('Staff Weekly'!A:A,$A27,'Staff Weekly'!C:C,$B27,'Staff Weekly'!D:D,"Yes")&gt;0,20,0)</f>
        <v/>
      </c>
      <c r="G27">
        <f>IF($B27="","",IF(COUNTIFS('Class Reports'!A:A,$A27,'Class Reports'!D:D,$B27,'Class Reports'!G:G,"Poor") + COUNTIFS('Class Reports'!A:A,$A27,'Class Reports'!D:D,$B27,'Class Reports'!H:H,"Low")=0,20,10))</f>
        <v/>
      </c>
      <c r="H27">
        <f>IF($B27="","",IF(COUNTIFS('Subject Reports'!A:A,$A27,'Subject Reports'!D:D,$B27,'Subject Reports'!G:G,"Behind")=0,20,10))</f>
        <v/>
      </c>
      <c r="I27">
        <f>IF($B27="","",SUM(D27:H27))</f>
        <v/>
      </c>
      <c r="J27">
        <f>IF($I27="","",RANK($I27,$I$2:$I$200,0))</f>
        <v/>
      </c>
      <c r="K27">
        <f>IF($I27="","",IF($I27&gt;=90,"Outstanding",IF($I27&gt;=75,"Very Good",IF($I27&gt;=60,"Good","Needs Support"))))</f>
        <v/>
      </c>
    </row>
    <row r="28">
      <c r="D28">
        <f>IF(COUNTIFS('Staff Weekly'!A:A,$A28,'Staff Weekly'!C:C,$B28,'Staff Weekly'!F:F,"Yes")&gt;0,20,0)</f>
        <v/>
      </c>
      <c r="E28">
        <f>IF(COUNTIFS('Staff Weekly'!A:A,$A28,'Staff Weekly'!C:C,$B28,'Staff Weekly'!G:G,"Yes")&gt;0,20,0)</f>
        <v/>
      </c>
      <c r="F28">
        <f>IF(COUNTIFS('Staff Weekly'!A:A,$A28,'Staff Weekly'!C:C,$B28,'Staff Weekly'!D:D,"Yes")&gt;0,20,0)</f>
        <v/>
      </c>
      <c r="G28">
        <f>IF($B28="","",IF(COUNTIFS('Class Reports'!A:A,$A28,'Class Reports'!D:D,$B28,'Class Reports'!G:G,"Poor") + COUNTIFS('Class Reports'!A:A,$A28,'Class Reports'!D:D,$B28,'Class Reports'!H:H,"Low")=0,20,10))</f>
        <v/>
      </c>
      <c r="H28">
        <f>IF($B28="","",IF(COUNTIFS('Subject Reports'!A:A,$A28,'Subject Reports'!D:D,$B28,'Subject Reports'!G:G,"Behind")=0,20,10))</f>
        <v/>
      </c>
      <c r="I28">
        <f>IF($B28="","",SUM(D28:H28))</f>
        <v/>
      </c>
      <c r="J28">
        <f>IF($I28="","",RANK($I28,$I$2:$I$200,0))</f>
        <v/>
      </c>
      <c r="K28">
        <f>IF($I28="","",IF($I28&gt;=90,"Outstanding",IF($I28&gt;=75,"Very Good",IF($I28&gt;=60,"Good","Needs Support"))))</f>
        <v/>
      </c>
    </row>
    <row r="29">
      <c r="D29">
        <f>IF(COUNTIFS('Staff Weekly'!A:A,$A29,'Staff Weekly'!C:C,$B29,'Staff Weekly'!F:F,"Yes")&gt;0,20,0)</f>
        <v/>
      </c>
      <c r="E29">
        <f>IF(COUNTIFS('Staff Weekly'!A:A,$A29,'Staff Weekly'!C:C,$B29,'Staff Weekly'!G:G,"Yes")&gt;0,20,0)</f>
        <v/>
      </c>
      <c r="F29">
        <f>IF(COUNTIFS('Staff Weekly'!A:A,$A29,'Staff Weekly'!C:C,$B29,'Staff Weekly'!D:D,"Yes")&gt;0,20,0)</f>
        <v/>
      </c>
      <c r="G29">
        <f>IF($B29="","",IF(COUNTIFS('Class Reports'!A:A,$A29,'Class Reports'!D:D,$B29,'Class Reports'!G:G,"Poor") + COUNTIFS('Class Reports'!A:A,$A29,'Class Reports'!D:D,$B29,'Class Reports'!H:H,"Low")=0,20,10))</f>
        <v/>
      </c>
      <c r="H29">
        <f>IF($B29="","",IF(COUNTIFS('Subject Reports'!A:A,$A29,'Subject Reports'!D:D,$B29,'Subject Reports'!G:G,"Behind")=0,20,10))</f>
        <v/>
      </c>
      <c r="I29">
        <f>IF($B29="","",SUM(D29:H29))</f>
        <v/>
      </c>
      <c r="J29">
        <f>IF($I29="","",RANK($I29,$I$2:$I$200,0))</f>
        <v/>
      </c>
      <c r="K29">
        <f>IF($I29="","",IF($I29&gt;=90,"Outstanding",IF($I29&gt;=75,"Very Good",IF($I29&gt;=60,"Good","Needs Support"))))</f>
        <v/>
      </c>
    </row>
    <row r="30">
      <c r="D30">
        <f>IF(COUNTIFS('Staff Weekly'!A:A,$A30,'Staff Weekly'!C:C,$B30,'Staff Weekly'!F:F,"Yes")&gt;0,20,0)</f>
        <v/>
      </c>
      <c r="E30">
        <f>IF(COUNTIFS('Staff Weekly'!A:A,$A30,'Staff Weekly'!C:C,$B30,'Staff Weekly'!G:G,"Yes")&gt;0,20,0)</f>
        <v/>
      </c>
      <c r="F30">
        <f>IF(COUNTIFS('Staff Weekly'!A:A,$A30,'Staff Weekly'!C:C,$B30,'Staff Weekly'!D:D,"Yes")&gt;0,20,0)</f>
        <v/>
      </c>
      <c r="G30">
        <f>IF($B30="","",IF(COUNTIFS('Class Reports'!A:A,$A30,'Class Reports'!D:D,$B30,'Class Reports'!G:G,"Poor") + COUNTIFS('Class Reports'!A:A,$A30,'Class Reports'!D:D,$B30,'Class Reports'!H:H,"Low")=0,20,10))</f>
        <v/>
      </c>
      <c r="H30">
        <f>IF($B30="","",IF(COUNTIFS('Subject Reports'!A:A,$A30,'Subject Reports'!D:D,$B30,'Subject Reports'!G:G,"Behind")=0,20,10))</f>
        <v/>
      </c>
      <c r="I30">
        <f>IF($B30="","",SUM(D30:H30))</f>
        <v/>
      </c>
      <c r="J30">
        <f>IF($I30="","",RANK($I30,$I$2:$I$200,0))</f>
        <v/>
      </c>
      <c r="K30">
        <f>IF($I30="","",IF($I30&gt;=90,"Outstanding",IF($I30&gt;=75,"Very Good",IF($I30&gt;=60,"Good","Needs Support"))))</f>
        <v/>
      </c>
    </row>
    <row r="31">
      <c r="D31">
        <f>IF(COUNTIFS('Staff Weekly'!A:A,$A31,'Staff Weekly'!C:C,$B31,'Staff Weekly'!F:F,"Yes")&gt;0,20,0)</f>
        <v/>
      </c>
      <c r="E31">
        <f>IF(COUNTIFS('Staff Weekly'!A:A,$A31,'Staff Weekly'!C:C,$B31,'Staff Weekly'!G:G,"Yes")&gt;0,20,0)</f>
        <v/>
      </c>
      <c r="F31">
        <f>IF(COUNTIFS('Staff Weekly'!A:A,$A31,'Staff Weekly'!C:C,$B31,'Staff Weekly'!D:D,"Yes")&gt;0,20,0)</f>
        <v/>
      </c>
      <c r="G31">
        <f>IF($B31="","",IF(COUNTIFS('Class Reports'!A:A,$A31,'Class Reports'!D:D,$B31,'Class Reports'!G:G,"Poor") + COUNTIFS('Class Reports'!A:A,$A31,'Class Reports'!D:D,$B31,'Class Reports'!H:H,"Low")=0,20,10))</f>
        <v/>
      </c>
      <c r="H31">
        <f>IF($B31="","",IF(COUNTIFS('Subject Reports'!A:A,$A31,'Subject Reports'!D:D,$B31,'Subject Reports'!G:G,"Behind")=0,20,10))</f>
        <v/>
      </c>
      <c r="I31">
        <f>IF($B31="","",SUM(D31:H31))</f>
        <v/>
      </c>
      <c r="J31">
        <f>IF($I31="","",RANK($I31,$I$2:$I$200,0))</f>
        <v/>
      </c>
      <c r="K31">
        <f>IF($I31="","",IF($I31&gt;=90,"Outstanding",IF($I31&gt;=75,"Very Good",IF($I31&gt;=60,"Good","Needs Support"))))</f>
        <v/>
      </c>
    </row>
    <row r="32">
      <c r="D32">
        <f>IF(COUNTIFS('Staff Weekly'!A:A,$A32,'Staff Weekly'!C:C,$B32,'Staff Weekly'!F:F,"Yes")&gt;0,20,0)</f>
        <v/>
      </c>
      <c r="E32">
        <f>IF(COUNTIFS('Staff Weekly'!A:A,$A32,'Staff Weekly'!C:C,$B32,'Staff Weekly'!G:G,"Yes")&gt;0,20,0)</f>
        <v/>
      </c>
      <c r="F32">
        <f>IF(COUNTIFS('Staff Weekly'!A:A,$A32,'Staff Weekly'!C:C,$B32,'Staff Weekly'!D:D,"Yes")&gt;0,20,0)</f>
        <v/>
      </c>
      <c r="G32">
        <f>IF($B32="","",IF(COUNTIFS('Class Reports'!A:A,$A32,'Class Reports'!D:D,$B32,'Class Reports'!G:G,"Poor") + COUNTIFS('Class Reports'!A:A,$A32,'Class Reports'!D:D,$B32,'Class Reports'!H:H,"Low")=0,20,10))</f>
        <v/>
      </c>
      <c r="H32">
        <f>IF($B32="","",IF(COUNTIFS('Subject Reports'!A:A,$A32,'Subject Reports'!D:D,$B32,'Subject Reports'!G:G,"Behind")=0,20,10))</f>
        <v/>
      </c>
      <c r="I32">
        <f>IF($B32="","",SUM(D32:H32))</f>
        <v/>
      </c>
      <c r="J32">
        <f>IF($I32="","",RANK($I32,$I$2:$I$200,0))</f>
        <v/>
      </c>
      <c r="K32">
        <f>IF($I32="","",IF($I32&gt;=90,"Outstanding",IF($I32&gt;=75,"Very Good",IF($I32&gt;=60,"Good","Needs Support"))))</f>
        <v/>
      </c>
    </row>
    <row r="33">
      <c r="D33">
        <f>IF(COUNTIFS('Staff Weekly'!A:A,$A33,'Staff Weekly'!C:C,$B33,'Staff Weekly'!F:F,"Yes")&gt;0,20,0)</f>
        <v/>
      </c>
      <c r="E33">
        <f>IF(COUNTIFS('Staff Weekly'!A:A,$A33,'Staff Weekly'!C:C,$B33,'Staff Weekly'!G:G,"Yes")&gt;0,20,0)</f>
        <v/>
      </c>
      <c r="F33">
        <f>IF(COUNTIFS('Staff Weekly'!A:A,$A33,'Staff Weekly'!C:C,$B33,'Staff Weekly'!D:D,"Yes")&gt;0,20,0)</f>
        <v/>
      </c>
      <c r="G33">
        <f>IF($B33="","",IF(COUNTIFS('Class Reports'!A:A,$A33,'Class Reports'!D:D,$B33,'Class Reports'!G:G,"Poor") + COUNTIFS('Class Reports'!A:A,$A33,'Class Reports'!D:D,$B33,'Class Reports'!H:H,"Low")=0,20,10))</f>
        <v/>
      </c>
      <c r="H33">
        <f>IF($B33="","",IF(COUNTIFS('Subject Reports'!A:A,$A33,'Subject Reports'!D:D,$B33,'Subject Reports'!G:G,"Behind")=0,20,10))</f>
        <v/>
      </c>
      <c r="I33">
        <f>IF($B33="","",SUM(D33:H33))</f>
        <v/>
      </c>
      <c r="J33">
        <f>IF($I33="","",RANK($I33,$I$2:$I$200,0))</f>
        <v/>
      </c>
      <c r="K33">
        <f>IF($I33="","",IF($I33&gt;=90,"Outstanding",IF($I33&gt;=75,"Very Good",IF($I33&gt;=60,"Good","Needs Support"))))</f>
        <v/>
      </c>
    </row>
    <row r="34">
      <c r="D34">
        <f>IF(COUNTIFS('Staff Weekly'!A:A,$A34,'Staff Weekly'!C:C,$B34,'Staff Weekly'!F:F,"Yes")&gt;0,20,0)</f>
        <v/>
      </c>
      <c r="E34">
        <f>IF(COUNTIFS('Staff Weekly'!A:A,$A34,'Staff Weekly'!C:C,$B34,'Staff Weekly'!G:G,"Yes")&gt;0,20,0)</f>
        <v/>
      </c>
      <c r="F34">
        <f>IF(COUNTIFS('Staff Weekly'!A:A,$A34,'Staff Weekly'!C:C,$B34,'Staff Weekly'!D:D,"Yes")&gt;0,20,0)</f>
        <v/>
      </c>
      <c r="G34">
        <f>IF($B34="","",IF(COUNTIFS('Class Reports'!A:A,$A34,'Class Reports'!D:D,$B34,'Class Reports'!G:G,"Poor") + COUNTIFS('Class Reports'!A:A,$A34,'Class Reports'!D:D,$B34,'Class Reports'!H:H,"Low")=0,20,10))</f>
        <v/>
      </c>
      <c r="H34">
        <f>IF($B34="","",IF(COUNTIFS('Subject Reports'!A:A,$A34,'Subject Reports'!D:D,$B34,'Subject Reports'!G:G,"Behind")=0,20,10))</f>
        <v/>
      </c>
      <c r="I34">
        <f>IF($B34="","",SUM(D34:H34))</f>
        <v/>
      </c>
      <c r="J34">
        <f>IF($I34="","",RANK($I34,$I$2:$I$200,0))</f>
        <v/>
      </c>
      <c r="K34">
        <f>IF($I34="","",IF($I34&gt;=90,"Outstanding",IF($I34&gt;=75,"Very Good",IF($I34&gt;=60,"Good","Needs Support"))))</f>
        <v/>
      </c>
    </row>
    <row r="35">
      <c r="D35">
        <f>IF(COUNTIFS('Staff Weekly'!A:A,$A35,'Staff Weekly'!C:C,$B35,'Staff Weekly'!F:F,"Yes")&gt;0,20,0)</f>
        <v/>
      </c>
      <c r="E35">
        <f>IF(COUNTIFS('Staff Weekly'!A:A,$A35,'Staff Weekly'!C:C,$B35,'Staff Weekly'!G:G,"Yes")&gt;0,20,0)</f>
        <v/>
      </c>
      <c r="F35">
        <f>IF(COUNTIFS('Staff Weekly'!A:A,$A35,'Staff Weekly'!C:C,$B35,'Staff Weekly'!D:D,"Yes")&gt;0,20,0)</f>
        <v/>
      </c>
      <c r="G35">
        <f>IF($B35="","",IF(COUNTIFS('Class Reports'!A:A,$A35,'Class Reports'!D:D,$B35,'Class Reports'!G:G,"Poor") + COUNTIFS('Class Reports'!A:A,$A35,'Class Reports'!D:D,$B35,'Class Reports'!H:H,"Low")=0,20,10))</f>
        <v/>
      </c>
      <c r="H35">
        <f>IF($B35="","",IF(COUNTIFS('Subject Reports'!A:A,$A35,'Subject Reports'!D:D,$B35,'Subject Reports'!G:G,"Behind")=0,20,10))</f>
        <v/>
      </c>
      <c r="I35">
        <f>IF($B35="","",SUM(D35:H35))</f>
        <v/>
      </c>
      <c r="J35">
        <f>IF($I35="","",RANK($I35,$I$2:$I$200,0))</f>
        <v/>
      </c>
      <c r="K35">
        <f>IF($I35="","",IF($I35&gt;=90,"Outstanding",IF($I35&gt;=75,"Very Good",IF($I35&gt;=60,"Good","Needs Support"))))</f>
        <v/>
      </c>
    </row>
    <row r="36">
      <c r="D36">
        <f>IF(COUNTIFS('Staff Weekly'!A:A,$A36,'Staff Weekly'!C:C,$B36,'Staff Weekly'!F:F,"Yes")&gt;0,20,0)</f>
        <v/>
      </c>
      <c r="E36">
        <f>IF(COUNTIFS('Staff Weekly'!A:A,$A36,'Staff Weekly'!C:C,$B36,'Staff Weekly'!G:G,"Yes")&gt;0,20,0)</f>
        <v/>
      </c>
      <c r="F36">
        <f>IF(COUNTIFS('Staff Weekly'!A:A,$A36,'Staff Weekly'!C:C,$B36,'Staff Weekly'!D:D,"Yes")&gt;0,20,0)</f>
        <v/>
      </c>
      <c r="G36">
        <f>IF($B36="","",IF(COUNTIFS('Class Reports'!A:A,$A36,'Class Reports'!D:D,$B36,'Class Reports'!G:G,"Poor") + COUNTIFS('Class Reports'!A:A,$A36,'Class Reports'!D:D,$B36,'Class Reports'!H:H,"Low")=0,20,10))</f>
        <v/>
      </c>
      <c r="H36">
        <f>IF($B36="","",IF(COUNTIFS('Subject Reports'!A:A,$A36,'Subject Reports'!D:D,$B36,'Subject Reports'!G:G,"Behind")=0,20,10))</f>
        <v/>
      </c>
      <c r="I36">
        <f>IF($B36="","",SUM(D36:H36))</f>
        <v/>
      </c>
      <c r="J36">
        <f>IF($I36="","",RANK($I36,$I$2:$I$200,0))</f>
        <v/>
      </c>
      <c r="K36">
        <f>IF($I36="","",IF($I36&gt;=90,"Outstanding",IF($I36&gt;=75,"Very Good",IF($I36&gt;=60,"Good","Needs Support"))))</f>
        <v/>
      </c>
    </row>
    <row r="37">
      <c r="D37">
        <f>IF(COUNTIFS('Staff Weekly'!A:A,$A37,'Staff Weekly'!C:C,$B37,'Staff Weekly'!F:F,"Yes")&gt;0,20,0)</f>
        <v/>
      </c>
      <c r="E37">
        <f>IF(COUNTIFS('Staff Weekly'!A:A,$A37,'Staff Weekly'!C:C,$B37,'Staff Weekly'!G:G,"Yes")&gt;0,20,0)</f>
        <v/>
      </c>
      <c r="F37">
        <f>IF(COUNTIFS('Staff Weekly'!A:A,$A37,'Staff Weekly'!C:C,$B37,'Staff Weekly'!D:D,"Yes")&gt;0,20,0)</f>
        <v/>
      </c>
      <c r="G37">
        <f>IF($B37="","",IF(COUNTIFS('Class Reports'!A:A,$A37,'Class Reports'!D:D,$B37,'Class Reports'!G:G,"Poor") + COUNTIFS('Class Reports'!A:A,$A37,'Class Reports'!D:D,$B37,'Class Reports'!H:H,"Low")=0,20,10))</f>
        <v/>
      </c>
      <c r="H37">
        <f>IF($B37="","",IF(COUNTIFS('Subject Reports'!A:A,$A37,'Subject Reports'!D:D,$B37,'Subject Reports'!G:G,"Behind")=0,20,10))</f>
        <v/>
      </c>
      <c r="I37">
        <f>IF($B37="","",SUM(D37:H37))</f>
        <v/>
      </c>
      <c r="J37">
        <f>IF($I37="","",RANK($I37,$I$2:$I$200,0))</f>
        <v/>
      </c>
      <c r="K37">
        <f>IF($I37="","",IF($I37&gt;=90,"Outstanding",IF($I37&gt;=75,"Very Good",IF($I37&gt;=60,"Good","Needs Support"))))</f>
        <v/>
      </c>
    </row>
    <row r="38">
      <c r="D38">
        <f>IF(COUNTIFS('Staff Weekly'!A:A,$A38,'Staff Weekly'!C:C,$B38,'Staff Weekly'!F:F,"Yes")&gt;0,20,0)</f>
        <v/>
      </c>
      <c r="E38">
        <f>IF(COUNTIFS('Staff Weekly'!A:A,$A38,'Staff Weekly'!C:C,$B38,'Staff Weekly'!G:G,"Yes")&gt;0,20,0)</f>
        <v/>
      </c>
      <c r="F38">
        <f>IF(COUNTIFS('Staff Weekly'!A:A,$A38,'Staff Weekly'!C:C,$B38,'Staff Weekly'!D:D,"Yes")&gt;0,20,0)</f>
        <v/>
      </c>
      <c r="G38">
        <f>IF($B38="","",IF(COUNTIFS('Class Reports'!A:A,$A38,'Class Reports'!D:D,$B38,'Class Reports'!G:G,"Poor") + COUNTIFS('Class Reports'!A:A,$A38,'Class Reports'!D:D,$B38,'Class Reports'!H:H,"Low")=0,20,10))</f>
        <v/>
      </c>
      <c r="H38">
        <f>IF($B38="","",IF(COUNTIFS('Subject Reports'!A:A,$A38,'Subject Reports'!D:D,$B38,'Subject Reports'!G:G,"Behind")=0,20,10))</f>
        <v/>
      </c>
      <c r="I38">
        <f>IF($B38="","",SUM(D38:H38))</f>
        <v/>
      </c>
      <c r="J38">
        <f>IF($I38="","",RANK($I38,$I$2:$I$200,0))</f>
        <v/>
      </c>
      <c r="K38">
        <f>IF($I38="","",IF($I38&gt;=90,"Outstanding",IF($I38&gt;=75,"Very Good",IF($I38&gt;=60,"Good","Needs Support"))))</f>
        <v/>
      </c>
    </row>
    <row r="39">
      <c r="D39">
        <f>IF(COUNTIFS('Staff Weekly'!A:A,$A39,'Staff Weekly'!C:C,$B39,'Staff Weekly'!F:F,"Yes")&gt;0,20,0)</f>
        <v/>
      </c>
      <c r="E39">
        <f>IF(COUNTIFS('Staff Weekly'!A:A,$A39,'Staff Weekly'!C:C,$B39,'Staff Weekly'!G:G,"Yes")&gt;0,20,0)</f>
        <v/>
      </c>
      <c r="F39">
        <f>IF(COUNTIFS('Staff Weekly'!A:A,$A39,'Staff Weekly'!C:C,$B39,'Staff Weekly'!D:D,"Yes")&gt;0,20,0)</f>
        <v/>
      </c>
      <c r="G39">
        <f>IF($B39="","",IF(COUNTIFS('Class Reports'!A:A,$A39,'Class Reports'!D:D,$B39,'Class Reports'!G:G,"Poor") + COUNTIFS('Class Reports'!A:A,$A39,'Class Reports'!D:D,$B39,'Class Reports'!H:H,"Low")=0,20,10))</f>
        <v/>
      </c>
      <c r="H39">
        <f>IF($B39="","",IF(COUNTIFS('Subject Reports'!A:A,$A39,'Subject Reports'!D:D,$B39,'Subject Reports'!G:G,"Behind")=0,20,10))</f>
        <v/>
      </c>
      <c r="I39">
        <f>IF($B39="","",SUM(D39:H39))</f>
        <v/>
      </c>
      <c r="J39">
        <f>IF($I39="","",RANK($I39,$I$2:$I$200,0))</f>
        <v/>
      </c>
      <c r="K39">
        <f>IF($I39="","",IF($I39&gt;=90,"Outstanding",IF($I39&gt;=75,"Very Good",IF($I39&gt;=60,"Good","Needs Support"))))</f>
        <v/>
      </c>
    </row>
    <row r="40">
      <c r="D40">
        <f>IF(COUNTIFS('Staff Weekly'!A:A,$A40,'Staff Weekly'!C:C,$B40,'Staff Weekly'!F:F,"Yes")&gt;0,20,0)</f>
        <v/>
      </c>
      <c r="E40">
        <f>IF(COUNTIFS('Staff Weekly'!A:A,$A40,'Staff Weekly'!C:C,$B40,'Staff Weekly'!G:G,"Yes")&gt;0,20,0)</f>
        <v/>
      </c>
      <c r="F40">
        <f>IF(COUNTIFS('Staff Weekly'!A:A,$A40,'Staff Weekly'!C:C,$B40,'Staff Weekly'!D:D,"Yes")&gt;0,20,0)</f>
        <v/>
      </c>
      <c r="G40">
        <f>IF($B40="","",IF(COUNTIFS('Class Reports'!A:A,$A40,'Class Reports'!D:D,$B40,'Class Reports'!G:G,"Poor") + COUNTIFS('Class Reports'!A:A,$A40,'Class Reports'!D:D,$B40,'Class Reports'!H:H,"Low")=0,20,10))</f>
        <v/>
      </c>
      <c r="H40">
        <f>IF($B40="","",IF(COUNTIFS('Subject Reports'!A:A,$A40,'Subject Reports'!D:D,$B40,'Subject Reports'!G:G,"Behind")=0,20,10))</f>
        <v/>
      </c>
      <c r="I40">
        <f>IF($B40="","",SUM(D40:H40))</f>
        <v/>
      </c>
      <c r="J40">
        <f>IF($I40="","",RANK($I40,$I$2:$I$200,0))</f>
        <v/>
      </c>
      <c r="K40">
        <f>IF($I40="","",IF($I40&gt;=90,"Outstanding",IF($I40&gt;=75,"Very Good",IF($I40&gt;=60,"Good","Needs Support"))))</f>
        <v/>
      </c>
    </row>
    <row r="41">
      <c r="D41">
        <f>IF(COUNTIFS('Staff Weekly'!A:A,$A41,'Staff Weekly'!C:C,$B41,'Staff Weekly'!F:F,"Yes")&gt;0,20,0)</f>
        <v/>
      </c>
      <c r="E41">
        <f>IF(COUNTIFS('Staff Weekly'!A:A,$A41,'Staff Weekly'!C:C,$B41,'Staff Weekly'!G:G,"Yes")&gt;0,20,0)</f>
        <v/>
      </c>
      <c r="F41">
        <f>IF(COUNTIFS('Staff Weekly'!A:A,$A41,'Staff Weekly'!C:C,$B41,'Staff Weekly'!D:D,"Yes")&gt;0,20,0)</f>
        <v/>
      </c>
      <c r="G41">
        <f>IF($B41="","",IF(COUNTIFS('Class Reports'!A:A,$A41,'Class Reports'!D:D,$B41,'Class Reports'!G:G,"Poor") + COUNTIFS('Class Reports'!A:A,$A41,'Class Reports'!D:D,$B41,'Class Reports'!H:H,"Low")=0,20,10))</f>
        <v/>
      </c>
      <c r="H41">
        <f>IF($B41="","",IF(COUNTIFS('Subject Reports'!A:A,$A41,'Subject Reports'!D:D,$B41,'Subject Reports'!G:G,"Behind")=0,20,10))</f>
        <v/>
      </c>
      <c r="I41">
        <f>IF($B41="","",SUM(D41:H41))</f>
        <v/>
      </c>
      <c r="J41">
        <f>IF($I41="","",RANK($I41,$I$2:$I$200,0))</f>
        <v/>
      </c>
      <c r="K41">
        <f>IF($I41="","",IF($I41&gt;=90,"Outstanding",IF($I41&gt;=75,"Very Good",IF($I41&gt;=60,"Good","Needs Support"))))</f>
        <v/>
      </c>
    </row>
    <row r="42">
      <c r="D42">
        <f>IF(COUNTIFS('Staff Weekly'!A:A,$A42,'Staff Weekly'!C:C,$B42,'Staff Weekly'!F:F,"Yes")&gt;0,20,0)</f>
        <v/>
      </c>
      <c r="E42">
        <f>IF(COUNTIFS('Staff Weekly'!A:A,$A42,'Staff Weekly'!C:C,$B42,'Staff Weekly'!G:G,"Yes")&gt;0,20,0)</f>
        <v/>
      </c>
      <c r="F42">
        <f>IF(COUNTIFS('Staff Weekly'!A:A,$A42,'Staff Weekly'!C:C,$B42,'Staff Weekly'!D:D,"Yes")&gt;0,20,0)</f>
        <v/>
      </c>
      <c r="G42">
        <f>IF($B42="","",IF(COUNTIFS('Class Reports'!A:A,$A42,'Class Reports'!D:D,$B42,'Class Reports'!G:G,"Poor") + COUNTIFS('Class Reports'!A:A,$A42,'Class Reports'!D:D,$B42,'Class Reports'!H:H,"Low")=0,20,10))</f>
        <v/>
      </c>
      <c r="H42">
        <f>IF($B42="","",IF(COUNTIFS('Subject Reports'!A:A,$A42,'Subject Reports'!D:D,$B42,'Subject Reports'!G:G,"Behind")=0,20,10))</f>
        <v/>
      </c>
      <c r="I42">
        <f>IF($B42="","",SUM(D42:H42))</f>
        <v/>
      </c>
      <c r="J42">
        <f>IF($I42="","",RANK($I42,$I$2:$I$200,0))</f>
        <v/>
      </c>
      <c r="K42">
        <f>IF($I42="","",IF($I42&gt;=90,"Outstanding",IF($I42&gt;=75,"Very Good",IF($I42&gt;=60,"Good","Needs Support"))))</f>
        <v/>
      </c>
    </row>
    <row r="43">
      <c r="D43">
        <f>IF(COUNTIFS('Staff Weekly'!A:A,$A43,'Staff Weekly'!C:C,$B43,'Staff Weekly'!F:F,"Yes")&gt;0,20,0)</f>
        <v/>
      </c>
      <c r="E43">
        <f>IF(COUNTIFS('Staff Weekly'!A:A,$A43,'Staff Weekly'!C:C,$B43,'Staff Weekly'!G:G,"Yes")&gt;0,20,0)</f>
        <v/>
      </c>
      <c r="F43">
        <f>IF(COUNTIFS('Staff Weekly'!A:A,$A43,'Staff Weekly'!C:C,$B43,'Staff Weekly'!D:D,"Yes")&gt;0,20,0)</f>
        <v/>
      </c>
      <c r="G43">
        <f>IF($B43="","",IF(COUNTIFS('Class Reports'!A:A,$A43,'Class Reports'!D:D,$B43,'Class Reports'!G:G,"Poor") + COUNTIFS('Class Reports'!A:A,$A43,'Class Reports'!D:D,$B43,'Class Reports'!H:H,"Low")=0,20,10))</f>
        <v/>
      </c>
      <c r="H43">
        <f>IF($B43="","",IF(COUNTIFS('Subject Reports'!A:A,$A43,'Subject Reports'!D:D,$B43,'Subject Reports'!G:G,"Behind")=0,20,10))</f>
        <v/>
      </c>
      <c r="I43">
        <f>IF($B43="","",SUM(D43:H43))</f>
        <v/>
      </c>
      <c r="J43">
        <f>IF($I43="","",RANK($I43,$I$2:$I$200,0))</f>
        <v/>
      </c>
      <c r="K43">
        <f>IF($I43="","",IF($I43&gt;=90,"Outstanding",IF($I43&gt;=75,"Very Good",IF($I43&gt;=60,"Good","Needs Support"))))</f>
        <v/>
      </c>
    </row>
    <row r="44">
      <c r="D44">
        <f>IF(COUNTIFS('Staff Weekly'!A:A,$A44,'Staff Weekly'!C:C,$B44,'Staff Weekly'!F:F,"Yes")&gt;0,20,0)</f>
        <v/>
      </c>
      <c r="E44">
        <f>IF(COUNTIFS('Staff Weekly'!A:A,$A44,'Staff Weekly'!C:C,$B44,'Staff Weekly'!G:G,"Yes")&gt;0,20,0)</f>
        <v/>
      </c>
      <c r="F44">
        <f>IF(COUNTIFS('Staff Weekly'!A:A,$A44,'Staff Weekly'!C:C,$B44,'Staff Weekly'!D:D,"Yes")&gt;0,20,0)</f>
        <v/>
      </c>
      <c r="G44">
        <f>IF($B44="","",IF(COUNTIFS('Class Reports'!A:A,$A44,'Class Reports'!D:D,$B44,'Class Reports'!G:G,"Poor") + COUNTIFS('Class Reports'!A:A,$A44,'Class Reports'!D:D,$B44,'Class Reports'!H:H,"Low")=0,20,10))</f>
        <v/>
      </c>
      <c r="H44">
        <f>IF($B44="","",IF(COUNTIFS('Subject Reports'!A:A,$A44,'Subject Reports'!D:D,$B44,'Subject Reports'!G:G,"Behind")=0,20,10))</f>
        <v/>
      </c>
      <c r="I44">
        <f>IF($B44="","",SUM(D44:H44))</f>
        <v/>
      </c>
      <c r="J44">
        <f>IF($I44="","",RANK($I44,$I$2:$I$200,0))</f>
        <v/>
      </c>
      <c r="K44">
        <f>IF($I44="","",IF($I44&gt;=90,"Outstanding",IF($I44&gt;=75,"Very Good",IF($I44&gt;=60,"Good","Needs Support"))))</f>
        <v/>
      </c>
    </row>
    <row r="45">
      <c r="D45">
        <f>IF(COUNTIFS('Staff Weekly'!A:A,$A45,'Staff Weekly'!C:C,$B45,'Staff Weekly'!F:F,"Yes")&gt;0,20,0)</f>
        <v/>
      </c>
      <c r="E45">
        <f>IF(COUNTIFS('Staff Weekly'!A:A,$A45,'Staff Weekly'!C:C,$B45,'Staff Weekly'!G:G,"Yes")&gt;0,20,0)</f>
        <v/>
      </c>
      <c r="F45">
        <f>IF(COUNTIFS('Staff Weekly'!A:A,$A45,'Staff Weekly'!C:C,$B45,'Staff Weekly'!D:D,"Yes")&gt;0,20,0)</f>
        <v/>
      </c>
      <c r="G45">
        <f>IF($B45="","",IF(COUNTIFS('Class Reports'!A:A,$A45,'Class Reports'!D:D,$B45,'Class Reports'!G:G,"Poor") + COUNTIFS('Class Reports'!A:A,$A45,'Class Reports'!D:D,$B45,'Class Reports'!H:H,"Low")=0,20,10))</f>
        <v/>
      </c>
      <c r="H45">
        <f>IF($B45="","",IF(COUNTIFS('Subject Reports'!A:A,$A45,'Subject Reports'!D:D,$B45,'Subject Reports'!G:G,"Behind")=0,20,10))</f>
        <v/>
      </c>
      <c r="I45">
        <f>IF($B45="","",SUM(D45:H45))</f>
        <v/>
      </c>
      <c r="J45">
        <f>IF($I45="","",RANK($I45,$I$2:$I$200,0))</f>
        <v/>
      </c>
      <c r="K45">
        <f>IF($I45="","",IF($I45&gt;=90,"Outstanding",IF($I45&gt;=75,"Very Good",IF($I45&gt;=60,"Good","Needs Support"))))</f>
        <v/>
      </c>
    </row>
    <row r="46">
      <c r="D46">
        <f>IF(COUNTIFS('Staff Weekly'!A:A,$A46,'Staff Weekly'!C:C,$B46,'Staff Weekly'!F:F,"Yes")&gt;0,20,0)</f>
        <v/>
      </c>
      <c r="E46">
        <f>IF(COUNTIFS('Staff Weekly'!A:A,$A46,'Staff Weekly'!C:C,$B46,'Staff Weekly'!G:G,"Yes")&gt;0,20,0)</f>
        <v/>
      </c>
      <c r="F46">
        <f>IF(COUNTIFS('Staff Weekly'!A:A,$A46,'Staff Weekly'!C:C,$B46,'Staff Weekly'!D:D,"Yes")&gt;0,20,0)</f>
        <v/>
      </c>
      <c r="G46">
        <f>IF($B46="","",IF(COUNTIFS('Class Reports'!A:A,$A46,'Class Reports'!D:D,$B46,'Class Reports'!G:G,"Poor") + COUNTIFS('Class Reports'!A:A,$A46,'Class Reports'!D:D,$B46,'Class Reports'!H:H,"Low")=0,20,10))</f>
        <v/>
      </c>
      <c r="H46">
        <f>IF($B46="","",IF(COUNTIFS('Subject Reports'!A:A,$A46,'Subject Reports'!D:D,$B46,'Subject Reports'!G:G,"Behind")=0,20,10))</f>
        <v/>
      </c>
      <c r="I46">
        <f>IF($B46="","",SUM(D46:H46))</f>
        <v/>
      </c>
      <c r="J46">
        <f>IF($I46="","",RANK($I46,$I$2:$I$200,0))</f>
        <v/>
      </c>
      <c r="K46">
        <f>IF($I46="","",IF($I46&gt;=90,"Outstanding",IF($I46&gt;=75,"Very Good",IF($I46&gt;=60,"Good","Needs Support"))))</f>
        <v/>
      </c>
    </row>
    <row r="47">
      <c r="D47">
        <f>IF(COUNTIFS('Staff Weekly'!A:A,$A47,'Staff Weekly'!C:C,$B47,'Staff Weekly'!F:F,"Yes")&gt;0,20,0)</f>
        <v/>
      </c>
      <c r="E47">
        <f>IF(COUNTIFS('Staff Weekly'!A:A,$A47,'Staff Weekly'!C:C,$B47,'Staff Weekly'!G:G,"Yes")&gt;0,20,0)</f>
        <v/>
      </c>
      <c r="F47">
        <f>IF(COUNTIFS('Staff Weekly'!A:A,$A47,'Staff Weekly'!C:C,$B47,'Staff Weekly'!D:D,"Yes")&gt;0,20,0)</f>
        <v/>
      </c>
      <c r="G47">
        <f>IF($B47="","",IF(COUNTIFS('Class Reports'!A:A,$A47,'Class Reports'!D:D,$B47,'Class Reports'!G:G,"Poor") + COUNTIFS('Class Reports'!A:A,$A47,'Class Reports'!D:D,$B47,'Class Reports'!H:H,"Low")=0,20,10))</f>
        <v/>
      </c>
      <c r="H47">
        <f>IF($B47="","",IF(COUNTIFS('Subject Reports'!A:A,$A47,'Subject Reports'!D:D,$B47,'Subject Reports'!G:G,"Behind")=0,20,10))</f>
        <v/>
      </c>
      <c r="I47">
        <f>IF($B47="","",SUM(D47:H47))</f>
        <v/>
      </c>
      <c r="J47">
        <f>IF($I47="","",RANK($I47,$I$2:$I$200,0))</f>
        <v/>
      </c>
      <c r="K47">
        <f>IF($I47="","",IF($I47&gt;=90,"Outstanding",IF($I47&gt;=75,"Very Good",IF($I47&gt;=60,"Good","Needs Support"))))</f>
        <v/>
      </c>
    </row>
    <row r="48">
      <c r="D48">
        <f>IF(COUNTIFS('Staff Weekly'!A:A,$A48,'Staff Weekly'!C:C,$B48,'Staff Weekly'!F:F,"Yes")&gt;0,20,0)</f>
        <v/>
      </c>
      <c r="E48">
        <f>IF(COUNTIFS('Staff Weekly'!A:A,$A48,'Staff Weekly'!C:C,$B48,'Staff Weekly'!G:G,"Yes")&gt;0,20,0)</f>
        <v/>
      </c>
      <c r="F48">
        <f>IF(COUNTIFS('Staff Weekly'!A:A,$A48,'Staff Weekly'!C:C,$B48,'Staff Weekly'!D:D,"Yes")&gt;0,20,0)</f>
        <v/>
      </c>
      <c r="G48">
        <f>IF($B48="","",IF(COUNTIFS('Class Reports'!A:A,$A48,'Class Reports'!D:D,$B48,'Class Reports'!G:G,"Poor") + COUNTIFS('Class Reports'!A:A,$A48,'Class Reports'!D:D,$B48,'Class Reports'!H:H,"Low")=0,20,10))</f>
        <v/>
      </c>
      <c r="H48">
        <f>IF($B48="","",IF(COUNTIFS('Subject Reports'!A:A,$A48,'Subject Reports'!D:D,$B48,'Subject Reports'!G:G,"Behind")=0,20,10))</f>
        <v/>
      </c>
      <c r="I48">
        <f>IF($B48="","",SUM(D48:H48))</f>
        <v/>
      </c>
      <c r="J48">
        <f>IF($I48="","",RANK($I48,$I$2:$I$200,0))</f>
        <v/>
      </c>
      <c r="K48">
        <f>IF($I48="","",IF($I48&gt;=90,"Outstanding",IF($I48&gt;=75,"Very Good",IF($I48&gt;=60,"Good","Needs Support"))))</f>
        <v/>
      </c>
    </row>
    <row r="49">
      <c r="D49">
        <f>IF(COUNTIFS('Staff Weekly'!A:A,$A49,'Staff Weekly'!C:C,$B49,'Staff Weekly'!F:F,"Yes")&gt;0,20,0)</f>
        <v/>
      </c>
      <c r="E49">
        <f>IF(COUNTIFS('Staff Weekly'!A:A,$A49,'Staff Weekly'!C:C,$B49,'Staff Weekly'!G:G,"Yes")&gt;0,20,0)</f>
        <v/>
      </c>
      <c r="F49">
        <f>IF(COUNTIFS('Staff Weekly'!A:A,$A49,'Staff Weekly'!C:C,$B49,'Staff Weekly'!D:D,"Yes")&gt;0,20,0)</f>
        <v/>
      </c>
      <c r="G49">
        <f>IF($B49="","",IF(COUNTIFS('Class Reports'!A:A,$A49,'Class Reports'!D:D,$B49,'Class Reports'!G:G,"Poor") + COUNTIFS('Class Reports'!A:A,$A49,'Class Reports'!D:D,$B49,'Class Reports'!H:H,"Low")=0,20,10))</f>
        <v/>
      </c>
      <c r="H49">
        <f>IF($B49="","",IF(COUNTIFS('Subject Reports'!A:A,$A49,'Subject Reports'!D:D,$B49,'Subject Reports'!G:G,"Behind")=0,20,10))</f>
        <v/>
      </c>
      <c r="I49">
        <f>IF($B49="","",SUM(D49:H49))</f>
        <v/>
      </c>
      <c r="J49">
        <f>IF($I49="","",RANK($I49,$I$2:$I$200,0))</f>
        <v/>
      </c>
      <c r="K49">
        <f>IF($I49="","",IF($I49&gt;=90,"Outstanding",IF($I49&gt;=75,"Very Good",IF($I49&gt;=60,"Good","Needs Support"))))</f>
        <v/>
      </c>
    </row>
    <row r="50">
      <c r="D50">
        <f>IF(COUNTIFS('Staff Weekly'!A:A,$A50,'Staff Weekly'!C:C,$B50,'Staff Weekly'!F:F,"Yes")&gt;0,20,0)</f>
        <v/>
      </c>
      <c r="E50">
        <f>IF(COUNTIFS('Staff Weekly'!A:A,$A50,'Staff Weekly'!C:C,$B50,'Staff Weekly'!G:G,"Yes")&gt;0,20,0)</f>
        <v/>
      </c>
      <c r="F50">
        <f>IF(COUNTIFS('Staff Weekly'!A:A,$A50,'Staff Weekly'!C:C,$B50,'Staff Weekly'!D:D,"Yes")&gt;0,20,0)</f>
        <v/>
      </c>
      <c r="G50">
        <f>IF($B50="","",IF(COUNTIFS('Class Reports'!A:A,$A50,'Class Reports'!D:D,$B50,'Class Reports'!G:G,"Poor") + COUNTIFS('Class Reports'!A:A,$A50,'Class Reports'!D:D,$B50,'Class Reports'!H:H,"Low")=0,20,10))</f>
        <v/>
      </c>
      <c r="H50">
        <f>IF($B50="","",IF(COUNTIFS('Subject Reports'!A:A,$A50,'Subject Reports'!D:D,$B50,'Subject Reports'!G:G,"Behind")=0,20,10))</f>
        <v/>
      </c>
      <c r="I50">
        <f>IF($B50="","",SUM(D50:H50))</f>
        <v/>
      </c>
      <c r="J50">
        <f>IF($I50="","",RANK($I50,$I$2:$I$200,0))</f>
        <v/>
      </c>
      <c r="K50">
        <f>IF($I50="","",IF($I50&gt;=90,"Outstanding",IF($I50&gt;=75,"Very Good",IF($I50&gt;=60,"Good","Needs Support"))))</f>
        <v/>
      </c>
    </row>
    <row r="51">
      <c r="D51">
        <f>IF(COUNTIFS('Staff Weekly'!A:A,$A51,'Staff Weekly'!C:C,$B51,'Staff Weekly'!F:F,"Yes")&gt;0,20,0)</f>
        <v/>
      </c>
      <c r="E51">
        <f>IF(COUNTIFS('Staff Weekly'!A:A,$A51,'Staff Weekly'!C:C,$B51,'Staff Weekly'!G:G,"Yes")&gt;0,20,0)</f>
        <v/>
      </c>
      <c r="F51">
        <f>IF(COUNTIFS('Staff Weekly'!A:A,$A51,'Staff Weekly'!C:C,$B51,'Staff Weekly'!D:D,"Yes")&gt;0,20,0)</f>
        <v/>
      </c>
      <c r="G51">
        <f>IF($B51="","",IF(COUNTIFS('Class Reports'!A:A,$A51,'Class Reports'!D:D,$B51,'Class Reports'!G:G,"Poor") + COUNTIFS('Class Reports'!A:A,$A51,'Class Reports'!D:D,$B51,'Class Reports'!H:H,"Low")=0,20,10))</f>
        <v/>
      </c>
      <c r="H51">
        <f>IF($B51="","",IF(COUNTIFS('Subject Reports'!A:A,$A51,'Subject Reports'!D:D,$B51,'Subject Reports'!G:G,"Behind")=0,20,10))</f>
        <v/>
      </c>
      <c r="I51">
        <f>IF($B51="","",SUM(D51:H51))</f>
        <v/>
      </c>
      <c r="J51">
        <f>IF($I51="","",RANK($I51,$I$2:$I$200,0))</f>
        <v/>
      </c>
      <c r="K51">
        <f>IF($I51="","",IF($I51&gt;=90,"Outstanding",IF($I51&gt;=75,"Very Good",IF($I51&gt;=60,"Good","Needs Support"))))</f>
        <v/>
      </c>
    </row>
    <row r="52">
      <c r="D52">
        <f>IF(COUNTIFS('Staff Weekly'!A:A,$A52,'Staff Weekly'!C:C,$B52,'Staff Weekly'!F:F,"Yes")&gt;0,20,0)</f>
        <v/>
      </c>
      <c r="E52">
        <f>IF(COUNTIFS('Staff Weekly'!A:A,$A52,'Staff Weekly'!C:C,$B52,'Staff Weekly'!G:G,"Yes")&gt;0,20,0)</f>
        <v/>
      </c>
      <c r="F52">
        <f>IF(COUNTIFS('Staff Weekly'!A:A,$A52,'Staff Weekly'!C:C,$B52,'Staff Weekly'!D:D,"Yes")&gt;0,20,0)</f>
        <v/>
      </c>
      <c r="G52">
        <f>IF($B52="","",IF(COUNTIFS('Class Reports'!A:A,$A52,'Class Reports'!D:D,$B52,'Class Reports'!G:G,"Poor") + COUNTIFS('Class Reports'!A:A,$A52,'Class Reports'!D:D,$B52,'Class Reports'!H:H,"Low")=0,20,10))</f>
        <v/>
      </c>
      <c r="H52">
        <f>IF($B52="","",IF(COUNTIFS('Subject Reports'!A:A,$A52,'Subject Reports'!D:D,$B52,'Subject Reports'!G:G,"Behind")=0,20,10))</f>
        <v/>
      </c>
      <c r="I52">
        <f>IF($B52="","",SUM(D52:H52))</f>
        <v/>
      </c>
      <c r="J52">
        <f>IF($I52="","",RANK($I52,$I$2:$I$200,0))</f>
        <v/>
      </c>
      <c r="K52">
        <f>IF($I52="","",IF($I52&gt;=90,"Outstanding",IF($I52&gt;=75,"Very Good",IF($I52&gt;=60,"Good","Needs Support"))))</f>
        <v/>
      </c>
    </row>
    <row r="53">
      <c r="D53">
        <f>IF(COUNTIFS('Staff Weekly'!A:A,$A53,'Staff Weekly'!C:C,$B53,'Staff Weekly'!F:F,"Yes")&gt;0,20,0)</f>
        <v/>
      </c>
      <c r="E53">
        <f>IF(COUNTIFS('Staff Weekly'!A:A,$A53,'Staff Weekly'!C:C,$B53,'Staff Weekly'!G:G,"Yes")&gt;0,20,0)</f>
        <v/>
      </c>
      <c r="F53">
        <f>IF(COUNTIFS('Staff Weekly'!A:A,$A53,'Staff Weekly'!C:C,$B53,'Staff Weekly'!D:D,"Yes")&gt;0,20,0)</f>
        <v/>
      </c>
      <c r="G53">
        <f>IF($B53="","",IF(COUNTIFS('Class Reports'!A:A,$A53,'Class Reports'!D:D,$B53,'Class Reports'!G:G,"Poor") + COUNTIFS('Class Reports'!A:A,$A53,'Class Reports'!D:D,$B53,'Class Reports'!H:H,"Low")=0,20,10))</f>
        <v/>
      </c>
      <c r="H53">
        <f>IF($B53="","",IF(COUNTIFS('Subject Reports'!A:A,$A53,'Subject Reports'!D:D,$B53,'Subject Reports'!G:G,"Behind")=0,20,10))</f>
        <v/>
      </c>
      <c r="I53">
        <f>IF($B53="","",SUM(D53:H53))</f>
        <v/>
      </c>
      <c r="J53">
        <f>IF($I53="","",RANK($I53,$I$2:$I$200,0))</f>
        <v/>
      </c>
      <c r="K53">
        <f>IF($I53="","",IF($I53&gt;=90,"Outstanding",IF($I53&gt;=75,"Very Good",IF($I53&gt;=60,"Good","Needs Support"))))</f>
        <v/>
      </c>
    </row>
    <row r="54">
      <c r="D54">
        <f>IF(COUNTIFS('Staff Weekly'!A:A,$A54,'Staff Weekly'!C:C,$B54,'Staff Weekly'!F:F,"Yes")&gt;0,20,0)</f>
        <v/>
      </c>
      <c r="E54">
        <f>IF(COUNTIFS('Staff Weekly'!A:A,$A54,'Staff Weekly'!C:C,$B54,'Staff Weekly'!G:G,"Yes")&gt;0,20,0)</f>
        <v/>
      </c>
      <c r="F54">
        <f>IF(COUNTIFS('Staff Weekly'!A:A,$A54,'Staff Weekly'!C:C,$B54,'Staff Weekly'!D:D,"Yes")&gt;0,20,0)</f>
        <v/>
      </c>
      <c r="G54">
        <f>IF($B54="","",IF(COUNTIFS('Class Reports'!A:A,$A54,'Class Reports'!D:D,$B54,'Class Reports'!G:G,"Poor") + COUNTIFS('Class Reports'!A:A,$A54,'Class Reports'!D:D,$B54,'Class Reports'!H:H,"Low")=0,20,10))</f>
        <v/>
      </c>
      <c r="H54">
        <f>IF($B54="","",IF(COUNTIFS('Subject Reports'!A:A,$A54,'Subject Reports'!D:D,$B54,'Subject Reports'!G:G,"Behind")=0,20,10))</f>
        <v/>
      </c>
      <c r="I54">
        <f>IF($B54="","",SUM(D54:H54))</f>
        <v/>
      </c>
      <c r="J54">
        <f>IF($I54="","",RANK($I54,$I$2:$I$200,0))</f>
        <v/>
      </c>
      <c r="K54">
        <f>IF($I54="","",IF($I54&gt;=90,"Outstanding",IF($I54&gt;=75,"Very Good",IF($I54&gt;=60,"Good","Needs Support"))))</f>
        <v/>
      </c>
    </row>
    <row r="55">
      <c r="D55">
        <f>IF(COUNTIFS('Staff Weekly'!A:A,$A55,'Staff Weekly'!C:C,$B55,'Staff Weekly'!F:F,"Yes")&gt;0,20,0)</f>
        <v/>
      </c>
      <c r="E55">
        <f>IF(COUNTIFS('Staff Weekly'!A:A,$A55,'Staff Weekly'!C:C,$B55,'Staff Weekly'!G:G,"Yes")&gt;0,20,0)</f>
        <v/>
      </c>
      <c r="F55">
        <f>IF(COUNTIFS('Staff Weekly'!A:A,$A55,'Staff Weekly'!C:C,$B55,'Staff Weekly'!D:D,"Yes")&gt;0,20,0)</f>
        <v/>
      </c>
      <c r="G55">
        <f>IF($B55="","",IF(COUNTIFS('Class Reports'!A:A,$A55,'Class Reports'!D:D,$B55,'Class Reports'!G:G,"Poor") + COUNTIFS('Class Reports'!A:A,$A55,'Class Reports'!D:D,$B55,'Class Reports'!H:H,"Low")=0,20,10))</f>
        <v/>
      </c>
      <c r="H55">
        <f>IF($B55="","",IF(COUNTIFS('Subject Reports'!A:A,$A55,'Subject Reports'!D:D,$B55,'Subject Reports'!G:G,"Behind")=0,20,10))</f>
        <v/>
      </c>
      <c r="I55">
        <f>IF($B55="","",SUM(D55:H55))</f>
        <v/>
      </c>
      <c r="J55">
        <f>IF($I55="","",RANK($I55,$I$2:$I$200,0))</f>
        <v/>
      </c>
      <c r="K55">
        <f>IF($I55="","",IF($I55&gt;=90,"Outstanding",IF($I55&gt;=75,"Very Good",IF($I55&gt;=60,"Good","Needs Support"))))</f>
        <v/>
      </c>
    </row>
    <row r="56">
      <c r="D56">
        <f>IF(COUNTIFS('Staff Weekly'!A:A,$A56,'Staff Weekly'!C:C,$B56,'Staff Weekly'!F:F,"Yes")&gt;0,20,0)</f>
        <v/>
      </c>
      <c r="E56">
        <f>IF(COUNTIFS('Staff Weekly'!A:A,$A56,'Staff Weekly'!C:C,$B56,'Staff Weekly'!G:G,"Yes")&gt;0,20,0)</f>
        <v/>
      </c>
      <c r="F56">
        <f>IF(COUNTIFS('Staff Weekly'!A:A,$A56,'Staff Weekly'!C:C,$B56,'Staff Weekly'!D:D,"Yes")&gt;0,20,0)</f>
        <v/>
      </c>
      <c r="G56">
        <f>IF($B56="","",IF(COUNTIFS('Class Reports'!A:A,$A56,'Class Reports'!D:D,$B56,'Class Reports'!G:G,"Poor") + COUNTIFS('Class Reports'!A:A,$A56,'Class Reports'!D:D,$B56,'Class Reports'!H:H,"Low")=0,20,10))</f>
        <v/>
      </c>
      <c r="H56">
        <f>IF($B56="","",IF(COUNTIFS('Subject Reports'!A:A,$A56,'Subject Reports'!D:D,$B56,'Subject Reports'!G:G,"Behind")=0,20,10))</f>
        <v/>
      </c>
      <c r="I56">
        <f>IF($B56="","",SUM(D56:H56))</f>
        <v/>
      </c>
      <c r="J56">
        <f>IF($I56="","",RANK($I56,$I$2:$I$200,0))</f>
        <v/>
      </c>
      <c r="K56">
        <f>IF($I56="","",IF($I56&gt;=90,"Outstanding",IF($I56&gt;=75,"Very Good",IF($I56&gt;=60,"Good","Needs Support"))))</f>
        <v/>
      </c>
    </row>
    <row r="57">
      <c r="D57">
        <f>IF(COUNTIFS('Staff Weekly'!A:A,$A57,'Staff Weekly'!C:C,$B57,'Staff Weekly'!F:F,"Yes")&gt;0,20,0)</f>
        <v/>
      </c>
      <c r="E57">
        <f>IF(COUNTIFS('Staff Weekly'!A:A,$A57,'Staff Weekly'!C:C,$B57,'Staff Weekly'!G:G,"Yes")&gt;0,20,0)</f>
        <v/>
      </c>
      <c r="F57">
        <f>IF(COUNTIFS('Staff Weekly'!A:A,$A57,'Staff Weekly'!C:C,$B57,'Staff Weekly'!D:D,"Yes")&gt;0,20,0)</f>
        <v/>
      </c>
      <c r="G57">
        <f>IF($B57="","",IF(COUNTIFS('Class Reports'!A:A,$A57,'Class Reports'!D:D,$B57,'Class Reports'!G:G,"Poor") + COUNTIFS('Class Reports'!A:A,$A57,'Class Reports'!D:D,$B57,'Class Reports'!H:H,"Low")=0,20,10))</f>
        <v/>
      </c>
      <c r="H57">
        <f>IF($B57="","",IF(COUNTIFS('Subject Reports'!A:A,$A57,'Subject Reports'!D:D,$B57,'Subject Reports'!G:G,"Behind")=0,20,10))</f>
        <v/>
      </c>
      <c r="I57">
        <f>IF($B57="","",SUM(D57:H57))</f>
        <v/>
      </c>
      <c r="J57">
        <f>IF($I57="","",RANK($I57,$I$2:$I$200,0))</f>
        <v/>
      </c>
      <c r="K57">
        <f>IF($I57="","",IF($I57&gt;=90,"Outstanding",IF($I57&gt;=75,"Very Good",IF($I57&gt;=60,"Good","Needs Support"))))</f>
        <v/>
      </c>
    </row>
    <row r="58">
      <c r="D58">
        <f>IF(COUNTIFS('Staff Weekly'!A:A,$A58,'Staff Weekly'!C:C,$B58,'Staff Weekly'!F:F,"Yes")&gt;0,20,0)</f>
        <v/>
      </c>
      <c r="E58">
        <f>IF(COUNTIFS('Staff Weekly'!A:A,$A58,'Staff Weekly'!C:C,$B58,'Staff Weekly'!G:G,"Yes")&gt;0,20,0)</f>
        <v/>
      </c>
      <c r="F58">
        <f>IF(COUNTIFS('Staff Weekly'!A:A,$A58,'Staff Weekly'!C:C,$B58,'Staff Weekly'!D:D,"Yes")&gt;0,20,0)</f>
        <v/>
      </c>
      <c r="G58">
        <f>IF($B58="","",IF(COUNTIFS('Class Reports'!A:A,$A58,'Class Reports'!D:D,$B58,'Class Reports'!G:G,"Poor") + COUNTIFS('Class Reports'!A:A,$A58,'Class Reports'!D:D,$B58,'Class Reports'!H:H,"Low")=0,20,10))</f>
        <v/>
      </c>
      <c r="H58">
        <f>IF($B58="","",IF(COUNTIFS('Subject Reports'!A:A,$A58,'Subject Reports'!D:D,$B58,'Subject Reports'!G:G,"Behind")=0,20,10))</f>
        <v/>
      </c>
      <c r="I58">
        <f>IF($B58="","",SUM(D58:H58))</f>
        <v/>
      </c>
      <c r="J58">
        <f>IF($I58="","",RANK($I58,$I$2:$I$200,0))</f>
        <v/>
      </c>
      <c r="K58">
        <f>IF($I58="","",IF($I58&gt;=90,"Outstanding",IF($I58&gt;=75,"Very Good",IF($I58&gt;=60,"Good","Needs Support"))))</f>
        <v/>
      </c>
    </row>
    <row r="59">
      <c r="D59">
        <f>IF(COUNTIFS('Staff Weekly'!A:A,$A59,'Staff Weekly'!C:C,$B59,'Staff Weekly'!F:F,"Yes")&gt;0,20,0)</f>
        <v/>
      </c>
      <c r="E59">
        <f>IF(COUNTIFS('Staff Weekly'!A:A,$A59,'Staff Weekly'!C:C,$B59,'Staff Weekly'!G:G,"Yes")&gt;0,20,0)</f>
        <v/>
      </c>
      <c r="F59">
        <f>IF(COUNTIFS('Staff Weekly'!A:A,$A59,'Staff Weekly'!C:C,$B59,'Staff Weekly'!D:D,"Yes")&gt;0,20,0)</f>
        <v/>
      </c>
      <c r="G59">
        <f>IF($B59="","",IF(COUNTIFS('Class Reports'!A:A,$A59,'Class Reports'!D:D,$B59,'Class Reports'!G:G,"Poor") + COUNTIFS('Class Reports'!A:A,$A59,'Class Reports'!D:D,$B59,'Class Reports'!H:H,"Low")=0,20,10))</f>
        <v/>
      </c>
      <c r="H59">
        <f>IF($B59="","",IF(COUNTIFS('Subject Reports'!A:A,$A59,'Subject Reports'!D:D,$B59,'Subject Reports'!G:G,"Behind")=0,20,10))</f>
        <v/>
      </c>
      <c r="I59">
        <f>IF($B59="","",SUM(D59:H59))</f>
        <v/>
      </c>
      <c r="J59">
        <f>IF($I59="","",RANK($I59,$I$2:$I$200,0))</f>
        <v/>
      </c>
      <c r="K59">
        <f>IF($I59="","",IF($I59&gt;=90,"Outstanding",IF($I59&gt;=75,"Very Good",IF($I59&gt;=60,"Good","Needs Support"))))</f>
        <v/>
      </c>
    </row>
    <row r="60">
      <c r="D60">
        <f>IF(COUNTIFS('Staff Weekly'!A:A,$A60,'Staff Weekly'!C:C,$B60,'Staff Weekly'!F:F,"Yes")&gt;0,20,0)</f>
        <v/>
      </c>
      <c r="E60">
        <f>IF(COUNTIFS('Staff Weekly'!A:A,$A60,'Staff Weekly'!C:C,$B60,'Staff Weekly'!G:G,"Yes")&gt;0,20,0)</f>
        <v/>
      </c>
      <c r="F60">
        <f>IF(COUNTIFS('Staff Weekly'!A:A,$A60,'Staff Weekly'!C:C,$B60,'Staff Weekly'!D:D,"Yes")&gt;0,20,0)</f>
        <v/>
      </c>
      <c r="G60">
        <f>IF($B60="","",IF(COUNTIFS('Class Reports'!A:A,$A60,'Class Reports'!D:D,$B60,'Class Reports'!G:G,"Poor") + COUNTIFS('Class Reports'!A:A,$A60,'Class Reports'!D:D,$B60,'Class Reports'!H:H,"Low")=0,20,10))</f>
        <v/>
      </c>
      <c r="H60">
        <f>IF($B60="","",IF(COUNTIFS('Subject Reports'!A:A,$A60,'Subject Reports'!D:D,$B60,'Subject Reports'!G:G,"Behind")=0,20,10))</f>
        <v/>
      </c>
      <c r="I60">
        <f>IF($B60="","",SUM(D60:H60))</f>
        <v/>
      </c>
      <c r="J60">
        <f>IF($I60="","",RANK($I60,$I$2:$I$200,0))</f>
        <v/>
      </c>
      <c r="K60">
        <f>IF($I60="","",IF($I60&gt;=90,"Outstanding",IF($I60&gt;=75,"Very Good",IF($I60&gt;=60,"Good","Needs Support"))))</f>
        <v/>
      </c>
    </row>
    <row r="61">
      <c r="D61">
        <f>IF(COUNTIFS('Staff Weekly'!A:A,$A61,'Staff Weekly'!C:C,$B61,'Staff Weekly'!F:F,"Yes")&gt;0,20,0)</f>
        <v/>
      </c>
      <c r="E61">
        <f>IF(COUNTIFS('Staff Weekly'!A:A,$A61,'Staff Weekly'!C:C,$B61,'Staff Weekly'!G:G,"Yes")&gt;0,20,0)</f>
        <v/>
      </c>
      <c r="F61">
        <f>IF(COUNTIFS('Staff Weekly'!A:A,$A61,'Staff Weekly'!C:C,$B61,'Staff Weekly'!D:D,"Yes")&gt;0,20,0)</f>
        <v/>
      </c>
      <c r="G61">
        <f>IF($B61="","",IF(COUNTIFS('Class Reports'!A:A,$A61,'Class Reports'!D:D,$B61,'Class Reports'!G:G,"Poor") + COUNTIFS('Class Reports'!A:A,$A61,'Class Reports'!D:D,$B61,'Class Reports'!H:H,"Low")=0,20,10))</f>
        <v/>
      </c>
      <c r="H61">
        <f>IF($B61="","",IF(COUNTIFS('Subject Reports'!A:A,$A61,'Subject Reports'!D:D,$B61,'Subject Reports'!G:G,"Behind")=0,20,10))</f>
        <v/>
      </c>
      <c r="I61">
        <f>IF($B61="","",SUM(D61:H61))</f>
        <v/>
      </c>
      <c r="J61">
        <f>IF($I61="","",RANK($I61,$I$2:$I$200,0))</f>
        <v/>
      </c>
      <c r="K61">
        <f>IF($I61="","",IF($I61&gt;=90,"Outstanding",IF($I61&gt;=75,"Very Good",IF($I61&gt;=60,"Good","Needs Support"))))</f>
        <v/>
      </c>
    </row>
    <row r="62">
      <c r="D62">
        <f>IF(COUNTIFS('Staff Weekly'!A:A,$A62,'Staff Weekly'!C:C,$B62,'Staff Weekly'!F:F,"Yes")&gt;0,20,0)</f>
        <v/>
      </c>
      <c r="E62">
        <f>IF(COUNTIFS('Staff Weekly'!A:A,$A62,'Staff Weekly'!C:C,$B62,'Staff Weekly'!G:G,"Yes")&gt;0,20,0)</f>
        <v/>
      </c>
      <c r="F62">
        <f>IF(COUNTIFS('Staff Weekly'!A:A,$A62,'Staff Weekly'!C:C,$B62,'Staff Weekly'!D:D,"Yes")&gt;0,20,0)</f>
        <v/>
      </c>
      <c r="G62">
        <f>IF($B62="","",IF(COUNTIFS('Class Reports'!A:A,$A62,'Class Reports'!D:D,$B62,'Class Reports'!G:G,"Poor") + COUNTIFS('Class Reports'!A:A,$A62,'Class Reports'!D:D,$B62,'Class Reports'!H:H,"Low")=0,20,10))</f>
        <v/>
      </c>
      <c r="H62">
        <f>IF($B62="","",IF(COUNTIFS('Subject Reports'!A:A,$A62,'Subject Reports'!D:D,$B62,'Subject Reports'!G:G,"Behind")=0,20,10))</f>
        <v/>
      </c>
      <c r="I62">
        <f>IF($B62="","",SUM(D62:H62))</f>
        <v/>
      </c>
      <c r="J62">
        <f>IF($I62="","",RANK($I62,$I$2:$I$200,0))</f>
        <v/>
      </c>
      <c r="K62">
        <f>IF($I62="","",IF($I62&gt;=90,"Outstanding",IF($I62&gt;=75,"Very Good",IF($I62&gt;=60,"Good","Needs Support"))))</f>
        <v/>
      </c>
    </row>
    <row r="63">
      <c r="D63">
        <f>IF(COUNTIFS('Staff Weekly'!A:A,$A63,'Staff Weekly'!C:C,$B63,'Staff Weekly'!F:F,"Yes")&gt;0,20,0)</f>
        <v/>
      </c>
      <c r="E63">
        <f>IF(COUNTIFS('Staff Weekly'!A:A,$A63,'Staff Weekly'!C:C,$B63,'Staff Weekly'!G:G,"Yes")&gt;0,20,0)</f>
        <v/>
      </c>
      <c r="F63">
        <f>IF(COUNTIFS('Staff Weekly'!A:A,$A63,'Staff Weekly'!C:C,$B63,'Staff Weekly'!D:D,"Yes")&gt;0,20,0)</f>
        <v/>
      </c>
      <c r="G63">
        <f>IF($B63="","",IF(COUNTIFS('Class Reports'!A:A,$A63,'Class Reports'!D:D,$B63,'Class Reports'!G:G,"Poor") + COUNTIFS('Class Reports'!A:A,$A63,'Class Reports'!D:D,$B63,'Class Reports'!H:H,"Low")=0,20,10))</f>
        <v/>
      </c>
      <c r="H63">
        <f>IF($B63="","",IF(COUNTIFS('Subject Reports'!A:A,$A63,'Subject Reports'!D:D,$B63,'Subject Reports'!G:G,"Behind")=0,20,10))</f>
        <v/>
      </c>
      <c r="I63">
        <f>IF($B63="","",SUM(D63:H63))</f>
        <v/>
      </c>
      <c r="J63">
        <f>IF($I63="","",RANK($I63,$I$2:$I$200,0))</f>
        <v/>
      </c>
      <c r="K63">
        <f>IF($I63="","",IF($I63&gt;=90,"Outstanding",IF($I63&gt;=75,"Very Good",IF($I63&gt;=60,"Good","Needs Support"))))</f>
        <v/>
      </c>
    </row>
    <row r="64">
      <c r="D64">
        <f>IF(COUNTIFS('Staff Weekly'!A:A,$A64,'Staff Weekly'!C:C,$B64,'Staff Weekly'!F:F,"Yes")&gt;0,20,0)</f>
        <v/>
      </c>
      <c r="E64">
        <f>IF(COUNTIFS('Staff Weekly'!A:A,$A64,'Staff Weekly'!C:C,$B64,'Staff Weekly'!G:G,"Yes")&gt;0,20,0)</f>
        <v/>
      </c>
      <c r="F64">
        <f>IF(COUNTIFS('Staff Weekly'!A:A,$A64,'Staff Weekly'!C:C,$B64,'Staff Weekly'!D:D,"Yes")&gt;0,20,0)</f>
        <v/>
      </c>
      <c r="G64">
        <f>IF($B64="","",IF(COUNTIFS('Class Reports'!A:A,$A64,'Class Reports'!D:D,$B64,'Class Reports'!G:G,"Poor") + COUNTIFS('Class Reports'!A:A,$A64,'Class Reports'!D:D,$B64,'Class Reports'!H:H,"Low")=0,20,10))</f>
        <v/>
      </c>
      <c r="H64">
        <f>IF($B64="","",IF(COUNTIFS('Subject Reports'!A:A,$A64,'Subject Reports'!D:D,$B64,'Subject Reports'!G:G,"Behind")=0,20,10))</f>
        <v/>
      </c>
      <c r="I64">
        <f>IF($B64="","",SUM(D64:H64))</f>
        <v/>
      </c>
      <c r="J64">
        <f>IF($I64="","",RANK($I64,$I$2:$I$200,0))</f>
        <v/>
      </c>
      <c r="K64">
        <f>IF($I64="","",IF($I64&gt;=90,"Outstanding",IF($I64&gt;=75,"Very Good",IF($I64&gt;=60,"Good","Needs Support"))))</f>
        <v/>
      </c>
    </row>
    <row r="65">
      <c r="D65">
        <f>IF(COUNTIFS('Staff Weekly'!A:A,$A65,'Staff Weekly'!C:C,$B65,'Staff Weekly'!F:F,"Yes")&gt;0,20,0)</f>
        <v/>
      </c>
      <c r="E65">
        <f>IF(COUNTIFS('Staff Weekly'!A:A,$A65,'Staff Weekly'!C:C,$B65,'Staff Weekly'!G:G,"Yes")&gt;0,20,0)</f>
        <v/>
      </c>
      <c r="F65">
        <f>IF(COUNTIFS('Staff Weekly'!A:A,$A65,'Staff Weekly'!C:C,$B65,'Staff Weekly'!D:D,"Yes")&gt;0,20,0)</f>
        <v/>
      </c>
      <c r="G65">
        <f>IF($B65="","",IF(COUNTIFS('Class Reports'!A:A,$A65,'Class Reports'!D:D,$B65,'Class Reports'!G:G,"Poor") + COUNTIFS('Class Reports'!A:A,$A65,'Class Reports'!D:D,$B65,'Class Reports'!H:H,"Low")=0,20,10))</f>
        <v/>
      </c>
      <c r="H65">
        <f>IF($B65="","",IF(COUNTIFS('Subject Reports'!A:A,$A65,'Subject Reports'!D:D,$B65,'Subject Reports'!G:G,"Behind")=0,20,10))</f>
        <v/>
      </c>
      <c r="I65">
        <f>IF($B65="","",SUM(D65:H65))</f>
        <v/>
      </c>
      <c r="J65">
        <f>IF($I65="","",RANK($I65,$I$2:$I$200,0))</f>
        <v/>
      </c>
      <c r="K65">
        <f>IF($I65="","",IF($I65&gt;=90,"Outstanding",IF($I65&gt;=75,"Very Good",IF($I65&gt;=60,"Good","Needs Support"))))</f>
        <v/>
      </c>
    </row>
    <row r="66">
      <c r="D66">
        <f>IF(COUNTIFS('Staff Weekly'!A:A,$A66,'Staff Weekly'!C:C,$B66,'Staff Weekly'!F:F,"Yes")&gt;0,20,0)</f>
        <v/>
      </c>
      <c r="E66">
        <f>IF(COUNTIFS('Staff Weekly'!A:A,$A66,'Staff Weekly'!C:C,$B66,'Staff Weekly'!G:G,"Yes")&gt;0,20,0)</f>
        <v/>
      </c>
      <c r="F66">
        <f>IF(COUNTIFS('Staff Weekly'!A:A,$A66,'Staff Weekly'!C:C,$B66,'Staff Weekly'!D:D,"Yes")&gt;0,20,0)</f>
        <v/>
      </c>
      <c r="G66">
        <f>IF($B66="","",IF(COUNTIFS('Class Reports'!A:A,$A66,'Class Reports'!D:D,$B66,'Class Reports'!G:G,"Poor") + COUNTIFS('Class Reports'!A:A,$A66,'Class Reports'!D:D,$B66,'Class Reports'!H:H,"Low")=0,20,10))</f>
        <v/>
      </c>
      <c r="H66">
        <f>IF($B66="","",IF(COUNTIFS('Subject Reports'!A:A,$A66,'Subject Reports'!D:D,$B66,'Subject Reports'!G:G,"Behind")=0,20,10))</f>
        <v/>
      </c>
      <c r="I66">
        <f>IF($B66="","",SUM(D66:H66))</f>
        <v/>
      </c>
      <c r="J66">
        <f>IF($I66="","",RANK($I66,$I$2:$I$200,0))</f>
        <v/>
      </c>
      <c r="K66">
        <f>IF($I66="","",IF($I66&gt;=90,"Outstanding",IF($I66&gt;=75,"Very Good",IF($I66&gt;=60,"Good","Needs Support"))))</f>
        <v/>
      </c>
    </row>
    <row r="67">
      <c r="D67">
        <f>IF(COUNTIFS('Staff Weekly'!A:A,$A67,'Staff Weekly'!C:C,$B67,'Staff Weekly'!F:F,"Yes")&gt;0,20,0)</f>
        <v/>
      </c>
      <c r="E67">
        <f>IF(COUNTIFS('Staff Weekly'!A:A,$A67,'Staff Weekly'!C:C,$B67,'Staff Weekly'!G:G,"Yes")&gt;0,20,0)</f>
        <v/>
      </c>
      <c r="F67">
        <f>IF(COUNTIFS('Staff Weekly'!A:A,$A67,'Staff Weekly'!C:C,$B67,'Staff Weekly'!D:D,"Yes")&gt;0,20,0)</f>
        <v/>
      </c>
      <c r="G67">
        <f>IF($B67="","",IF(COUNTIFS('Class Reports'!A:A,$A67,'Class Reports'!D:D,$B67,'Class Reports'!G:G,"Poor") + COUNTIFS('Class Reports'!A:A,$A67,'Class Reports'!D:D,$B67,'Class Reports'!H:H,"Low")=0,20,10))</f>
        <v/>
      </c>
      <c r="H67">
        <f>IF($B67="","",IF(COUNTIFS('Subject Reports'!A:A,$A67,'Subject Reports'!D:D,$B67,'Subject Reports'!G:G,"Behind")=0,20,10))</f>
        <v/>
      </c>
      <c r="I67">
        <f>IF($B67="","",SUM(D67:H67))</f>
        <v/>
      </c>
      <c r="J67">
        <f>IF($I67="","",RANK($I67,$I$2:$I$200,0))</f>
        <v/>
      </c>
      <c r="K67">
        <f>IF($I67="","",IF($I67&gt;=90,"Outstanding",IF($I67&gt;=75,"Very Good",IF($I67&gt;=60,"Good","Needs Support"))))</f>
        <v/>
      </c>
    </row>
    <row r="68">
      <c r="D68">
        <f>IF(COUNTIFS('Staff Weekly'!A:A,$A68,'Staff Weekly'!C:C,$B68,'Staff Weekly'!F:F,"Yes")&gt;0,20,0)</f>
        <v/>
      </c>
      <c r="E68">
        <f>IF(COUNTIFS('Staff Weekly'!A:A,$A68,'Staff Weekly'!C:C,$B68,'Staff Weekly'!G:G,"Yes")&gt;0,20,0)</f>
        <v/>
      </c>
      <c r="F68">
        <f>IF(COUNTIFS('Staff Weekly'!A:A,$A68,'Staff Weekly'!C:C,$B68,'Staff Weekly'!D:D,"Yes")&gt;0,20,0)</f>
        <v/>
      </c>
      <c r="G68">
        <f>IF($B68="","",IF(COUNTIFS('Class Reports'!A:A,$A68,'Class Reports'!D:D,$B68,'Class Reports'!G:G,"Poor") + COUNTIFS('Class Reports'!A:A,$A68,'Class Reports'!D:D,$B68,'Class Reports'!H:H,"Low")=0,20,10))</f>
        <v/>
      </c>
      <c r="H68">
        <f>IF($B68="","",IF(COUNTIFS('Subject Reports'!A:A,$A68,'Subject Reports'!D:D,$B68,'Subject Reports'!G:G,"Behind")=0,20,10))</f>
        <v/>
      </c>
      <c r="I68">
        <f>IF($B68="","",SUM(D68:H68))</f>
        <v/>
      </c>
      <c r="J68">
        <f>IF($I68="","",RANK($I68,$I$2:$I$200,0))</f>
        <v/>
      </c>
      <c r="K68">
        <f>IF($I68="","",IF($I68&gt;=90,"Outstanding",IF($I68&gt;=75,"Very Good",IF($I68&gt;=60,"Good","Needs Support"))))</f>
        <v/>
      </c>
    </row>
    <row r="69">
      <c r="D69">
        <f>IF(COUNTIFS('Staff Weekly'!A:A,$A69,'Staff Weekly'!C:C,$B69,'Staff Weekly'!F:F,"Yes")&gt;0,20,0)</f>
        <v/>
      </c>
      <c r="E69">
        <f>IF(COUNTIFS('Staff Weekly'!A:A,$A69,'Staff Weekly'!C:C,$B69,'Staff Weekly'!G:G,"Yes")&gt;0,20,0)</f>
        <v/>
      </c>
      <c r="F69">
        <f>IF(COUNTIFS('Staff Weekly'!A:A,$A69,'Staff Weekly'!C:C,$B69,'Staff Weekly'!D:D,"Yes")&gt;0,20,0)</f>
        <v/>
      </c>
      <c r="G69">
        <f>IF($B69="","",IF(COUNTIFS('Class Reports'!A:A,$A69,'Class Reports'!D:D,$B69,'Class Reports'!G:G,"Poor") + COUNTIFS('Class Reports'!A:A,$A69,'Class Reports'!D:D,$B69,'Class Reports'!H:H,"Low")=0,20,10))</f>
        <v/>
      </c>
      <c r="H69">
        <f>IF($B69="","",IF(COUNTIFS('Subject Reports'!A:A,$A69,'Subject Reports'!D:D,$B69,'Subject Reports'!G:G,"Behind")=0,20,10))</f>
        <v/>
      </c>
      <c r="I69">
        <f>IF($B69="","",SUM(D69:H69))</f>
        <v/>
      </c>
      <c r="J69">
        <f>IF($I69="","",RANK($I69,$I$2:$I$200,0))</f>
        <v/>
      </c>
      <c r="K69">
        <f>IF($I69="","",IF($I69&gt;=90,"Outstanding",IF($I69&gt;=75,"Very Good",IF($I69&gt;=60,"Good","Needs Support"))))</f>
        <v/>
      </c>
    </row>
    <row r="70">
      <c r="D70">
        <f>IF(COUNTIFS('Staff Weekly'!A:A,$A70,'Staff Weekly'!C:C,$B70,'Staff Weekly'!F:F,"Yes")&gt;0,20,0)</f>
        <v/>
      </c>
      <c r="E70">
        <f>IF(COUNTIFS('Staff Weekly'!A:A,$A70,'Staff Weekly'!C:C,$B70,'Staff Weekly'!G:G,"Yes")&gt;0,20,0)</f>
        <v/>
      </c>
      <c r="F70">
        <f>IF(COUNTIFS('Staff Weekly'!A:A,$A70,'Staff Weekly'!C:C,$B70,'Staff Weekly'!D:D,"Yes")&gt;0,20,0)</f>
        <v/>
      </c>
      <c r="G70">
        <f>IF($B70="","",IF(COUNTIFS('Class Reports'!A:A,$A70,'Class Reports'!D:D,$B70,'Class Reports'!G:G,"Poor") + COUNTIFS('Class Reports'!A:A,$A70,'Class Reports'!D:D,$B70,'Class Reports'!H:H,"Low")=0,20,10))</f>
        <v/>
      </c>
      <c r="H70">
        <f>IF($B70="","",IF(COUNTIFS('Subject Reports'!A:A,$A70,'Subject Reports'!D:D,$B70,'Subject Reports'!G:G,"Behind")=0,20,10))</f>
        <v/>
      </c>
      <c r="I70">
        <f>IF($B70="","",SUM(D70:H70))</f>
        <v/>
      </c>
      <c r="J70">
        <f>IF($I70="","",RANK($I70,$I$2:$I$200,0))</f>
        <v/>
      </c>
      <c r="K70">
        <f>IF($I70="","",IF($I70&gt;=90,"Outstanding",IF($I70&gt;=75,"Very Good",IF($I70&gt;=60,"Good","Needs Support"))))</f>
        <v/>
      </c>
    </row>
    <row r="71">
      <c r="D71">
        <f>IF(COUNTIFS('Staff Weekly'!A:A,$A71,'Staff Weekly'!C:C,$B71,'Staff Weekly'!F:F,"Yes")&gt;0,20,0)</f>
        <v/>
      </c>
      <c r="E71">
        <f>IF(COUNTIFS('Staff Weekly'!A:A,$A71,'Staff Weekly'!C:C,$B71,'Staff Weekly'!G:G,"Yes")&gt;0,20,0)</f>
        <v/>
      </c>
      <c r="F71">
        <f>IF(COUNTIFS('Staff Weekly'!A:A,$A71,'Staff Weekly'!C:C,$B71,'Staff Weekly'!D:D,"Yes")&gt;0,20,0)</f>
        <v/>
      </c>
      <c r="G71">
        <f>IF($B71="","",IF(COUNTIFS('Class Reports'!A:A,$A71,'Class Reports'!D:D,$B71,'Class Reports'!G:G,"Poor") + COUNTIFS('Class Reports'!A:A,$A71,'Class Reports'!D:D,$B71,'Class Reports'!H:H,"Low")=0,20,10))</f>
        <v/>
      </c>
      <c r="H71">
        <f>IF($B71="","",IF(COUNTIFS('Subject Reports'!A:A,$A71,'Subject Reports'!D:D,$B71,'Subject Reports'!G:G,"Behind")=0,20,10))</f>
        <v/>
      </c>
      <c r="I71">
        <f>IF($B71="","",SUM(D71:H71))</f>
        <v/>
      </c>
      <c r="J71">
        <f>IF($I71="","",RANK($I71,$I$2:$I$200,0))</f>
        <v/>
      </c>
      <c r="K71">
        <f>IF($I71="","",IF($I71&gt;=90,"Outstanding",IF($I71&gt;=75,"Very Good",IF($I71&gt;=60,"Good","Needs Support"))))</f>
        <v/>
      </c>
    </row>
    <row r="72">
      <c r="D72">
        <f>IF(COUNTIFS('Staff Weekly'!A:A,$A72,'Staff Weekly'!C:C,$B72,'Staff Weekly'!F:F,"Yes")&gt;0,20,0)</f>
        <v/>
      </c>
      <c r="E72">
        <f>IF(COUNTIFS('Staff Weekly'!A:A,$A72,'Staff Weekly'!C:C,$B72,'Staff Weekly'!G:G,"Yes")&gt;0,20,0)</f>
        <v/>
      </c>
      <c r="F72">
        <f>IF(COUNTIFS('Staff Weekly'!A:A,$A72,'Staff Weekly'!C:C,$B72,'Staff Weekly'!D:D,"Yes")&gt;0,20,0)</f>
        <v/>
      </c>
      <c r="G72">
        <f>IF($B72="","",IF(COUNTIFS('Class Reports'!A:A,$A72,'Class Reports'!D:D,$B72,'Class Reports'!G:G,"Poor") + COUNTIFS('Class Reports'!A:A,$A72,'Class Reports'!D:D,$B72,'Class Reports'!H:H,"Low")=0,20,10))</f>
        <v/>
      </c>
      <c r="H72">
        <f>IF($B72="","",IF(COUNTIFS('Subject Reports'!A:A,$A72,'Subject Reports'!D:D,$B72,'Subject Reports'!G:G,"Behind")=0,20,10))</f>
        <v/>
      </c>
      <c r="I72">
        <f>IF($B72="","",SUM(D72:H72))</f>
        <v/>
      </c>
      <c r="J72">
        <f>IF($I72="","",RANK($I72,$I$2:$I$200,0))</f>
        <v/>
      </c>
      <c r="K72">
        <f>IF($I72="","",IF($I72&gt;=90,"Outstanding",IF($I72&gt;=75,"Very Good",IF($I72&gt;=60,"Good","Needs Support"))))</f>
        <v/>
      </c>
    </row>
    <row r="73">
      <c r="D73">
        <f>IF(COUNTIFS('Staff Weekly'!A:A,$A73,'Staff Weekly'!C:C,$B73,'Staff Weekly'!F:F,"Yes")&gt;0,20,0)</f>
        <v/>
      </c>
      <c r="E73">
        <f>IF(COUNTIFS('Staff Weekly'!A:A,$A73,'Staff Weekly'!C:C,$B73,'Staff Weekly'!G:G,"Yes")&gt;0,20,0)</f>
        <v/>
      </c>
      <c r="F73">
        <f>IF(COUNTIFS('Staff Weekly'!A:A,$A73,'Staff Weekly'!C:C,$B73,'Staff Weekly'!D:D,"Yes")&gt;0,20,0)</f>
        <v/>
      </c>
      <c r="G73">
        <f>IF($B73="","",IF(COUNTIFS('Class Reports'!A:A,$A73,'Class Reports'!D:D,$B73,'Class Reports'!G:G,"Poor") + COUNTIFS('Class Reports'!A:A,$A73,'Class Reports'!D:D,$B73,'Class Reports'!H:H,"Low")=0,20,10))</f>
        <v/>
      </c>
      <c r="H73">
        <f>IF($B73="","",IF(COUNTIFS('Subject Reports'!A:A,$A73,'Subject Reports'!D:D,$B73,'Subject Reports'!G:G,"Behind")=0,20,10))</f>
        <v/>
      </c>
      <c r="I73">
        <f>IF($B73="","",SUM(D73:H73))</f>
        <v/>
      </c>
      <c r="J73">
        <f>IF($I73="","",RANK($I73,$I$2:$I$200,0))</f>
        <v/>
      </c>
      <c r="K73">
        <f>IF($I73="","",IF($I73&gt;=90,"Outstanding",IF($I73&gt;=75,"Very Good",IF($I73&gt;=60,"Good","Needs Support"))))</f>
        <v/>
      </c>
    </row>
    <row r="74">
      <c r="D74">
        <f>IF(COUNTIFS('Staff Weekly'!A:A,$A74,'Staff Weekly'!C:C,$B74,'Staff Weekly'!F:F,"Yes")&gt;0,20,0)</f>
        <v/>
      </c>
      <c r="E74">
        <f>IF(COUNTIFS('Staff Weekly'!A:A,$A74,'Staff Weekly'!C:C,$B74,'Staff Weekly'!G:G,"Yes")&gt;0,20,0)</f>
        <v/>
      </c>
      <c r="F74">
        <f>IF(COUNTIFS('Staff Weekly'!A:A,$A74,'Staff Weekly'!C:C,$B74,'Staff Weekly'!D:D,"Yes")&gt;0,20,0)</f>
        <v/>
      </c>
      <c r="G74">
        <f>IF($B74="","",IF(COUNTIFS('Class Reports'!A:A,$A74,'Class Reports'!D:D,$B74,'Class Reports'!G:G,"Poor") + COUNTIFS('Class Reports'!A:A,$A74,'Class Reports'!D:D,$B74,'Class Reports'!H:H,"Low")=0,20,10))</f>
        <v/>
      </c>
      <c r="H74">
        <f>IF($B74="","",IF(COUNTIFS('Subject Reports'!A:A,$A74,'Subject Reports'!D:D,$B74,'Subject Reports'!G:G,"Behind")=0,20,10))</f>
        <v/>
      </c>
      <c r="I74">
        <f>IF($B74="","",SUM(D74:H74))</f>
        <v/>
      </c>
      <c r="J74">
        <f>IF($I74="","",RANK($I74,$I$2:$I$200,0))</f>
        <v/>
      </c>
      <c r="K74">
        <f>IF($I74="","",IF($I74&gt;=90,"Outstanding",IF($I74&gt;=75,"Very Good",IF($I74&gt;=60,"Good","Needs Support"))))</f>
        <v/>
      </c>
    </row>
    <row r="75">
      <c r="D75">
        <f>IF(COUNTIFS('Staff Weekly'!A:A,$A75,'Staff Weekly'!C:C,$B75,'Staff Weekly'!F:F,"Yes")&gt;0,20,0)</f>
        <v/>
      </c>
      <c r="E75">
        <f>IF(COUNTIFS('Staff Weekly'!A:A,$A75,'Staff Weekly'!C:C,$B75,'Staff Weekly'!G:G,"Yes")&gt;0,20,0)</f>
        <v/>
      </c>
      <c r="F75">
        <f>IF(COUNTIFS('Staff Weekly'!A:A,$A75,'Staff Weekly'!C:C,$B75,'Staff Weekly'!D:D,"Yes")&gt;0,20,0)</f>
        <v/>
      </c>
      <c r="G75">
        <f>IF($B75="","",IF(COUNTIFS('Class Reports'!A:A,$A75,'Class Reports'!D:D,$B75,'Class Reports'!G:G,"Poor") + COUNTIFS('Class Reports'!A:A,$A75,'Class Reports'!D:D,$B75,'Class Reports'!H:H,"Low")=0,20,10))</f>
        <v/>
      </c>
      <c r="H75">
        <f>IF($B75="","",IF(COUNTIFS('Subject Reports'!A:A,$A75,'Subject Reports'!D:D,$B75,'Subject Reports'!G:G,"Behind")=0,20,10))</f>
        <v/>
      </c>
      <c r="I75">
        <f>IF($B75="","",SUM(D75:H75))</f>
        <v/>
      </c>
      <c r="J75">
        <f>IF($I75="","",RANK($I75,$I$2:$I$200,0))</f>
        <v/>
      </c>
      <c r="K75">
        <f>IF($I75="","",IF($I75&gt;=90,"Outstanding",IF($I75&gt;=75,"Very Good",IF($I75&gt;=60,"Good","Needs Support"))))</f>
        <v/>
      </c>
    </row>
    <row r="76">
      <c r="D76">
        <f>IF(COUNTIFS('Staff Weekly'!A:A,$A76,'Staff Weekly'!C:C,$B76,'Staff Weekly'!F:F,"Yes")&gt;0,20,0)</f>
        <v/>
      </c>
      <c r="E76">
        <f>IF(COUNTIFS('Staff Weekly'!A:A,$A76,'Staff Weekly'!C:C,$B76,'Staff Weekly'!G:G,"Yes")&gt;0,20,0)</f>
        <v/>
      </c>
      <c r="F76">
        <f>IF(COUNTIFS('Staff Weekly'!A:A,$A76,'Staff Weekly'!C:C,$B76,'Staff Weekly'!D:D,"Yes")&gt;0,20,0)</f>
        <v/>
      </c>
      <c r="G76">
        <f>IF($B76="","",IF(COUNTIFS('Class Reports'!A:A,$A76,'Class Reports'!D:D,$B76,'Class Reports'!G:G,"Poor") + COUNTIFS('Class Reports'!A:A,$A76,'Class Reports'!D:D,$B76,'Class Reports'!H:H,"Low")=0,20,10))</f>
        <v/>
      </c>
      <c r="H76">
        <f>IF($B76="","",IF(COUNTIFS('Subject Reports'!A:A,$A76,'Subject Reports'!D:D,$B76,'Subject Reports'!G:G,"Behind")=0,20,10))</f>
        <v/>
      </c>
      <c r="I76">
        <f>IF($B76="","",SUM(D76:H76))</f>
        <v/>
      </c>
      <c r="J76">
        <f>IF($I76="","",RANK($I76,$I$2:$I$200,0))</f>
        <v/>
      </c>
      <c r="K76">
        <f>IF($I76="","",IF($I76&gt;=90,"Outstanding",IF($I76&gt;=75,"Very Good",IF($I76&gt;=60,"Good","Needs Support"))))</f>
        <v/>
      </c>
    </row>
    <row r="77">
      <c r="D77">
        <f>IF(COUNTIFS('Staff Weekly'!A:A,$A77,'Staff Weekly'!C:C,$B77,'Staff Weekly'!F:F,"Yes")&gt;0,20,0)</f>
        <v/>
      </c>
      <c r="E77">
        <f>IF(COUNTIFS('Staff Weekly'!A:A,$A77,'Staff Weekly'!C:C,$B77,'Staff Weekly'!G:G,"Yes")&gt;0,20,0)</f>
        <v/>
      </c>
      <c r="F77">
        <f>IF(COUNTIFS('Staff Weekly'!A:A,$A77,'Staff Weekly'!C:C,$B77,'Staff Weekly'!D:D,"Yes")&gt;0,20,0)</f>
        <v/>
      </c>
      <c r="G77">
        <f>IF($B77="","",IF(COUNTIFS('Class Reports'!A:A,$A77,'Class Reports'!D:D,$B77,'Class Reports'!G:G,"Poor") + COUNTIFS('Class Reports'!A:A,$A77,'Class Reports'!D:D,$B77,'Class Reports'!H:H,"Low")=0,20,10))</f>
        <v/>
      </c>
      <c r="H77">
        <f>IF($B77="","",IF(COUNTIFS('Subject Reports'!A:A,$A77,'Subject Reports'!D:D,$B77,'Subject Reports'!G:G,"Behind")=0,20,10))</f>
        <v/>
      </c>
      <c r="I77">
        <f>IF($B77="","",SUM(D77:H77))</f>
        <v/>
      </c>
      <c r="J77">
        <f>IF($I77="","",RANK($I77,$I$2:$I$200,0))</f>
        <v/>
      </c>
      <c r="K77">
        <f>IF($I77="","",IF($I77&gt;=90,"Outstanding",IF($I77&gt;=75,"Very Good",IF($I77&gt;=60,"Good","Needs Support"))))</f>
        <v/>
      </c>
    </row>
    <row r="78">
      <c r="D78">
        <f>IF(COUNTIFS('Staff Weekly'!A:A,$A78,'Staff Weekly'!C:C,$B78,'Staff Weekly'!F:F,"Yes")&gt;0,20,0)</f>
        <v/>
      </c>
      <c r="E78">
        <f>IF(COUNTIFS('Staff Weekly'!A:A,$A78,'Staff Weekly'!C:C,$B78,'Staff Weekly'!G:G,"Yes")&gt;0,20,0)</f>
        <v/>
      </c>
      <c r="F78">
        <f>IF(COUNTIFS('Staff Weekly'!A:A,$A78,'Staff Weekly'!C:C,$B78,'Staff Weekly'!D:D,"Yes")&gt;0,20,0)</f>
        <v/>
      </c>
      <c r="G78">
        <f>IF($B78="","",IF(COUNTIFS('Class Reports'!A:A,$A78,'Class Reports'!D:D,$B78,'Class Reports'!G:G,"Poor") + COUNTIFS('Class Reports'!A:A,$A78,'Class Reports'!D:D,$B78,'Class Reports'!H:H,"Low")=0,20,10))</f>
        <v/>
      </c>
      <c r="H78">
        <f>IF($B78="","",IF(COUNTIFS('Subject Reports'!A:A,$A78,'Subject Reports'!D:D,$B78,'Subject Reports'!G:G,"Behind")=0,20,10))</f>
        <v/>
      </c>
      <c r="I78">
        <f>IF($B78="","",SUM(D78:H78))</f>
        <v/>
      </c>
      <c r="J78">
        <f>IF($I78="","",RANK($I78,$I$2:$I$200,0))</f>
        <v/>
      </c>
      <c r="K78">
        <f>IF($I78="","",IF($I78&gt;=90,"Outstanding",IF($I78&gt;=75,"Very Good",IF($I78&gt;=60,"Good","Needs Support"))))</f>
        <v/>
      </c>
    </row>
    <row r="79">
      <c r="D79">
        <f>IF(COUNTIFS('Staff Weekly'!A:A,$A79,'Staff Weekly'!C:C,$B79,'Staff Weekly'!F:F,"Yes")&gt;0,20,0)</f>
        <v/>
      </c>
      <c r="E79">
        <f>IF(COUNTIFS('Staff Weekly'!A:A,$A79,'Staff Weekly'!C:C,$B79,'Staff Weekly'!G:G,"Yes")&gt;0,20,0)</f>
        <v/>
      </c>
      <c r="F79">
        <f>IF(COUNTIFS('Staff Weekly'!A:A,$A79,'Staff Weekly'!C:C,$B79,'Staff Weekly'!D:D,"Yes")&gt;0,20,0)</f>
        <v/>
      </c>
      <c r="G79">
        <f>IF($B79="","",IF(COUNTIFS('Class Reports'!A:A,$A79,'Class Reports'!D:D,$B79,'Class Reports'!G:G,"Poor") + COUNTIFS('Class Reports'!A:A,$A79,'Class Reports'!D:D,$B79,'Class Reports'!H:H,"Low")=0,20,10))</f>
        <v/>
      </c>
      <c r="H79">
        <f>IF($B79="","",IF(COUNTIFS('Subject Reports'!A:A,$A79,'Subject Reports'!D:D,$B79,'Subject Reports'!G:G,"Behind")=0,20,10))</f>
        <v/>
      </c>
      <c r="I79">
        <f>IF($B79="","",SUM(D79:H79))</f>
        <v/>
      </c>
      <c r="J79">
        <f>IF($I79="","",RANK($I79,$I$2:$I$200,0))</f>
        <v/>
      </c>
      <c r="K79">
        <f>IF($I79="","",IF($I79&gt;=90,"Outstanding",IF($I79&gt;=75,"Very Good",IF($I79&gt;=60,"Good","Needs Support"))))</f>
        <v/>
      </c>
    </row>
    <row r="80">
      <c r="D80">
        <f>IF(COUNTIFS('Staff Weekly'!A:A,$A80,'Staff Weekly'!C:C,$B80,'Staff Weekly'!F:F,"Yes")&gt;0,20,0)</f>
        <v/>
      </c>
      <c r="E80">
        <f>IF(COUNTIFS('Staff Weekly'!A:A,$A80,'Staff Weekly'!C:C,$B80,'Staff Weekly'!G:G,"Yes")&gt;0,20,0)</f>
        <v/>
      </c>
      <c r="F80">
        <f>IF(COUNTIFS('Staff Weekly'!A:A,$A80,'Staff Weekly'!C:C,$B80,'Staff Weekly'!D:D,"Yes")&gt;0,20,0)</f>
        <v/>
      </c>
      <c r="G80">
        <f>IF($B80="","",IF(COUNTIFS('Class Reports'!A:A,$A80,'Class Reports'!D:D,$B80,'Class Reports'!G:G,"Poor") + COUNTIFS('Class Reports'!A:A,$A80,'Class Reports'!D:D,$B80,'Class Reports'!H:H,"Low")=0,20,10))</f>
        <v/>
      </c>
      <c r="H80">
        <f>IF($B80="","",IF(COUNTIFS('Subject Reports'!A:A,$A80,'Subject Reports'!D:D,$B80,'Subject Reports'!G:G,"Behind")=0,20,10))</f>
        <v/>
      </c>
      <c r="I80">
        <f>IF($B80="","",SUM(D80:H80))</f>
        <v/>
      </c>
      <c r="J80">
        <f>IF($I80="","",RANK($I80,$I$2:$I$200,0))</f>
        <v/>
      </c>
      <c r="K80">
        <f>IF($I80="","",IF($I80&gt;=90,"Outstanding",IF($I80&gt;=75,"Very Good",IF($I80&gt;=60,"Good","Needs Support"))))</f>
        <v/>
      </c>
    </row>
    <row r="81">
      <c r="D81">
        <f>IF(COUNTIFS('Staff Weekly'!A:A,$A81,'Staff Weekly'!C:C,$B81,'Staff Weekly'!F:F,"Yes")&gt;0,20,0)</f>
        <v/>
      </c>
      <c r="E81">
        <f>IF(COUNTIFS('Staff Weekly'!A:A,$A81,'Staff Weekly'!C:C,$B81,'Staff Weekly'!G:G,"Yes")&gt;0,20,0)</f>
        <v/>
      </c>
      <c r="F81">
        <f>IF(COUNTIFS('Staff Weekly'!A:A,$A81,'Staff Weekly'!C:C,$B81,'Staff Weekly'!D:D,"Yes")&gt;0,20,0)</f>
        <v/>
      </c>
      <c r="G81">
        <f>IF($B81="","",IF(COUNTIFS('Class Reports'!A:A,$A81,'Class Reports'!D:D,$B81,'Class Reports'!G:G,"Poor") + COUNTIFS('Class Reports'!A:A,$A81,'Class Reports'!D:D,$B81,'Class Reports'!H:H,"Low")=0,20,10))</f>
        <v/>
      </c>
      <c r="H81">
        <f>IF($B81="","",IF(COUNTIFS('Subject Reports'!A:A,$A81,'Subject Reports'!D:D,$B81,'Subject Reports'!G:G,"Behind")=0,20,10))</f>
        <v/>
      </c>
      <c r="I81">
        <f>IF($B81="","",SUM(D81:H81))</f>
        <v/>
      </c>
      <c r="J81">
        <f>IF($I81="","",RANK($I81,$I$2:$I$200,0))</f>
        <v/>
      </c>
      <c r="K81">
        <f>IF($I81="","",IF($I81&gt;=90,"Outstanding",IF($I81&gt;=75,"Very Good",IF($I81&gt;=60,"Good","Needs Support"))))</f>
        <v/>
      </c>
    </row>
    <row r="82">
      <c r="D82">
        <f>IF(COUNTIFS('Staff Weekly'!A:A,$A82,'Staff Weekly'!C:C,$B82,'Staff Weekly'!F:F,"Yes")&gt;0,20,0)</f>
        <v/>
      </c>
      <c r="E82">
        <f>IF(COUNTIFS('Staff Weekly'!A:A,$A82,'Staff Weekly'!C:C,$B82,'Staff Weekly'!G:G,"Yes")&gt;0,20,0)</f>
        <v/>
      </c>
      <c r="F82">
        <f>IF(COUNTIFS('Staff Weekly'!A:A,$A82,'Staff Weekly'!C:C,$B82,'Staff Weekly'!D:D,"Yes")&gt;0,20,0)</f>
        <v/>
      </c>
      <c r="G82">
        <f>IF($B82="","",IF(COUNTIFS('Class Reports'!A:A,$A82,'Class Reports'!D:D,$B82,'Class Reports'!G:G,"Poor") + COUNTIFS('Class Reports'!A:A,$A82,'Class Reports'!D:D,$B82,'Class Reports'!H:H,"Low")=0,20,10))</f>
        <v/>
      </c>
      <c r="H82">
        <f>IF($B82="","",IF(COUNTIFS('Subject Reports'!A:A,$A82,'Subject Reports'!D:D,$B82,'Subject Reports'!G:G,"Behind")=0,20,10))</f>
        <v/>
      </c>
      <c r="I82">
        <f>IF($B82="","",SUM(D82:H82))</f>
        <v/>
      </c>
      <c r="J82">
        <f>IF($I82="","",RANK($I82,$I$2:$I$200,0))</f>
        <v/>
      </c>
      <c r="K82">
        <f>IF($I82="","",IF($I82&gt;=90,"Outstanding",IF($I82&gt;=75,"Very Good",IF($I82&gt;=60,"Good","Needs Support"))))</f>
        <v/>
      </c>
    </row>
    <row r="83">
      <c r="D83">
        <f>IF(COUNTIFS('Staff Weekly'!A:A,$A83,'Staff Weekly'!C:C,$B83,'Staff Weekly'!F:F,"Yes")&gt;0,20,0)</f>
        <v/>
      </c>
      <c r="E83">
        <f>IF(COUNTIFS('Staff Weekly'!A:A,$A83,'Staff Weekly'!C:C,$B83,'Staff Weekly'!G:G,"Yes")&gt;0,20,0)</f>
        <v/>
      </c>
      <c r="F83">
        <f>IF(COUNTIFS('Staff Weekly'!A:A,$A83,'Staff Weekly'!C:C,$B83,'Staff Weekly'!D:D,"Yes")&gt;0,20,0)</f>
        <v/>
      </c>
      <c r="G83">
        <f>IF($B83="","",IF(COUNTIFS('Class Reports'!A:A,$A83,'Class Reports'!D:D,$B83,'Class Reports'!G:G,"Poor") + COUNTIFS('Class Reports'!A:A,$A83,'Class Reports'!D:D,$B83,'Class Reports'!H:H,"Low")=0,20,10))</f>
        <v/>
      </c>
      <c r="H83">
        <f>IF($B83="","",IF(COUNTIFS('Subject Reports'!A:A,$A83,'Subject Reports'!D:D,$B83,'Subject Reports'!G:G,"Behind")=0,20,10))</f>
        <v/>
      </c>
      <c r="I83">
        <f>IF($B83="","",SUM(D83:H83))</f>
        <v/>
      </c>
      <c r="J83">
        <f>IF($I83="","",RANK($I83,$I$2:$I$200,0))</f>
        <v/>
      </c>
      <c r="K83">
        <f>IF($I83="","",IF($I83&gt;=90,"Outstanding",IF($I83&gt;=75,"Very Good",IF($I83&gt;=60,"Good","Needs Support"))))</f>
        <v/>
      </c>
    </row>
    <row r="84">
      <c r="D84">
        <f>IF(COUNTIFS('Staff Weekly'!A:A,$A84,'Staff Weekly'!C:C,$B84,'Staff Weekly'!F:F,"Yes")&gt;0,20,0)</f>
        <v/>
      </c>
      <c r="E84">
        <f>IF(COUNTIFS('Staff Weekly'!A:A,$A84,'Staff Weekly'!C:C,$B84,'Staff Weekly'!G:G,"Yes")&gt;0,20,0)</f>
        <v/>
      </c>
      <c r="F84">
        <f>IF(COUNTIFS('Staff Weekly'!A:A,$A84,'Staff Weekly'!C:C,$B84,'Staff Weekly'!D:D,"Yes")&gt;0,20,0)</f>
        <v/>
      </c>
      <c r="G84">
        <f>IF($B84="","",IF(COUNTIFS('Class Reports'!A:A,$A84,'Class Reports'!D:D,$B84,'Class Reports'!G:G,"Poor") + COUNTIFS('Class Reports'!A:A,$A84,'Class Reports'!D:D,$B84,'Class Reports'!H:H,"Low")=0,20,10))</f>
        <v/>
      </c>
      <c r="H84">
        <f>IF($B84="","",IF(COUNTIFS('Subject Reports'!A:A,$A84,'Subject Reports'!D:D,$B84,'Subject Reports'!G:G,"Behind")=0,20,10))</f>
        <v/>
      </c>
      <c r="I84">
        <f>IF($B84="","",SUM(D84:H84))</f>
        <v/>
      </c>
      <c r="J84">
        <f>IF($I84="","",RANK($I84,$I$2:$I$200,0))</f>
        <v/>
      </c>
      <c r="K84">
        <f>IF($I84="","",IF($I84&gt;=90,"Outstanding",IF($I84&gt;=75,"Very Good",IF($I84&gt;=60,"Good","Needs Support"))))</f>
        <v/>
      </c>
    </row>
    <row r="85">
      <c r="D85">
        <f>IF(COUNTIFS('Staff Weekly'!A:A,$A85,'Staff Weekly'!C:C,$B85,'Staff Weekly'!F:F,"Yes")&gt;0,20,0)</f>
        <v/>
      </c>
      <c r="E85">
        <f>IF(COUNTIFS('Staff Weekly'!A:A,$A85,'Staff Weekly'!C:C,$B85,'Staff Weekly'!G:G,"Yes")&gt;0,20,0)</f>
        <v/>
      </c>
      <c r="F85">
        <f>IF(COUNTIFS('Staff Weekly'!A:A,$A85,'Staff Weekly'!C:C,$B85,'Staff Weekly'!D:D,"Yes")&gt;0,20,0)</f>
        <v/>
      </c>
      <c r="G85">
        <f>IF($B85="","",IF(COUNTIFS('Class Reports'!A:A,$A85,'Class Reports'!D:D,$B85,'Class Reports'!G:G,"Poor") + COUNTIFS('Class Reports'!A:A,$A85,'Class Reports'!D:D,$B85,'Class Reports'!H:H,"Low")=0,20,10))</f>
        <v/>
      </c>
      <c r="H85">
        <f>IF($B85="","",IF(COUNTIFS('Subject Reports'!A:A,$A85,'Subject Reports'!D:D,$B85,'Subject Reports'!G:G,"Behind")=0,20,10))</f>
        <v/>
      </c>
      <c r="I85">
        <f>IF($B85="","",SUM(D85:H85))</f>
        <v/>
      </c>
      <c r="J85">
        <f>IF($I85="","",RANK($I85,$I$2:$I$200,0))</f>
        <v/>
      </c>
      <c r="K85">
        <f>IF($I85="","",IF($I85&gt;=90,"Outstanding",IF($I85&gt;=75,"Very Good",IF($I85&gt;=60,"Good","Needs Support"))))</f>
        <v/>
      </c>
    </row>
    <row r="86">
      <c r="D86">
        <f>IF(COUNTIFS('Staff Weekly'!A:A,$A86,'Staff Weekly'!C:C,$B86,'Staff Weekly'!F:F,"Yes")&gt;0,20,0)</f>
        <v/>
      </c>
      <c r="E86">
        <f>IF(COUNTIFS('Staff Weekly'!A:A,$A86,'Staff Weekly'!C:C,$B86,'Staff Weekly'!G:G,"Yes")&gt;0,20,0)</f>
        <v/>
      </c>
      <c r="F86">
        <f>IF(COUNTIFS('Staff Weekly'!A:A,$A86,'Staff Weekly'!C:C,$B86,'Staff Weekly'!D:D,"Yes")&gt;0,20,0)</f>
        <v/>
      </c>
      <c r="G86">
        <f>IF($B86="","",IF(COUNTIFS('Class Reports'!A:A,$A86,'Class Reports'!D:D,$B86,'Class Reports'!G:G,"Poor") + COUNTIFS('Class Reports'!A:A,$A86,'Class Reports'!D:D,$B86,'Class Reports'!H:H,"Low")=0,20,10))</f>
        <v/>
      </c>
      <c r="H86">
        <f>IF($B86="","",IF(COUNTIFS('Subject Reports'!A:A,$A86,'Subject Reports'!D:D,$B86,'Subject Reports'!G:G,"Behind")=0,20,10))</f>
        <v/>
      </c>
      <c r="I86">
        <f>IF($B86="","",SUM(D86:H86))</f>
        <v/>
      </c>
      <c r="J86">
        <f>IF($I86="","",RANK($I86,$I$2:$I$200,0))</f>
        <v/>
      </c>
      <c r="K86">
        <f>IF($I86="","",IF($I86&gt;=90,"Outstanding",IF($I86&gt;=75,"Very Good",IF($I86&gt;=60,"Good","Needs Support"))))</f>
        <v/>
      </c>
    </row>
    <row r="87">
      <c r="D87">
        <f>IF(COUNTIFS('Staff Weekly'!A:A,$A87,'Staff Weekly'!C:C,$B87,'Staff Weekly'!F:F,"Yes")&gt;0,20,0)</f>
        <v/>
      </c>
      <c r="E87">
        <f>IF(COUNTIFS('Staff Weekly'!A:A,$A87,'Staff Weekly'!C:C,$B87,'Staff Weekly'!G:G,"Yes")&gt;0,20,0)</f>
        <v/>
      </c>
      <c r="F87">
        <f>IF(COUNTIFS('Staff Weekly'!A:A,$A87,'Staff Weekly'!C:C,$B87,'Staff Weekly'!D:D,"Yes")&gt;0,20,0)</f>
        <v/>
      </c>
      <c r="G87">
        <f>IF($B87="","",IF(COUNTIFS('Class Reports'!A:A,$A87,'Class Reports'!D:D,$B87,'Class Reports'!G:G,"Poor") + COUNTIFS('Class Reports'!A:A,$A87,'Class Reports'!D:D,$B87,'Class Reports'!H:H,"Low")=0,20,10))</f>
        <v/>
      </c>
      <c r="H87">
        <f>IF($B87="","",IF(COUNTIFS('Subject Reports'!A:A,$A87,'Subject Reports'!D:D,$B87,'Subject Reports'!G:G,"Behind")=0,20,10))</f>
        <v/>
      </c>
      <c r="I87">
        <f>IF($B87="","",SUM(D87:H87))</f>
        <v/>
      </c>
      <c r="J87">
        <f>IF($I87="","",RANK($I87,$I$2:$I$200,0))</f>
        <v/>
      </c>
      <c r="K87">
        <f>IF($I87="","",IF($I87&gt;=90,"Outstanding",IF($I87&gt;=75,"Very Good",IF($I87&gt;=60,"Good","Needs Support"))))</f>
        <v/>
      </c>
    </row>
    <row r="88">
      <c r="D88">
        <f>IF(COUNTIFS('Staff Weekly'!A:A,$A88,'Staff Weekly'!C:C,$B88,'Staff Weekly'!F:F,"Yes")&gt;0,20,0)</f>
        <v/>
      </c>
      <c r="E88">
        <f>IF(COUNTIFS('Staff Weekly'!A:A,$A88,'Staff Weekly'!C:C,$B88,'Staff Weekly'!G:G,"Yes")&gt;0,20,0)</f>
        <v/>
      </c>
      <c r="F88">
        <f>IF(COUNTIFS('Staff Weekly'!A:A,$A88,'Staff Weekly'!C:C,$B88,'Staff Weekly'!D:D,"Yes")&gt;0,20,0)</f>
        <v/>
      </c>
      <c r="G88">
        <f>IF($B88="","",IF(COUNTIFS('Class Reports'!A:A,$A88,'Class Reports'!D:D,$B88,'Class Reports'!G:G,"Poor") + COUNTIFS('Class Reports'!A:A,$A88,'Class Reports'!D:D,$B88,'Class Reports'!H:H,"Low")=0,20,10))</f>
        <v/>
      </c>
      <c r="H88">
        <f>IF($B88="","",IF(COUNTIFS('Subject Reports'!A:A,$A88,'Subject Reports'!D:D,$B88,'Subject Reports'!G:G,"Behind")=0,20,10))</f>
        <v/>
      </c>
      <c r="I88">
        <f>IF($B88="","",SUM(D88:H88))</f>
        <v/>
      </c>
      <c r="J88">
        <f>IF($I88="","",RANK($I88,$I$2:$I$200,0))</f>
        <v/>
      </c>
      <c r="K88">
        <f>IF($I88="","",IF($I88&gt;=90,"Outstanding",IF($I88&gt;=75,"Very Good",IF($I88&gt;=60,"Good","Needs Support"))))</f>
        <v/>
      </c>
    </row>
    <row r="89">
      <c r="D89">
        <f>IF(COUNTIFS('Staff Weekly'!A:A,$A89,'Staff Weekly'!C:C,$B89,'Staff Weekly'!F:F,"Yes")&gt;0,20,0)</f>
        <v/>
      </c>
      <c r="E89">
        <f>IF(COUNTIFS('Staff Weekly'!A:A,$A89,'Staff Weekly'!C:C,$B89,'Staff Weekly'!G:G,"Yes")&gt;0,20,0)</f>
        <v/>
      </c>
      <c r="F89">
        <f>IF(COUNTIFS('Staff Weekly'!A:A,$A89,'Staff Weekly'!C:C,$B89,'Staff Weekly'!D:D,"Yes")&gt;0,20,0)</f>
        <v/>
      </c>
      <c r="G89">
        <f>IF($B89="","",IF(COUNTIFS('Class Reports'!A:A,$A89,'Class Reports'!D:D,$B89,'Class Reports'!G:G,"Poor") + COUNTIFS('Class Reports'!A:A,$A89,'Class Reports'!D:D,$B89,'Class Reports'!H:H,"Low")=0,20,10))</f>
        <v/>
      </c>
      <c r="H89">
        <f>IF($B89="","",IF(COUNTIFS('Subject Reports'!A:A,$A89,'Subject Reports'!D:D,$B89,'Subject Reports'!G:G,"Behind")=0,20,10))</f>
        <v/>
      </c>
      <c r="I89">
        <f>IF($B89="","",SUM(D89:H89))</f>
        <v/>
      </c>
      <c r="J89">
        <f>IF($I89="","",RANK($I89,$I$2:$I$200,0))</f>
        <v/>
      </c>
      <c r="K89">
        <f>IF($I89="","",IF($I89&gt;=90,"Outstanding",IF($I89&gt;=75,"Very Good",IF($I89&gt;=60,"Good","Needs Support"))))</f>
        <v/>
      </c>
    </row>
    <row r="90">
      <c r="D90">
        <f>IF(COUNTIFS('Staff Weekly'!A:A,$A90,'Staff Weekly'!C:C,$B90,'Staff Weekly'!F:F,"Yes")&gt;0,20,0)</f>
        <v/>
      </c>
      <c r="E90">
        <f>IF(COUNTIFS('Staff Weekly'!A:A,$A90,'Staff Weekly'!C:C,$B90,'Staff Weekly'!G:G,"Yes")&gt;0,20,0)</f>
        <v/>
      </c>
      <c r="F90">
        <f>IF(COUNTIFS('Staff Weekly'!A:A,$A90,'Staff Weekly'!C:C,$B90,'Staff Weekly'!D:D,"Yes")&gt;0,20,0)</f>
        <v/>
      </c>
      <c r="G90">
        <f>IF($B90="","",IF(COUNTIFS('Class Reports'!A:A,$A90,'Class Reports'!D:D,$B90,'Class Reports'!G:G,"Poor") + COUNTIFS('Class Reports'!A:A,$A90,'Class Reports'!D:D,$B90,'Class Reports'!H:H,"Low")=0,20,10))</f>
        <v/>
      </c>
      <c r="H90">
        <f>IF($B90="","",IF(COUNTIFS('Subject Reports'!A:A,$A90,'Subject Reports'!D:D,$B90,'Subject Reports'!G:G,"Behind")=0,20,10))</f>
        <v/>
      </c>
      <c r="I90">
        <f>IF($B90="","",SUM(D90:H90))</f>
        <v/>
      </c>
      <c r="J90">
        <f>IF($I90="","",RANK($I90,$I$2:$I$200,0))</f>
        <v/>
      </c>
      <c r="K90">
        <f>IF($I90="","",IF($I90&gt;=90,"Outstanding",IF($I90&gt;=75,"Very Good",IF($I90&gt;=60,"Good","Needs Support"))))</f>
        <v/>
      </c>
    </row>
    <row r="91">
      <c r="D91">
        <f>IF(COUNTIFS('Staff Weekly'!A:A,$A91,'Staff Weekly'!C:C,$B91,'Staff Weekly'!F:F,"Yes")&gt;0,20,0)</f>
        <v/>
      </c>
      <c r="E91">
        <f>IF(COUNTIFS('Staff Weekly'!A:A,$A91,'Staff Weekly'!C:C,$B91,'Staff Weekly'!G:G,"Yes")&gt;0,20,0)</f>
        <v/>
      </c>
      <c r="F91">
        <f>IF(COUNTIFS('Staff Weekly'!A:A,$A91,'Staff Weekly'!C:C,$B91,'Staff Weekly'!D:D,"Yes")&gt;0,20,0)</f>
        <v/>
      </c>
      <c r="G91">
        <f>IF($B91="","",IF(COUNTIFS('Class Reports'!A:A,$A91,'Class Reports'!D:D,$B91,'Class Reports'!G:G,"Poor") + COUNTIFS('Class Reports'!A:A,$A91,'Class Reports'!D:D,$B91,'Class Reports'!H:H,"Low")=0,20,10))</f>
        <v/>
      </c>
      <c r="H91">
        <f>IF($B91="","",IF(COUNTIFS('Subject Reports'!A:A,$A91,'Subject Reports'!D:D,$B91,'Subject Reports'!G:G,"Behind")=0,20,10))</f>
        <v/>
      </c>
      <c r="I91">
        <f>IF($B91="","",SUM(D91:H91))</f>
        <v/>
      </c>
      <c r="J91">
        <f>IF($I91="","",RANK($I91,$I$2:$I$200,0))</f>
        <v/>
      </c>
      <c r="K91">
        <f>IF($I91="","",IF($I91&gt;=90,"Outstanding",IF($I91&gt;=75,"Very Good",IF($I91&gt;=60,"Good","Needs Support"))))</f>
        <v/>
      </c>
    </row>
    <row r="92">
      <c r="D92">
        <f>IF(COUNTIFS('Staff Weekly'!A:A,$A92,'Staff Weekly'!C:C,$B92,'Staff Weekly'!F:F,"Yes")&gt;0,20,0)</f>
        <v/>
      </c>
      <c r="E92">
        <f>IF(COUNTIFS('Staff Weekly'!A:A,$A92,'Staff Weekly'!C:C,$B92,'Staff Weekly'!G:G,"Yes")&gt;0,20,0)</f>
        <v/>
      </c>
      <c r="F92">
        <f>IF(COUNTIFS('Staff Weekly'!A:A,$A92,'Staff Weekly'!C:C,$B92,'Staff Weekly'!D:D,"Yes")&gt;0,20,0)</f>
        <v/>
      </c>
      <c r="G92">
        <f>IF($B92="","",IF(COUNTIFS('Class Reports'!A:A,$A92,'Class Reports'!D:D,$B92,'Class Reports'!G:G,"Poor") + COUNTIFS('Class Reports'!A:A,$A92,'Class Reports'!D:D,$B92,'Class Reports'!H:H,"Low")=0,20,10))</f>
        <v/>
      </c>
      <c r="H92">
        <f>IF($B92="","",IF(COUNTIFS('Subject Reports'!A:A,$A92,'Subject Reports'!D:D,$B92,'Subject Reports'!G:G,"Behind")=0,20,10))</f>
        <v/>
      </c>
      <c r="I92">
        <f>IF($B92="","",SUM(D92:H92))</f>
        <v/>
      </c>
      <c r="J92">
        <f>IF($I92="","",RANK($I92,$I$2:$I$200,0))</f>
        <v/>
      </c>
      <c r="K92">
        <f>IF($I92="","",IF($I92&gt;=90,"Outstanding",IF($I92&gt;=75,"Very Good",IF($I92&gt;=60,"Good","Needs Support"))))</f>
        <v/>
      </c>
    </row>
    <row r="93">
      <c r="D93">
        <f>IF(COUNTIFS('Staff Weekly'!A:A,$A93,'Staff Weekly'!C:C,$B93,'Staff Weekly'!F:F,"Yes")&gt;0,20,0)</f>
        <v/>
      </c>
      <c r="E93">
        <f>IF(COUNTIFS('Staff Weekly'!A:A,$A93,'Staff Weekly'!C:C,$B93,'Staff Weekly'!G:G,"Yes")&gt;0,20,0)</f>
        <v/>
      </c>
      <c r="F93">
        <f>IF(COUNTIFS('Staff Weekly'!A:A,$A93,'Staff Weekly'!C:C,$B93,'Staff Weekly'!D:D,"Yes")&gt;0,20,0)</f>
        <v/>
      </c>
      <c r="G93">
        <f>IF($B93="","",IF(COUNTIFS('Class Reports'!A:A,$A93,'Class Reports'!D:D,$B93,'Class Reports'!G:G,"Poor") + COUNTIFS('Class Reports'!A:A,$A93,'Class Reports'!D:D,$B93,'Class Reports'!H:H,"Low")=0,20,10))</f>
        <v/>
      </c>
      <c r="H93">
        <f>IF($B93="","",IF(COUNTIFS('Subject Reports'!A:A,$A93,'Subject Reports'!D:D,$B93,'Subject Reports'!G:G,"Behind")=0,20,10))</f>
        <v/>
      </c>
      <c r="I93">
        <f>IF($B93="","",SUM(D93:H93))</f>
        <v/>
      </c>
      <c r="J93">
        <f>IF($I93="","",RANK($I93,$I$2:$I$200,0))</f>
        <v/>
      </c>
      <c r="K93">
        <f>IF($I93="","",IF($I93&gt;=90,"Outstanding",IF($I93&gt;=75,"Very Good",IF($I93&gt;=60,"Good","Needs Support"))))</f>
        <v/>
      </c>
    </row>
    <row r="94">
      <c r="D94">
        <f>IF(COUNTIFS('Staff Weekly'!A:A,$A94,'Staff Weekly'!C:C,$B94,'Staff Weekly'!F:F,"Yes")&gt;0,20,0)</f>
        <v/>
      </c>
      <c r="E94">
        <f>IF(COUNTIFS('Staff Weekly'!A:A,$A94,'Staff Weekly'!C:C,$B94,'Staff Weekly'!G:G,"Yes")&gt;0,20,0)</f>
        <v/>
      </c>
      <c r="F94">
        <f>IF(COUNTIFS('Staff Weekly'!A:A,$A94,'Staff Weekly'!C:C,$B94,'Staff Weekly'!D:D,"Yes")&gt;0,20,0)</f>
        <v/>
      </c>
      <c r="G94">
        <f>IF($B94="","",IF(COUNTIFS('Class Reports'!A:A,$A94,'Class Reports'!D:D,$B94,'Class Reports'!G:G,"Poor") + COUNTIFS('Class Reports'!A:A,$A94,'Class Reports'!D:D,$B94,'Class Reports'!H:H,"Low")=0,20,10))</f>
        <v/>
      </c>
      <c r="H94">
        <f>IF($B94="","",IF(COUNTIFS('Subject Reports'!A:A,$A94,'Subject Reports'!D:D,$B94,'Subject Reports'!G:G,"Behind")=0,20,10))</f>
        <v/>
      </c>
      <c r="I94">
        <f>IF($B94="","",SUM(D94:H94))</f>
        <v/>
      </c>
      <c r="J94">
        <f>IF($I94="","",RANK($I94,$I$2:$I$200,0))</f>
        <v/>
      </c>
      <c r="K94">
        <f>IF($I94="","",IF($I94&gt;=90,"Outstanding",IF($I94&gt;=75,"Very Good",IF($I94&gt;=60,"Good","Needs Support"))))</f>
        <v/>
      </c>
    </row>
    <row r="95">
      <c r="D95">
        <f>IF(COUNTIFS('Staff Weekly'!A:A,$A95,'Staff Weekly'!C:C,$B95,'Staff Weekly'!F:F,"Yes")&gt;0,20,0)</f>
        <v/>
      </c>
      <c r="E95">
        <f>IF(COUNTIFS('Staff Weekly'!A:A,$A95,'Staff Weekly'!C:C,$B95,'Staff Weekly'!G:G,"Yes")&gt;0,20,0)</f>
        <v/>
      </c>
      <c r="F95">
        <f>IF(COUNTIFS('Staff Weekly'!A:A,$A95,'Staff Weekly'!C:C,$B95,'Staff Weekly'!D:D,"Yes")&gt;0,20,0)</f>
        <v/>
      </c>
      <c r="G95">
        <f>IF($B95="","",IF(COUNTIFS('Class Reports'!A:A,$A95,'Class Reports'!D:D,$B95,'Class Reports'!G:G,"Poor") + COUNTIFS('Class Reports'!A:A,$A95,'Class Reports'!D:D,$B95,'Class Reports'!H:H,"Low")=0,20,10))</f>
        <v/>
      </c>
      <c r="H95">
        <f>IF($B95="","",IF(COUNTIFS('Subject Reports'!A:A,$A95,'Subject Reports'!D:D,$B95,'Subject Reports'!G:G,"Behind")=0,20,10))</f>
        <v/>
      </c>
      <c r="I95">
        <f>IF($B95="","",SUM(D95:H95))</f>
        <v/>
      </c>
      <c r="J95">
        <f>IF($I95="","",RANK($I95,$I$2:$I$200,0))</f>
        <v/>
      </c>
      <c r="K95">
        <f>IF($I95="","",IF($I95&gt;=90,"Outstanding",IF($I95&gt;=75,"Very Good",IF($I95&gt;=60,"Good","Needs Support"))))</f>
        <v/>
      </c>
    </row>
    <row r="96">
      <c r="D96">
        <f>IF(COUNTIFS('Staff Weekly'!A:A,$A96,'Staff Weekly'!C:C,$B96,'Staff Weekly'!F:F,"Yes")&gt;0,20,0)</f>
        <v/>
      </c>
      <c r="E96">
        <f>IF(COUNTIFS('Staff Weekly'!A:A,$A96,'Staff Weekly'!C:C,$B96,'Staff Weekly'!G:G,"Yes")&gt;0,20,0)</f>
        <v/>
      </c>
      <c r="F96">
        <f>IF(COUNTIFS('Staff Weekly'!A:A,$A96,'Staff Weekly'!C:C,$B96,'Staff Weekly'!D:D,"Yes")&gt;0,20,0)</f>
        <v/>
      </c>
      <c r="G96">
        <f>IF($B96="","",IF(COUNTIFS('Class Reports'!A:A,$A96,'Class Reports'!D:D,$B96,'Class Reports'!G:G,"Poor") + COUNTIFS('Class Reports'!A:A,$A96,'Class Reports'!D:D,$B96,'Class Reports'!H:H,"Low")=0,20,10))</f>
        <v/>
      </c>
      <c r="H96">
        <f>IF($B96="","",IF(COUNTIFS('Subject Reports'!A:A,$A96,'Subject Reports'!D:D,$B96,'Subject Reports'!G:G,"Behind")=0,20,10))</f>
        <v/>
      </c>
      <c r="I96">
        <f>IF($B96="","",SUM(D96:H96))</f>
        <v/>
      </c>
      <c r="J96">
        <f>IF($I96="","",RANK($I96,$I$2:$I$200,0))</f>
        <v/>
      </c>
      <c r="K96">
        <f>IF($I96="","",IF($I96&gt;=90,"Outstanding",IF($I96&gt;=75,"Very Good",IF($I96&gt;=60,"Good","Needs Support"))))</f>
        <v/>
      </c>
    </row>
    <row r="97">
      <c r="D97">
        <f>IF(COUNTIFS('Staff Weekly'!A:A,$A97,'Staff Weekly'!C:C,$B97,'Staff Weekly'!F:F,"Yes")&gt;0,20,0)</f>
        <v/>
      </c>
      <c r="E97">
        <f>IF(COUNTIFS('Staff Weekly'!A:A,$A97,'Staff Weekly'!C:C,$B97,'Staff Weekly'!G:G,"Yes")&gt;0,20,0)</f>
        <v/>
      </c>
      <c r="F97">
        <f>IF(COUNTIFS('Staff Weekly'!A:A,$A97,'Staff Weekly'!C:C,$B97,'Staff Weekly'!D:D,"Yes")&gt;0,20,0)</f>
        <v/>
      </c>
      <c r="G97">
        <f>IF($B97="","",IF(COUNTIFS('Class Reports'!A:A,$A97,'Class Reports'!D:D,$B97,'Class Reports'!G:G,"Poor") + COUNTIFS('Class Reports'!A:A,$A97,'Class Reports'!D:D,$B97,'Class Reports'!H:H,"Low")=0,20,10))</f>
        <v/>
      </c>
      <c r="H97">
        <f>IF($B97="","",IF(COUNTIFS('Subject Reports'!A:A,$A97,'Subject Reports'!D:D,$B97,'Subject Reports'!G:G,"Behind")=0,20,10))</f>
        <v/>
      </c>
      <c r="I97">
        <f>IF($B97="","",SUM(D97:H97))</f>
        <v/>
      </c>
      <c r="J97">
        <f>IF($I97="","",RANK($I97,$I$2:$I$200,0))</f>
        <v/>
      </c>
      <c r="K97">
        <f>IF($I97="","",IF($I97&gt;=90,"Outstanding",IF($I97&gt;=75,"Very Good",IF($I97&gt;=60,"Good","Needs Support"))))</f>
        <v/>
      </c>
    </row>
    <row r="98">
      <c r="D98">
        <f>IF(COUNTIFS('Staff Weekly'!A:A,$A98,'Staff Weekly'!C:C,$B98,'Staff Weekly'!F:F,"Yes")&gt;0,20,0)</f>
        <v/>
      </c>
      <c r="E98">
        <f>IF(COUNTIFS('Staff Weekly'!A:A,$A98,'Staff Weekly'!C:C,$B98,'Staff Weekly'!G:G,"Yes")&gt;0,20,0)</f>
        <v/>
      </c>
      <c r="F98">
        <f>IF(COUNTIFS('Staff Weekly'!A:A,$A98,'Staff Weekly'!C:C,$B98,'Staff Weekly'!D:D,"Yes")&gt;0,20,0)</f>
        <v/>
      </c>
      <c r="G98">
        <f>IF($B98="","",IF(COUNTIFS('Class Reports'!A:A,$A98,'Class Reports'!D:D,$B98,'Class Reports'!G:G,"Poor") + COUNTIFS('Class Reports'!A:A,$A98,'Class Reports'!D:D,$B98,'Class Reports'!H:H,"Low")=0,20,10))</f>
        <v/>
      </c>
      <c r="H98">
        <f>IF($B98="","",IF(COUNTIFS('Subject Reports'!A:A,$A98,'Subject Reports'!D:D,$B98,'Subject Reports'!G:G,"Behind")=0,20,10))</f>
        <v/>
      </c>
      <c r="I98">
        <f>IF($B98="","",SUM(D98:H98))</f>
        <v/>
      </c>
      <c r="J98">
        <f>IF($I98="","",RANK($I98,$I$2:$I$200,0))</f>
        <v/>
      </c>
      <c r="K98">
        <f>IF($I98="","",IF($I98&gt;=90,"Outstanding",IF($I98&gt;=75,"Very Good",IF($I98&gt;=60,"Good","Needs Support"))))</f>
        <v/>
      </c>
    </row>
    <row r="99">
      <c r="D99">
        <f>IF(COUNTIFS('Staff Weekly'!A:A,$A99,'Staff Weekly'!C:C,$B99,'Staff Weekly'!F:F,"Yes")&gt;0,20,0)</f>
        <v/>
      </c>
      <c r="E99">
        <f>IF(COUNTIFS('Staff Weekly'!A:A,$A99,'Staff Weekly'!C:C,$B99,'Staff Weekly'!G:G,"Yes")&gt;0,20,0)</f>
        <v/>
      </c>
      <c r="F99">
        <f>IF(COUNTIFS('Staff Weekly'!A:A,$A99,'Staff Weekly'!C:C,$B99,'Staff Weekly'!D:D,"Yes")&gt;0,20,0)</f>
        <v/>
      </c>
      <c r="G99">
        <f>IF($B99="","",IF(COUNTIFS('Class Reports'!A:A,$A99,'Class Reports'!D:D,$B99,'Class Reports'!G:G,"Poor") + COUNTIFS('Class Reports'!A:A,$A99,'Class Reports'!D:D,$B99,'Class Reports'!H:H,"Low")=0,20,10))</f>
        <v/>
      </c>
      <c r="H99">
        <f>IF($B99="","",IF(COUNTIFS('Subject Reports'!A:A,$A99,'Subject Reports'!D:D,$B99,'Subject Reports'!G:G,"Behind")=0,20,10))</f>
        <v/>
      </c>
      <c r="I99">
        <f>IF($B99="","",SUM(D99:H99))</f>
        <v/>
      </c>
      <c r="J99">
        <f>IF($I99="","",RANK($I99,$I$2:$I$200,0))</f>
        <v/>
      </c>
      <c r="K99">
        <f>IF($I99="","",IF($I99&gt;=90,"Outstanding",IF($I99&gt;=75,"Very Good",IF($I99&gt;=60,"Good","Needs Support"))))</f>
        <v/>
      </c>
    </row>
    <row r="100">
      <c r="D100">
        <f>IF(COUNTIFS('Staff Weekly'!A:A,$A100,'Staff Weekly'!C:C,$B100,'Staff Weekly'!F:F,"Yes")&gt;0,20,0)</f>
        <v/>
      </c>
      <c r="E100">
        <f>IF(COUNTIFS('Staff Weekly'!A:A,$A100,'Staff Weekly'!C:C,$B100,'Staff Weekly'!G:G,"Yes")&gt;0,20,0)</f>
        <v/>
      </c>
      <c r="F100">
        <f>IF(COUNTIFS('Staff Weekly'!A:A,$A100,'Staff Weekly'!C:C,$B100,'Staff Weekly'!D:D,"Yes")&gt;0,20,0)</f>
        <v/>
      </c>
      <c r="G100">
        <f>IF($B100="","",IF(COUNTIFS('Class Reports'!A:A,$A100,'Class Reports'!D:D,$B100,'Class Reports'!G:G,"Poor") + COUNTIFS('Class Reports'!A:A,$A100,'Class Reports'!D:D,$B100,'Class Reports'!H:H,"Low")=0,20,10))</f>
        <v/>
      </c>
      <c r="H100">
        <f>IF($B100="","",IF(COUNTIFS('Subject Reports'!A:A,$A100,'Subject Reports'!D:D,$B100,'Subject Reports'!G:G,"Behind")=0,20,10))</f>
        <v/>
      </c>
      <c r="I100">
        <f>IF($B100="","",SUM(D100:H100))</f>
        <v/>
      </c>
      <c r="J100">
        <f>IF($I100="","",RANK($I100,$I$2:$I$200,0))</f>
        <v/>
      </c>
      <c r="K100">
        <f>IF($I100="","",IF($I100&gt;=90,"Outstanding",IF($I100&gt;=75,"Very Good",IF($I100&gt;=60,"Good","Needs Support"))))</f>
        <v/>
      </c>
    </row>
    <row r="101">
      <c r="D101">
        <f>IF(COUNTIFS('Staff Weekly'!A:A,$A101,'Staff Weekly'!C:C,$B101,'Staff Weekly'!F:F,"Yes")&gt;0,20,0)</f>
        <v/>
      </c>
      <c r="E101">
        <f>IF(COUNTIFS('Staff Weekly'!A:A,$A101,'Staff Weekly'!C:C,$B101,'Staff Weekly'!G:G,"Yes")&gt;0,20,0)</f>
        <v/>
      </c>
      <c r="F101">
        <f>IF(COUNTIFS('Staff Weekly'!A:A,$A101,'Staff Weekly'!C:C,$B101,'Staff Weekly'!D:D,"Yes")&gt;0,20,0)</f>
        <v/>
      </c>
      <c r="G101">
        <f>IF($B101="","",IF(COUNTIFS('Class Reports'!A:A,$A101,'Class Reports'!D:D,$B101,'Class Reports'!G:G,"Poor") + COUNTIFS('Class Reports'!A:A,$A101,'Class Reports'!D:D,$B101,'Class Reports'!H:H,"Low")=0,20,10))</f>
        <v/>
      </c>
      <c r="H101">
        <f>IF($B101="","",IF(COUNTIFS('Subject Reports'!A:A,$A101,'Subject Reports'!D:D,$B101,'Subject Reports'!G:G,"Behind")=0,20,10))</f>
        <v/>
      </c>
      <c r="I101">
        <f>IF($B101="","",SUM(D101:H101))</f>
        <v/>
      </c>
      <c r="J101">
        <f>IF($I101="","",RANK($I101,$I$2:$I$200,0))</f>
        <v/>
      </c>
      <c r="K101">
        <f>IF($I101="","",IF($I101&gt;=90,"Outstanding",IF($I101&gt;=75,"Very Good",IF($I101&gt;=60,"Good","Needs Support"))))</f>
        <v/>
      </c>
    </row>
    <row r="102">
      <c r="D102">
        <f>IF(COUNTIFS('Staff Weekly'!A:A,$A102,'Staff Weekly'!C:C,$B102,'Staff Weekly'!F:F,"Yes")&gt;0,20,0)</f>
        <v/>
      </c>
      <c r="E102">
        <f>IF(COUNTIFS('Staff Weekly'!A:A,$A102,'Staff Weekly'!C:C,$B102,'Staff Weekly'!G:G,"Yes")&gt;0,20,0)</f>
        <v/>
      </c>
      <c r="F102">
        <f>IF(COUNTIFS('Staff Weekly'!A:A,$A102,'Staff Weekly'!C:C,$B102,'Staff Weekly'!D:D,"Yes")&gt;0,20,0)</f>
        <v/>
      </c>
      <c r="G102">
        <f>IF($B102="","",IF(COUNTIFS('Class Reports'!A:A,$A102,'Class Reports'!D:D,$B102,'Class Reports'!G:G,"Poor") + COUNTIFS('Class Reports'!A:A,$A102,'Class Reports'!D:D,$B102,'Class Reports'!H:H,"Low")=0,20,10))</f>
        <v/>
      </c>
      <c r="H102">
        <f>IF($B102="","",IF(COUNTIFS('Subject Reports'!A:A,$A102,'Subject Reports'!D:D,$B102,'Subject Reports'!G:G,"Behind")=0,20,10))</f>
        <v/>
      </c>
      <c r="I102">
        <f>IF($B102="","",SUM(D102:H102))</f>
        <v/>
      </c>
      <c r="J102">
        <f>IF($I102="","",RANK($I102,$I$2:$I$200,0))</f>
        <v/>
      </c>
      <c r="K102">
        <f>IF($I102="","",IF($I102&gt;=90,"Outstanding",IF($I102&gt;=75,"Very Good",IF($I102&gt;=60,"Good","Needs Support"))))</f>
        <v/>
      </c>
    </row>
    <row r="103">
      <c r="D103">
        <f>IF(COUNTIFS('Staff Weekly'!A:A,$A103,'Staff Weekly'!C:C,$B103,'Staff Weekly'!F:F,"Yes")&gt;0,20,0)</f>
        <v/>
      </c>
      <c r="E103">
        <f>IF(COUNTIFS('Staff Weekly'!A:A,$A103,'Staff Weekly'!C:C,$B103,'Staff Weekly'!G:G,"Yes")&gt;0,20,0)</f>
        <v/>
      </c>
      <c r="F103">
        <f>IF(COUNTIFS('Staff Weekly'!A:A,$A103,'Staff Weekly'!C:C,$B103,'Staff Weekly'!D:D,"Yes")&gt;0,20,0)</f>
        <v/>
      </c>
      <c r="G103">
        <f>IF($B103="","",IF(COUNTIFS('Class Reports'!A:A,$A103,'Class Reports'!D:D,$B103,'Class Reports'!G:G,"Poor") + COUNTIFS('Class Reports'!A:A,$A103,'Class Reports'!D:D,$B103,'Class Reports'!H:H,"Low")=0,20,10))</f>
        <v/>
      </c>
      <c r="H103">
        <f>IF($B103="","",IF(COUNTIFS('Subject Reports'!A:A,$A103,'Subject Reports'!D:D,$B103,'Subject Reports'!G:G,"Behind")=0,20,10))</f>
        <v/>
      </c>
      <c r="I103">
        <f>IF($B103="","",SUM(D103:H103))</f>
        <v/>
      </c>
      <c r="J103">
        <f>IF($I103="","",RANK($I103,$I$2:$I$200,0))</f>
        <v/>
      </c>
      <c r="K103">
        <f>IF($I103="","",IF($I103&gt;=90,"Outstanding",IF($I103&gt;=75,"Very Good",IF($I103&gt;=60,"Good","Needs Support"))))</f>
        <v/>
      </c>
    </row>
    <row r="104">
      <c r="D104">
        <f>IF(COUNTIFS('Staff Weekly'!A:A,$A104,'Staff Weekly'!C:C,$B104,'Staff Weekly'!F:F,"Yes")&gt;0,20,0)</f>
        <v/>
      </c>
      <c r="E104">
        <f>IF(COUNTIFS('Staff Weekly'!A:A,$A104,'Staff Weekly'!C:C,$B104,'Staff Weekly'!G:G,"Yes")&gt;0,20,0)</f>
        <v/>
      </c>
      <c r="F104">
        <f>IF(COUNTIFS('Staff Weekly'!A:A,$A104,'Staff Weekly'!C:C,$B104,'Staff Weekly'!D:D,"Yes")&gt;0,20,0)</f>
        <v/>
      </c>
      <c r="G104">
        <f>IF($B104="","",IF(COUNTIFS('Class Reports'!A:A,$A104,'Class Reports'!D:D,$B104,'Class Reports'!G:G,"Poor") + COUNTIFS('Class Reports'!A:A,$A104,'Class Reports'!D:D,$B104,'Class Reports'!H:H,"Low")=0,20,10))</f>
        <v/>
      </c>
      <c r="H104">
        <f>IF($B104="","",IF(COUNTIFS('Subject Reports'!A:A,$A104,'Subject Reports'!D:D,$B104,'Subject Reports'!G:G,"Behind")=0,20,10))</f>
        <v/>
      </c>
      <c r="I104">
        <f>IF($B104="","",SUM(D104:H104))</f>
        <v/>
      </c>
      <c r="J104">
        <f>IF($I104="","",RANK($I104,$I$2:$I$200,0))</f>
        <v/>
      </c>
      <c r="K104">
        <f>IF($I104="","",IF($I104&gt;=90,"Outstanding",IF($I104&gt;=75,"Very Good",IF($I104&gt;=60,"Good","Needs Support"))))</f>
        <v/>
      </c>
    </row>
    <row r="105">
      <c r="D105">
        <f>IF(COUNTIFS('Staff Weekly'!A:A,$A105,'Staff Weekly'!C:C,$B105,'Staff Weekly'!F:F,"Yes")&gt;0,20,0)</f>
        <v/>
      </c>
      <c r="E105">
        <f>IF(COUNTIFS('Staff Weekly'!A:A,$A105,'Staff Weekly'!C:C,$B105,'Staff Weekly'!G:G,"Yes")&gt;0,20,0)</f>
        <v/>
      </c>
      <c r="F105">
        <f>IF(COUNTIFS('Staff Weekly'!A:A,$A105,'Staff Weekly'!C:C,$B105,'Staff Weekly'!D:D,"Yes")&gt;0,20,0)</f>
        <v/>
      </c>
      <c r="G105">
        <f>IF($B105="","",IF(COUNTIFS('Class Reports'!A:A,$A105,'Class Reports'!D:D,$B105,'Class Reports'!G:G,"Poor") + COUNTIFS('Class Reports'!A:A,$A105,'Class Reports'!D:D,$B105,'Class Reports'!H:H,"Low")=0,20,10))</f>
        <v/>
      </c>
      <c r="H105">
        <f>IF($B105="","",IF(COUNTIFS('Subject Reports'!A:A,$A105,'Subject Reports'!D:D,$B105,'Subject Reports'!G:G,"Behind")=0,20,10))</f>
        <v/>
      </c>
      <c r="I105">
        <f>IF($B105="","",SUM(D105:H105))</f>
        <v/>
      </c>
      <c r="J105">
        <f>IF($I105="","",RANK($I105,$I$2:$I$200,0))</f>
        <v/>
      </c>
      <c r="K105">
        <f>IF($I105="","",IF($I105&gt;=90,"Outstanding",IF($I105&gt;=75,"Very Good",IF($I105&gt;=60,"Good","Needs Support"))))</f>
        <v/>
      </c>
    </row>
    <row r="106">
      <c r="D106">
        <f>IF(COUNTIFS('Staff Weekly'!A:A,$A106,'Staff Weekly'!C:C,$B106,'Staff Weekly'!F:F,"Yes")&gt;0,20,0)</f>
        <v/>
      </c>
      <c r="E106">
        <f>IF(COUNTIFS('Staff Weekly'!A:A,$A106,'Staff Weekly'!C:C,$B106,'Staff Weekly'!G:G,"Yes")&gt;0,20,0)</f>
        <v/>
      </c>
      <c r="F106">
        <f>IF(COUNTIFS('Staff Weekly'!A:A,$A106,'Staff Weekly'!C:C,$B106,'Staff Weekly'!D:D,"Yes")&gt;0,20,0)</f>
        <v/>
      </c>
      <c r="G106">
        <f>IF($B106="","",IF(COUNTIFS('Class Reports'!A:A,$A106,'Class Reports'!D:D,$B106,'Class Reports'!G:G,"Poor") + COUNTIFS('Class Reports'!A:A,$A106,'Class Reports'!D:D,$B106,'Class Reports'!H:H,"Low")=0,20,10))</f>
        <v/>
      </c>
      <c r="H106">
        <f>IF($B106="","",IF(COUNTIFS('Subject Reports'!A:A,$A106,'Subject Reports'!D:D,$B106,'Subject Reports'!G:G,"Behind")=0,20,10))</f>
        <v/>
      </c>
      <c r="I106">
        <f>IF($B106="","",SUM(D106:H106))</f>
        <v/>
      </c>
      <c r="J106">
        <f>IF($I106="","",RANK($I106,$I$2:$I$200,0))</f>
        <v/>
      </c>
      <c r="K106">
        <f>IF($I106="","",IF($I106&gt;=90,"Outstanding",IF($I106&gt;=75,"Very Good",IF($I106&gt;=60,"Good","Needs Support"))))</f>
        <v/>
      </c>
    </row>
    <row r="107">
      <c r="D107">
        <f>IF(COUNTIFS('Staff Weekly'!A:A,$A107,'Staff Weekly'!C:C,$B107,'Staff Weekly'!F:F,"Yes")&gt;0,20,0)</f>
        <v/>
      </c>
      <c r="E107">
        <f>IF(COUNTIFS('Staff Weekly'!A:A,$A107,'Staff Weekly'!C:C,$B107,'Staff Weekly'!G:G,"Yes")&gt;0,20,0)</f>
        <v/>
      </c>
      <c r="F107">
        <f>IF(COUNTIFS('Staff Weekly'!A:A,$A107,'Staff Weekly'!C:C,$B107,'Staff Weekly'!D:D,"Yes")&gt;0,20,0)</f>
        <v/>
      </c>
      <c r="G107">
        <f>IF($B107="","",IF(COUNTIFS('Class Reports'!A:A,$A107,'Class Reports'!D:D,$B107,'Class Reports'!G:G,"Poor") + COUNTIFS('Class Reports'!A:A,$A107,'Class Reports'!D:D,$B107,'Class Reports'!H:H,"Low")=0,20,10))</f>
        <v/>
      </c>
      <c r="H107">
        <f>IF($B107="","",IF(COUNTIFS('Subject Reports'!A:A,$A107,'Subject Reports'!D:D,$B107,'Subject Reports'!G:G,"Behind")=0,20,10))</f>
        <v/>
      </c>
      <c r="I107">
        <f>IF($B107="","",SUM(D107:H107))</f>
        <v/>
      </c>
      <c r="J107">
        <f>IF($I107="","",RANK($I107,$I$2:$I$200,0))</f>
        <v/>
      </c>
      <c r="K107">
        <f>IF($I107="","",IF($I107&gt;=90,"Outstanding",IF($I107&gt;=75,"Very Good",IF($I107&gt;=60,"Good","Needs Support"))))</f>
        <v/>
      </c>
    </row>
    <row r="108">
      <c r="D108">
        <f>IF(COUNTIFS('Staff Weekly'!A:A,$A108,'Staff Weekly'!C:C,$B108,'Staff Weekly'!F:F,"Yes")&gt;0,20,0)</f>
        <v/>
      </c>
      <c r="E108">
        <f>IF(COUNTIFS('Staff Weekly'!A:A,$A108,'Staff Weekly'!C:C,$B108,'Staff Weekly'!G:G,"Yes")&gt;0,20,0)</f>
        <v/>
      </c>
      <c r="F108">
        <f>IF(COUNTIFS('Staff Weekly'!A:A,$A108,'Staff Weekly'!C:C,$B108,'Staff Weekly'!D:D,"Yes")&gt;0,20,0)</f>
        <v/>
      </c>
      <c r="G108">
        <f>IF($B108="","",IF(COUNTIFS('Class Reports'!A:A,$A108,'Class Reports'!D:D,$B108,'Class Reports'!G:G,"Poor") + COUNTIFS('Class Reports'!A:A,$A108,'Class Reports'!D:D,$B108,'Class Reports'!H:H,"Low")=0,20,10))</f>
        <v/>
      </c>
      <c r="H108">
        <f>IF($B108="","",IF(COUNTIFS('Subject Reports'!A:A,$A108,'Subject Reports'!D:D,$B108,'Subject Reports'!G:G,"Behind")=0,20,10))</f>
        <v/>
      </c>
      <c r="I108">
        <f>IF($B108="","",SUM(D108:H108))</f>
        <v/>
      </c>
      <c r="J108">
        <f>IF($I108="","",RANK($I108,$I$2:$I$200,0))</f>
        <v/>
      </c>
      <c r="K108">
        <f>IF($I108="","",IF($I108&gt;=90,"Outstanding",IF($I108&gt;=75,"Very Good",IF($I108&gt;=60,"Good","Needs Support"))))</f>
        <v/>
      </c>
    </row>
    <row r="109">
      <c r="D109">
        <f>IF(COUNTIFS('Staff Weekly'!A:A,$A109,'Staff Weekly'!C:C,$B109,'Staff Weekly'!F:F,"Yes")&gt;0,20,0)</f>
        <v/>
      </c>
      <c r="E109">
        <f>IF(COUNTIFS('Staff Weekly'!A:A,$A109,'Staff Weekly'!C:C,$B109,'Staff Weekly'!G:G,"Yes")&gt;0,20,0)</f>
        <v/>
      </c>
      <c r="F109">
        <f>IF(COUNTIFS('Staff Weekly'!A:A,$A109,'Staff Weekly'!C:C,$B109,'Staff Weekly'!D:D,"Yes")&gt;0,20,0)</f>
        <v/>
      </c>
      <c r="G109">
        <f>IF($B109="","",IF(COUNTIFS('Class Reports'!A:A,$A109,'Class Reports'!D:D,$B109,'Class Reports'!G:G,"Poor") + COUNTIFS('Class Reports'!A:A,$A109,'Class Reports'!D:D,$B109,'Class Reports'!H:H,"Low")=0,20,10))</f>
        <v/>
      </c>
      <c r="H109">
        <f>IF($B109="","",IF(COUNTIFS('Subject Reports'!A:A,$A109,'Subject Reports'!D:D,$B109,'Subject Reports'!G:G,"Behind")=0,20,10))</f>
        <v/>
      </c>
      <c r="I109">
        <f>IF($B109="","",SUM(D109:H109))</f>
        <v/>
      </c>
      <c r="J109">
        <f>IF($I109="","",RANK($I109,$I$2:$I$200,0))</f>
        <v/>
      </c>
      <c r="K109">
        <f>IF($I109="","",IF($I109&gt;=90,"Outstanding",IF($I109&gt;=75,"Very Good",IF($I109&gt;=60,"Good","Needs Support"))))</f>
        <v/>
      </c>
    </row>
    <row r="110">
      <c r="D110">
        <f>IF(COUNTIFS('Staff Weekly'!A:A,$A110,'Staff Weekly'!C:C,$B110,'Staff Weekly'!F:F,"Yes")&gt;0,20,0)</f>
        <v/>
      </c>
      <c r="E110">
        <f>IF(COUNTIFS('Staff Weekly'!A:A,$A110,'Staff Weekly'!C:C,$B110,'Staff Weekly'!G:G,"Yes")&gt;0,20,0)</f>
        <v/>
      </c>
      <c r="F110">
        <f>IF(COUNTIFS('Staff Weekly'!A:A,$A110,'Staff Weekly'!C:C,$B110,'Staff Weekly'!D:D,"Yes")&gt;0,20,0)</f>
        <v/>
      </c>
      <c r="G110">
        <f>IF($B110="","",IF(COUNTIFS('Class Reports'!A:A,$A110,'Class Reports'!D:D,$B110,'Class Reports'!G:G,"Poor") + COUNTIFS('Class Reports'!A:A,$A110,'Class Reports'!D:D,$B110,'Class Reports'!H:H,"Low")=0,20,10))</f>
        <v/>
      </c>
      <c r="H110">
        <f>IF($B110="","",IF(COUNTIFS('Subject Reports'!A:A,$A110,'Subject Reports'!D:D,$B110,'Subject Reports'!G:G,"Behind")=0,20,10))</f>
        <v/>
      </c>
      <c r="I110">
        <f>IF($B110="","",SUM(D110:H110))</f>
        <v/>
      </c>
      <c r="J110">
        <f>IF($I110="","",RANK($I110,$I$2:$I$200,0))</f>
        <v/>
      </c>
      <c r="K110">
        <f>IF($I110="","",IF($I110&gt;=90,"Outstanding",IF($I110&gt;=75,"Very Good",IF($I110&gt;=60,"Good","Needs Support"))))</f>
        <v/>
      </c>
    </row>
    <row r="111">
      <c r="D111">
        <f>IF(COUNTIFS('Staff Weekly'!A:A,$A111,'Staff Weekly'!C:C,$B111,'Staff Weekly'!F:F,"Yes")&gt;0,20,0)</f>
        <v/>
      </c>
      <c r="E111">
        <f>IF(COUNTIFS('Staff Weekly'!A:A,$A111,'Staff Weekly'!C:C,$B111,'Staff Weekly'!G:G,"Yes")&gt;0,20,0)</f>
        <v/>
      </c>
      <c r="F111">
        <f>IF(COUNTIFS('Staff Weekly'!A:A,$A111,'Staff Weekly'!C:C,$B111,'Staff Weekly'!D:D,"Yes")&gt;0,20,0)</f>
        <v/>
      </c>
      <c r="G111">
        <f>IF($B111="","",IF(COUNTIFS('Class Reports'!A:A,$A111,'Class Reports'!D:D,$B111,'Class Reports'!G:G,"Poor") + COUNTIFS('Class Reports'!A:A,$A111,'Class Reports'!D:D,$B111,'Class Reports'!H:H,"Low")=0,20,10))</f>
        <v/>
      </c>
      <c r="H111">
        <f>IF($B111="","",IF(COUNTIFS('Subject Reports'!A:A,$A111,'Subject Reports'!D:D,$B111,'Subject Reports'!G:G,"Behind")=0,20,10))</f>
        <v/>
      </c>
      <c r="I111">
        <f>IF($B111="","",SUM(D111:H111))</f>
        <v/>
      </c>
      <c r="J111">
        <f>IF($I111="","",RANK($I111,$I$2:$I$200,0))</f>
        <v/>
      </c>
      <c r="K111">
        <f>IF($I111="","",IF($I111&gt;=90,"Outstanding",IF($I111&gt;=75,"Very Good",IF($I111&gt;=60,"Good","Needs Support"))))</f>
        <v/>
      </c>
    </row>
    <row r="112">
      <c r="D112">
        <f>IF(COUNTIFS('Staff Weekly'!A:A,$A112,'Staff Weekly'!C:C,$B112,'Staff Weekly'!F:F,"Yes")&gt;0,20,0)</f>
        <v/>
      </c>
      <c r="E112">
        <f>IF(COUNTIFS('Staff Weekly'!A:A,$A112,'Staff Weekly'!C:C,$B112,'Staff Weekly'!G:G,"Yes")&gt;0,20,0)</f>
        <v/>
      </c>
      <c r="F112">
        <f>IF(COUNTIFS('Staff Weekly'!A:A,$A112,'Staff Weekly'!C:C,$B112,'Staff Weekly'!D:D,"Yes")&gt;0,20,0)</f>
        <v/>
      </c>
      <c r="G112">
        <f>IF($B112="","",IF(COUNTIFS('Class Reports'!A:A,$A112,'Class Reports'!D:D,$B112,'Class Reports'!G:G,"Poor") + COUNTIFS('Class Reports'!A:A,$A112,'Class Reports'!D:D,$B112,'Class Reports'!H:H,"Low")=0,20,10))</f>
        <v/>
      </c>
      <c r="H112">
        <f>IF($B112="","",IF(COUNTIFS('Subject Reports'!A:A,$A112,'Subject Reports'!D:D,$B112,'Subject Reports'!G:G,"Behind")=0,20,10))</f>
        <v/>
      </c>
      <c r="I112">
        <f>IF($B112="","",SUM(D112:H112))</f>
        <v/>
      </c>
      <c r="J112">
        <f>IF($I112="","",RANK($I112,$I$2:$I$200,0))</f>
        <v/>
      </c>
      <c r="K112">
        <f>IF($I112="","",IF($I112&gt;=90,"Outstanding",IF($I112&gt;=75,"Very Good",IF($I112&gt;=60,"Good","Needs Support"))))</f>
        <v/>
      </c>
    </row>
    <row r="113">
      <c r="D113">
        <f>IF(COUNTIFS('Staff Weekly'!A:A,$A113,'Staff Weekly'!C:C,$B113,'Staff Weekly'!F:F,"Yes")&gt;0,20,0)</f>
        <v/>
      </c>
      <c r="E113">
        <f>IF(COUNTIFS('Staff Weekly'!A:A,$A113,'Staff Weekly'!C:C,$B113,'Staff Weekly'!G:G,"Yes")&gt;0,20,0)</f>
        <v/>
      </c>
      <c r="F113">
        <f>IF(COUNTIFS('Staff Weekly'!A:A,$A113,'Staff Weekly'!C:C,$B113,'Staff Weekly'!D:D,"Yes")&gt;0,20,0)</f>
        <v/>
      </c>
      <c r="G113">
        <f>IF($B113="","",IF(COUNTIFS('Class Reports'!A:A,$A113,'Class Reports'!D:D,$B113,'Class Reports'!G:G,"Poor") + COUNTIFS('Class Reports'!A:A,$A113,'Class Reports'!D:D,$B113,'Class Reports'!H:H,"Low")=0,20,10))</f>
        <v/>
      </c>
      <c r="H113">
        <f>IF($B113="","",IF(COUNTIFS('Subject Reports'!A:A,$A113,'Subject Reports'!D:D,$B113,'Subject Reports'!G:G,"Behind")=0,20,10))</f>
        <v/>
      </c>
      <c r="I113">
        <f>IF($B113="","",SUM(D113:H113))</f>
        <v/>
      </c>
      <c r="J113">
        <f>IF($I113="","",RANK($I113,$I$2:$I$200,0))</f>
        <v/>
      </c>
      <c r="K113">
        <f>IF($I113="","",IF($I113&gt;=90,"Outstanding",IF($I113&gt;=75,"Very Good",IF($I113&gt;=60,"Good","Needs Support"))))</f>
        <v/>
      </c>
    </row>
    <row r="114">
      <c r="D114">
        <f>IF(COUNTIFS('Staff Weekly'!A:A,$A114,'Staff Weekly'!C:C,$B114,'Staff Weekly'!F:F,"Yes")&gt;0,20,0)</f>
        <v/>
      </c>
      <c r="E114">
        <f>IF(COUNTIFS('Staff Weekly'!A:A,$A114,'Staff Weekly'!C:C,$B114,'Staff Weekly'!G:G,"Yes")&gt;0,20,0)</f>
        <v/>
      </c>
      <c r="F114">
        <f>IF(COUNTIFS('Staff Weekly'!A:A,$A114,'Staff Weekly'!C:C,$B114,'Staff Weekly'!D:D,"Yes")&gt;0,20,0)</f>
        <v/>
      </c>
      <c r="G114">
        <f>IF($B114="","",IF(COUNTIFS('Class Reports'!A:A,$A114,'Class Reports'!D:D,$B114,'Class Reports'!G:G,"Poor") + COUNTIFS('Class Reports'!A:A,$A114,'Class Reports'!D:D,$B114,'Class Reports'!H:H,"Low")=0,20,10))</f>
        <v/>
      </c>
      <c r="H114">
        <f>IF($B114="","",IF(COUNTIFS('Subject Reports'!A:A,$A114,'Subject Reports'!D:D,$B114,'Subject Reports'!G:G,"Behind")=0,20,10))</f>
        <v/>
      </c>
      <c r="I114">
        <f>IF($B114="","",SUM(D114:H114))</f>
        <v/>
      </c>
      <c r="J114">
        <f>IF($I114="","",RANK($I114,$I$2:$I$200,0))</f>
        <v/>
      </c>
      <c r="K114">
        <f>IF($I114="","",IF($I114&gt;=90,"Outstanding",IF($I114&gt;=75,"Very Good",IF($I114&gt;=60,"Good","Needs Support"))))</f>
        <v/>
      </c>
    </row>
    <row r="115">
      <c r="D115">
        <f>IF(COUNTIFS('Staff Weekly'!A:A,$A115,'Staff Weekly'!C:C,$B115,'Staff Weekly'!F:F,"Yes")&gt;0,20,0)</f>
        <v/>
      </c>
      <c r="E115">
        <f>IF(COUNTIFS('Staff Weekly'!A:A,$A115,'Staff Weekly'!C:C,$B115,'Staff Weekly'!G:G,"Yes")&gt;0,20,0)</f>
        <v/>
      </c>
      <c r="F115">
        <f>IF(COUNTIFS('Staff Weekly'!A:A,$A115,'Staff Weekly'!C:C,$B115,'Staff Weekly'!D:D,"Yes")&gt;0,20,0)</f>
        <v/>
      </c>
      <c r="G115">
        <f>IF($B115="","",IF(COUNTIFS('Class Reports'!A:A,$A115,'Class Reports'!D:D,$B115,'Class Reports'!G:G,"Poor") + COUNTIFS('Class Reports'!A:A,$A115,'Class Reports'!D:D,$B115,'Class Reports'!H:H,"Low")=0,20,10))</f>
        <v/>
      </c>
      <c r="H115">
        <f>IF($B115="","",IF(COUNTIFS('Subject Reports'!A:A,$A115,'Subject Reports'!D:D,$B115,'Subject Reports'!G:G,"Behind")=0,20,10))</f>
        <v/>
      </c>
      <c r="I115">
        <f>IF($B115="","",SUM(D115:H115))</f>
        <v/>
      </c>
      <c r="J115">
        <f>IF($I115="","",RANK($I115,$I$2:$I$200,0))</f>
        <v/>
      </c>
      <c r="K115">
        <f>IF($I115="","",IF($I115&gt;=90,"Outstanding",IF($I115&gt;=75,"Very Good",IF($I115&gt;=60,"Good","Needs Support"))))</f>
        <v/>
      </c>
    </row>
    <row r="116">
      <c r="D116">
        <f>IF(COUNTIFS('Staff Weekly'!A:A,$A116,'Staff Weekly'!C:C,$B116,'Staff Weekly'!F:F,"Yes")&gt;0,20,0)</f>
        <v/>
      </c>
      <c r="E116">
        <f>IF(COUNTIFS('Staff Weekly'!A:A,$A116,'Staff Weekly'!C:C,$B116,'Staff Weekly'!G:G,"Yes")&gt;0,20,0)</f>
        <v/>
      </c>
      <c r="F116">
        <f>IF(COUNTIFS('Staff Weekly'!A:A,$A116,'Staff Weekly'!C:C,$B116,'Staff Weekly'!D:D,"Yes")&gt;0,20,0)</f>
        <v/>
      </c>
      <c r="G116">
        <f>IF($B116="","",IF(COUNTIFS('Class Reports'!A:A,$A116,'Class Reports'!D:D,$B116,'Class Reports'!G:G,"Poor") + COUNTIFS('Class Reports'!A:A,$A116,'Class Reports'!D:D,$B116,'Class Reports'!H:H,"Low")=0,20,10))</f>
        <v/>
      </c>
      <c r="H116">
        <f>IF($B116="","",IF(COUNTIFS('Subject Reports'!A:A,$A116,'Subject Reports'!D:D,$B116,'Subject Reports'!G:G,"Behind")=0,20,10))</f>
        <v/>
      </c>
      <c r="I116">
        <f>IF($B116="","",SUM(D116:H116))</f>
        <v/>
      </c>
      <c r="J116">
        <f>IF($I116="","",RANK($I116,$I$2:$I$200,0))</f>
        <v/>
      </c>
      <c r="K116">
        <f>IF($I116="","",IF($I116&gt;=90,"Outstanding",IF($I116&gt;=75,"Very Good",IF($I116&gt;=60,"Good","Needs Support"))))</f>
        <v/>
      </c>
    </row>
    <row r="117">
      <c r="D117">
        <f>IF(COUNTIFS('Staff Weekly'!A:A,$A117,'Staff Weekly'!C:C,$B117,'Staff Weekly'!F:F,"Yes")&gt;0,20,0)</f>
        <v/>
      </c>
      <c r="E117">
        <f>IF(COUNTIFS('Staff Weekly'!A:A,$A117,'Staff Weekly'!C:C,$B117,'Staff Weekly'!G:G,"Yes")&gt;0,20,0)</f>
        <v/>
      </c>
      <c r="F117">
        <f>IF(COUNTIFS('Staff Weekly'!A:A,$A117,'Staff Weekly'!C:C,$B117,'Staff Weekly'!D:D,"Yes")&gt;0,20,0)</f>
        <v/>
      </c>
      <c r="G117">
        <f>IF($B117="","",IF(COUNTIFS('Class Reports'!A:A,$A117,'Class Reports'!D:D,$B117,'Class Reports'!G:G,"Poor") + COUNTIFS('Class Reports'!A:A,$A117,'Class Reports'!D:D,$B117,'Class Reports'!H:H,"Low")=0,20,10))</f>
        <v/>
      </c>
      <c r="H117">
        <f>IF($B117="","",IF(COUNTIFS('Subject Reports'!A:A,$A117,'Subject Reports'!D:D,$B117,'Subject Reports'!G:G,"Behind")=0,20,10))</f>
        <v/>
      </c>
      <c r="I117">
        <f>IF($B117="","",SUM(D117:H117))</f>
        <v/>
      </c>
      <c r="J117">
        <f>IF($I117="","",RANK($I117,$I$2:$I$200,0))</f>
        <v/>
      </c>
      <c r="K117">
        <f>IF($I117="","",IF($I117&gt;=90,"Outstanding",IF($I117&gt;=75,"Very Good",IF($I117&gt;=60,"Good","Needs Support"))))</f>
        <v/>
      </c>
    </row>
    <row r="118">
      <c r="D118">
        <f>IF(COUNTIFS('Staff Weekly'!A:A,$A118,'Staff Weekly'!C:C,$B118,'Staff Weekly'!F:F,"Yes")&gt;0,20,0)</f>
        <v/>
      </c>
      <c r="E118">
        <f>IF(COUNTIFS('Staff Weekly'!A:A,$A118,'Staff Weekly'!C:C,$B118,'Staff Weekly'!G:G,"Yes")&gt;0,20,0)</f>
        <v/>
      </c>
      <c r="F118">
        <f>IF(COUNTIFS('Staff Weekly'!A:A,$A118,'Staff Weekly'!C:C,$B118,'Staff Weekly'!D:D,"Yes")&gt;0,20,0)</f>
        <v/>
      </c>
      <c r="G118">
        <f>IF($B118="","",IF(COUNTIFS('Class Reports'!A:A,$A118,'Class Reports'!D:D,$B118,'Class Reports'!G:G,"Poor") + COUNTIFS('Class Reports'!A:A,$A118,'Class Reports'!D:D,$B118,'Class Reports'!H:H,"Low")=0,20,10))</f>
        <v/>
      </c>
      <c r="H118">
        <f>IF($B118="","",IF(COUNTIFS('Subject Reports'!A:A,$A118,'Subject Reports'!D:D,$B118,'Subject Reports'!G:G,"Behind")=0,20,10))</f>
        <v/>
      </c>
      <c r="I118">
        <f>IF($B118="","",SUM(D118:H118))</f>
        <v/>
      </c>
      <c r="J118">
        <f>IF($I118="","",RANK($I118,$I$2:$I$200,0))</f>
        <v/>
      </c>
      <c r="K118">
        <f>IF($I118="","",IF($I118&gt;=90,"Outstanding",IF($I118&gt;=75,"Very Good",IF($I118&gt;=60,"Good","Needs Support"))))</f>
        <v/>
      </c>
    </row>
    <row r="119">
      <c r="D119">
        <f>IF(COUNTIFS('Staff Weekly'!A:A,$A119,'Staff Weekly'!C:C,$B119,'Staff Weekly'!F:F,"Yes")&gt;0,20,0)</f>
        <v/>
      </c>
      <c r="E119">
        <f>IF(COUNTIFS('Staff Weekly'!A:A,$A119,'Staff Weekly'!C:C,$B119,'Staff Weekly'!G:G,"Yes")&gt;0,20,0)</f>
        <v/>
      </c>
      <c r="F119">
        <f>IF(COUNTIFS('Staff Weekly'!A:A,$A119,'Staff Weekly'!C:C,$B119,'Staff Weekly'!D:D,"Yes")&gt;0,20,0)</f>
        <v/>
      </c>
      <c r="G119">
        <f>IF($B119="","",IF(COUNTIFS('Class Reports'!A:A,$A119,'Class Reports'!D:D,$B119,'Class Reports'!G:G,"Poor") + COUNTIFS('Class Reports'!A:A,$A119,'Class Reports'!D:D,$B119,'Class Reports'!H:H,"Low")=0,20,10))</f>
        <v/>
      </c>
      <c r="H119">
        <f>IF($B119="","",IF(COUNTIFS('Subject Reports'!A:A,$A119,'Subject Reports'!D:D,$B119,'Subject Reports'!G:G,"Behind")=0,20,10))</f>
        <v/>
      </c>
      <c r="I119">
        <f>IF($B119="","",SUM(D119:H119))</f>
        <v/>
      </c>
      <c r="J119">
        <f>IF($I119="","",RANK($I119,$I$2:$I$200,0))</f>
        <v/>
      </c>
      <c r="K119">
        <f>IF($I119="","",IF($I119&gt;=90,"Outstanding",IF($I119&gt;=75,"Very Good",IF($I119&gt;=60,"Good","Needs Support"))))</f>
        <v/>
      </c>
    </row>
    <row r="120">
      <c r="D120">
        <f>IF(COUNTIFS('Staff Weekly'!A:A,$A120,'Staff Weekly'!C:C,$B120,'Staff Weekly'!F:F,"Yes")&gt;0,20,0)</f>
        <v/>
      </c>
      <c r="E120">
        <f>IF(COUNTIFS('Staff Weekly'!A:A,$A120,'Staff Weekly'!C:C,$B120,'Staff Weekly'!G:G,"Yes")&gt;0,20,0)</f>
        <v/>
      </c>
      <c r="F120">
        <f>IF(COUNTIFS('Staff Weekly'!A:A,$A120,'Staff Weekly'!C:C,$B120,'Staff Weekly'!D:D,"Yes")&gt;0,20,0)</f>
        <v/>
      </c>
      <c r="G120">
        <f>IF($B120="","",IF(COUNTIFS('Class Reports'!A:A,$A120,'Class Reports'!D:D,$B120,'Class Reports'!G:G,"Poor") + COUNTIFS('Class Reports'!A:A,$A120,'Class Reports'!D:D,$B120,'Class Reports'!H:H,"Low")=0,20,10))</f>
        <v/>
      </c>
      <c r="H120">
        <f>IF($B120="","",IF(COUNTIFS('Subject Reports'!A:A,$A120,'Subject Reports'!D:D,$B120,'Subject Reports'!G:G,"Behind")=0,20,10))</f>
        <v/>
      </c>
      <c r="I120">
        <f>IF($B120="","",SUM(D120:H120))</f>
        <v/>
      </c>
      <c r="J120">
        <f>IF($I120="","",RANK($I120,$I$2:$I$200,0))</f>
        <v/>
      </c>
      <c r="K120">
        <f>IF($I120="","",IF($I120&gt;=90,"Outstanding",IF($I120&gt;=75,"Very Good",IF($I120&gt;=60,"Good","Needs Support"))))</f>
        <v/>
      </c>
    </row>
    <row r="121">
      <c r="D121">
        <f>IF(COUNTIFS('Staff Weekly'!A:A,$A121,'Staff Weekly'!C:C,$B121,'Staff Weekly'!F:F,"Yes")&gt;0,20,0)</f>
        <v/>
      </c>
      <c r="E121">
        <f>IF(COUNTIFS('Staff Weekly'!A:A,$A121,'Staff Weekly'!C:C,$B121,'Staff Weekly'!G:G,"Yes")&gt;0,20,0)</f>
        <v/>
      </c>
      <c r="F121">
        <f>IF(COUNTIFS('Staff Weekly'!A:A,$A121,'Staff Weekly'!C:C,$B121,'Staff Weekly'!D:D,"Yes")&gt;0,20,0)</f>
        <v/>
      </c>
      <c r="G121">
        <f>IF($B121="","",IF(COUNTIFS('Class Reports'!A:A,$A121,'Class Reports'!D:D,$B121,'Class Reports'!G:G,"Poor") + COUNTIFS('Class Reports'!A:A,$A121,'Class Reports'!D:D,$B121,'Class Reports'!H:H,"Low")=0,20,10))</f>
        <v/>
      </c>
      <c r="H121">
        <f>IF($B121="","",IF(COUNTIFS('Subject Reports'!A:A,$A121,'Subject Reports'!D:D,$B121,'Subject Reports'!G:G,"Behind")=0,20,10))</f>
        <v/>
      </c>
      <c r="I121">
        <f>IF($B121="","",SUM(D121:H121))</f>
        <v/>
      </c>
      <c r="J121">
        <f>IF($I121="","",RANK($I121,$I$2:$I$200,0))</f>
        <v/>
      </c>
      <c r="K121">
        <f>IF($I121="","",IF($I121&gt;=90,"Outstanding",IF($I121&gt;=75,"Very Good",IF($I121&gt;=60,"Good","Needs Support"))))</f>
        <v/>
      </c>
    </row>
    <row r="122">
      <c r="D122">
        <f>IF(COUNTIFS('Staff Weekly'!A:A,$A122,'Staff Weekly'!C:C,$B122,'Staff Weekly'!F:F,"Yes")&gt;0,20,0)</f>
        <v/>
      </c>
      <c r="E122">
        <f>IF(COUNTIFS('Staff Weekly'!A:A,$A122,'Staff Weekly'!C:C,$B122,'Staff Weekly'!G:G,"Yes")&gt;0,20,0)</f>
        <v/>
      </c>
      <c r="F122">
        <f>IF(COUNTIFS('Staff Weekly'!A:A,$A122,'Staff Weekly'!C:C,$B122,'Staff Weekly'!D:D,"Yes")&gt;0,20,0)</f>
        <v/>
      </c>
      <c r="G122">
        <f>IF($B122="","",IF(COUNTIFS('Class Reports'!A:A,$A122,'Class Reports'!D:D,$B122,'Class Reports'!G:G,"Poor") + COUNTIFS('Class Reports'!A:A,$A122,'Class Reports'!D:D,$B122,'Class Reports'!H:H,"Low")=0,20,10))</f>
        <v/>
      </c>
      <c r="H122">
        <f>IF($B122="","",IF(COUNTIFS('Subject Reports'!A:A,$A122,'Subject Reports'!D:D,$B122,'Subject Reports'!G:G,"Behind")=0,20,10))</f>
        <v/>
      </c>
      <c r="I122">
        <f>IF($B122="","",SUM(D122:H122))</f>
        <v/>
      </c>
      <c r="J122">
        <f>IF($I122="","",RANK($I122,$I$2:$I$200,0))</f>
        <v/>
      </c>
      <c r="K122">
        <f>IF($I122="","",IF($I122&gt;=90,"Outstanding",IF($I122&gt;=75,"Very Good",IF($I122&gt;=60,"Good","Needs Support"))))</f>
        <v/>
      </c>
    </row>
    <row r="123">
      <c r="D123">
        <f>IF(COUNTIFS('Staff Weekly'!A:A,$A123,'Staff Weekly'!C:C,$B123,'Staff Weekly'!F:F,"Yes")&gt;0,20,0)</f>
        <v/>
      </c>
      <c r="E123">
        <f>IF(COUNTIFS('Staff Weekly'!A:A,$A123,'Staff Weekly'!C:C,$B123,'Staff Weekly'!G:G,"Yes")&gt;0,20,0)</f>
        <v/>
      </c>
      <c r="F123">
        <f>IF(COUNTIFS('Staff Weekly'!A:A,$A123,'Staff Weekly'!C:C,$B123,'Staff Weekly'!D:D,"Yes")&gt;0,20,0)</f>
        <v/>
      </c>
      <c r="G123">
        <f>IF($B123="","",IF(COUNTIFS('Class Reports'!A:A,$A123,'Class Reports'!D:D,$B123,'Class Reports'!G:G,"Poor") + COUNTIFS('Class Reports'!A:A,$A123,'Class Reports'!D:D,$B123,'Class Reports'!H:H,"Low")=0,20,10))</f>
        <v/>
      </c>
      <c r="H123">
        <f>IF($B123="","",IF(COUNTIFS('Subject Reports'!A:A,$A123,'Subject Reports'!D:D,$B123,'Subject Reports'!G:G,"Behind")=0,20,10))</f>
        <v/>
      </c>
      <c r="I123">
        <f>IF($B123="","",SUM(D123:H123))</f>
        <v/>
      </c>
      <c r="J123">
        <f>IF($I123="","",RANK($I123,$I$2:$I$200,0))</f>
        <v/>
      </c>
      <c r="K123">
        <f>IF($I123="","",IF($I123&gt;=90,"Outstanding",IF($I123&gt;=75,"Very Good",IF($I123&gt;=60,"Good","Needs Support"))))</f>
        <v/>
      </c>
    </row>
    <row r="124">
      <c r="D124">
        <f>IF(COUNTIFS('Staff Weekly'!A:A,$A124,'Staff Weekly'!C:C,$B124,'Staff Weekly'!F:F,"Yes")&gt;0,20,0)</f>
        <v/>
      </c>
      <c r="E124">
        <f>IF(COUNTIFS('Staff Weekly'!A:A,$A124,'Staff Weekly'!C:C,$B124,'Staff Weekly'!G:G,"Yes")&gt;0,20,0)</f>
        <v/>
      </c>
      <c r="F124">
        <f>IF(COUNTIFS('Staff Weekly'!A:A,$A124,'Staff Weekly'!C:C,$B124,'Staff Weekly'!D:D,"Yes")&gt;0,20,0)</f>
        <v/>
      </c>
      <c r="G124">
        <f>IF($B124="","",IF(COUNTIFS('Class Reports'!A:A,$A124,'Class Reports'!D:D,$B124,'Class Reports'!G:G,"Poor") + COUNTIFS('Class Reports'!A:A,$A124,'Class Reports'!D:D,$B124,'Class Reports'!H:H,"Low")=0,20,10))</f>
        <v/>
      </c>
      <c r="H124">
        <f>IF($B124="","",IF(COUNTIFS('Subject Reports'!A:A,$A124,'Subject Reports'!D:D,$B124,'Subject Reports'!G:G,"Behind")=0,20,10))</f>
        <v/>
      </c>
      <c r="I124">
        <f>IF($B124="","",SUM(D124:H124))</f>
        <v/>
      </c>
      <c r="J124">
        <f>IF($I124="","",RANK($I124,$I$2:$I$200,0))</f>
        <v/>
      </c>
      <c r="K124">
        <f>IF($I124="","",IF($I124&gt;=90,"Outstanding",IF($I124&gt;=75,"Very Good",IF($I124&gt;=60,"Good","Needs Support"))))</f>
        <v/>
      </c>
    </row>
    <row r="125">
      <c r="D125">
        <f>IF(COUNTIFS('Staff Weekly'!A:A,$A125,'Staff Weekly'!C:C,$B125,'Staff Weekly'!F:F,"Yes")&gt;0,20,0)</f>
        <v/>
      </c>
      <c r="E125">
        <f>IF(COUNTIFS('Staff Weekly'!A:A,$A125,'Staff Weekly'!C:C,$B125,'Staff Weekly'!G:G,"Yes")&gt;0,20,0)</f>
        <v/>
      </c>
      <c r="F125">
        <f>IF(COUNTIFS('Staff Weekly'!A:A,$A125,'Staff Weekly'!C:C,$B125,'Staff Weekly'!D:D,"Yes")&gt;0,20,0)</f>
        <v/>
      </c>
      <c r="G125">
        <f>IF($B125="","",IF(COUNTIFS('Class Reports'!A:A,$A125,'Class Reports'!D:D,$B125,'Class Reports'!G:G,"Poor") + COUNTIFS('Class Reports'!A:A,$A125,'Class Reports'!D:D,$B125,'Class Reports'!H:H,"Low")=0,20,10))</f>
        <v/>
      </c>
      <c r="H125">
        <f>IF($B125="","",IF(COUNTIFS('Subject Reports'!A:A,$A125,'Subject Reports'!D:D,$B125,'Subject Reports'!G:G,"Behind")=0,20,10))</f>
        <v/>
      </c>
      <c r="I125">
        <f>IF($B125="","",SUM(D125:H125))</f>
        <v/>
      </c>
      <c r="J125">
        <f>IF($I125="","",RANK($I125,$I$2:$I$200,0))</f>
        <v/>
      </c>
      <c r="K125">
        <f>IF($I125="","",IF($I125&gt;=90,"Outstanding",IF($I125&gt;=75,"Very Good",IF($I125&gt;=60,"Good","Needs Support"))))</f>
        <v/>
      </c>
    </row>
    <row r="126">
      <c r="D126">
        <f>IF(COUNTIFS('Staff Weekly'!A:A,$A126,'Staff Weekly'!C:C,$B126,'Staff Weekly'!F:F,"Yes")&gt;0,20,0)</f>
        <v/>
      </c>
      <c r="E126">
        <f>IF(COUNTIFS('Staff Weekly'!A:A,$A126,'Staff Weekly'!C:C,$B126,'Staff Weekly'!G:G,"Yes")&gt;0,20,0)</f>
        <v/>
      </c>
      <c r="F126">
        <f>IF(COUNTIFS('Staff Weekly'!A:A,$A126,'Staff Weekly'!C:C,$B126,'Staff Weekly'!D:D,"Yes")&gt;0,20,0)</f>
        <v/>
      </c>
      <c r="G126">
        <f>IF($B126="","",IF(COUNTIFS('Class Reports'!A:A,$A126,'Class Reports'!D:D,$B126,'Class Reports'!G:G,"Poor") + COUNTIFS('Class Reports'!A:A,$A126,'Class Reports'!D:D,$B126,'Class Reports'!H:H,"Low")=0,20,10))</f>
        <v/>
      </c>
      <c r="H126">
        <f>IF($B126="","",IF(COUNTIFS('Subject Reports'!A:A,$A126,'Subject Reports'!D:D,$B126,'Subject Reports'!G:G,"Behind")=0,20,10))</f>
        <v/>
      </c>
      <c r="I126">
        <f>IF($B126="","",SUM(D126:H126))</f>
        <v/>
      </c>
      <c r="J126">
        <f>IF($I126="","",RANK($I126,$I$2:$I$200,0))</f>
        <v/>
      </c>
      <c r="K126">
        <f>IF($I126="","",IF($I126&gt;=90,"Outstanding",IF($I126&gt;=75,"Very Good",IF($I126&gt;=60,"Good","Needs Support"))))</f>
        <v/>
      </c>
    </row>
    <row r="127">
      <c r="D127">
        <f>IF(COUNTIFS('Staff Weekly'!A:A,$A127,'Staff Weekly'!C:C,$B127,'Staff Weekly'!F:F,"Yes")&gt;0,20,0)</f>
        <v/>
      </c>
      <c r="E127">
        <f>IF(COUNTIFS('Staff Weekly'!A:A,$A127,'Staff Weekly'!C:C,$B127,'Staff Weekly'!G:G,"Yes")&gt;0,20,0)</f>
        <v/>
      </c>
      <c r="F127">
        <f>IF(COUNTIFS('Staff Weekly'!A:A,$A127,'Staff Weekly'!C:C,$B127,'Staff Weekly'!D:D,"Yes")&gt;0,20,0)</f>
        <v/>
      </c>
      <c r="G127">
        <f>IF($B127="","",IF(COUNTIFS('Class Reports'!A:A,$A127,'Class Reports'!D:D,$B127,'Class Reports'!G:G,"Poor") + COUNTIFS('Class Reports'!A:A,$A127,'Class Reports'!D:D,$B127,'Class Reports'!H:H,"Low")=0,20,10))</f>
        <v/>
      </c>
      <c r="H127">
        <f>IF($B127="","",IF(COUNTIFS('Subject Reports'!A:A,$A127,'Subject Reports'!D:D,$B127,'Subject Reports'!G:G,"Behind")=0,20,10))</f>
        <v/>
      </c>
      <c r="I127">
        <f>IF($B127="","",SUM(D127:H127))</f>
        <v/>
      </c>
      <c r="J127">
        <f>IF($I127="","",RANK($I127,$I$2:$I$200,0))</f>
        <v/>
      </c>
      <c r="K127">
        <f>IF($I127="","",IF($I127&gt;=90,"Outstanding",IF($I127&gt;=75,"Very Good",IF($I127&gt;=60,"Good","Needs Support"))))</f>
        <v/>
      </c>
    </row>
    <row r="128">
      <c r="D128">
        <f>IF(COUNTIFS('Staff Weekly'!A:A,$A128,'Staff Weekly'!C:C,$B128,'Staff Weekly'!F:F,"Yes")&gt;0,20,0)</f>
        <v/>
      </c>
      <c r="E128">
        <f>IF(COUNTIFS('Staff Weekly'!A:A,$A128,'Staff Weekly'!C:C,$B128,'Staff Weekly'!G:G,"Yes")&gt;0,20,0)</f>
        <v/>
      </c>
      <c r="F128">
        <f>IF(COUNTIFS('Staff Weekly'!A:A,$A128,'Staff Weekly'!C:C,$B128,'Staff Weekly'!D:D,"Yes")&gt;0,20,0)</f>
        <v/>
      </c>
      <c r="G128">
        <f>IF($B128="","",IF(COUNTIFS('Class Reports'!A:A,$A128,'Class Reports'!D:D,$B128,'Class Reports'!G:G,"Poor") + COUNTIFS('Class Reports'!A:A,$A128,'Class Reports'!D:D,$B128,'Class Reports'!H:H,"Low")=0,20,10))</f>
        <v/>
      </c>
      <c r="H128">
        <f>IF($B128="","",IF(COUNTIFS('Subject Reports'!A:A,$A128,'Subject Reports'!D:D,$B128,'Subject Reports'!G:G,"Behind")=0,20,10))</f>
        <v/>
      </c>
      <c r="I128">
        <f>IF($B128="","",SUM(D128:H128))</f>
        <v/>
      </c>
      <c r="J128">
        <f>IF($I128="","",RANK($I128,$I$2:$I$200,0))</f>
        <v/>
      </c>
      <c r="K128">
        <f>IF($I128="","",IF($I128&gt;=90,"Outstanding",IF($I128&gt;=75,"Very Good",IF($I128&gt;=60,"Good","Needs Support"))))</f>
        <v/>
      </c>
    </row>
    <row r="129">
      <c r="D129">
        <f>IF(COUNTIFS('Staff Weekly'!A:A,$A129,'Staff Weekly'!C:C,$B129,'Staff Weekly'!F:F,"Yes")&gt;0,20,0)</f>
        <v/>
      </c>
      <c r="E129">
        <f>IF(COUNTIFS('Staff Weekly'!A:A,$A129,'Staff Weekly'!C:C,$B129,'Staff Weekly'!G:G,"Yes")&gt;0,20,0)</f>
        <v/>
      </c>
      <c r="F129">
        <f>IF(COUNTIFS('Staff Weekly'!A:A,$A129,'Staff Weekly'!C:C,$B129,'Staff Weekly'!D:D,"Yes")&gt;0,20,0)</f>
        <v/>
      </c>
      <c r="G129">
        <f>IF($B129="","",IF(COUNTIFS('Class Reports'!A:A,$A129,'Class Reports'!D:D,$B129,'Class Reports'!G:G,"Poor") + COUNTIFS('Class Reports'!A:A,$A129,'Class Reports'!D:D,$B129,'Class Reports'!H:H,"Low")=0,20,10))</f>
        <v/>
      </c>
      <c r="H129">
        <f>IF($B129="","",IF(COUNTIFS('Subject Reports'!A:A,$A129,'Subject Reports'!D:D,$B129,'Subject Reports'!G:G,"Behind")=0,20,10))</f>
        <v/>
      </c>
      <c r="I129">
        <f>IF($B129="","",SUM(D129:H129))</f>
        <v/>
      </c>
      <c r="J129">
        <f>IF($I129="","",RANK($I129,$I$2:$I$200,0))</f>
        <v/>
      </c>
      <c r="K129">
        <f>IF($I129="","",IF($I129&gt;=90,"Outstanding",IF($I129&gt;=75,"Very Good",IF($I129&gt;=60,"Good","Needs Support"))))</f>
        <v/>
      </c>
    </row>
    <row r="130">
      <c r="D130">
        <f>IF(COUNTIFS('Staff Weekly'!A:A,$A130,'Staff Weekly'!C:C,$B130,'Staff Weekly'!F:F,"Yes")&gt;0,20,0)</f>
        <v/>
      </c>
      <c r="E130">
        <f>IF(COUNTIFS('Staff Weekly'!A:A,$A130,'Staff Weekly'!C:C,$B130,'Staff Weekly'!G:G,"Yes")&gt;0,20,0)</f>
        <v/>
      </c>
      <c r="F130">
        <f>IF(COUNTIFS('Staff Weekly'!A:A,$A130,'Staff Weekly'!C:C,$B130,'Staff Weekly'!D:D,"Yes")&gt;0,20,0)</f>
        <v/>
      </c>
      <c r="G130">
        <f>IF($B130="","",IF(COUNTIFS('Class Reports'!A:A,$A130,'Class Reports'!D:D,$B130,'Class Reports'!G:G,"Poor") + COUNTIFS('Class Reports'!A:A,$A130,'Class Reports'!D:D,$B130,'Class Reports'!H:H,"Low")=0,20,10))</f>
        <v/>
      </c>
      <c r="H130">
        <f>IF($B130="","",IF(COUNTIFS('Subject Reports'!A:A,$A130,'Subject Reports'!D:D,$B130,'Subject Reports'!G:G,"Behind")=0,20,10))</f>
        <v/>
      </c>
      <c r="I130">
        <f>IF($B130="","",SUM(D130:H130))</f>
        <v/>
      </c>
      <c r="J130">
        <f>IF($I130="","",RANK($I130,$I$2:$I$200,0))</f>
        <v/>
      </c>
      <c r="K130">
        <f>IF($I130="","",IF($I130&gt;=90,"Outstanding",IF($I130&gt;=75,"Very Good",IF($I130&gt;=60,"Good","Needs Support"))))</f>
        <v/>
      </c>
    </row>
    <row r="131">
      <c r="D131">
        <f>IF(COUNTIFS('Staff Weekly'!A:A,$A131,'Staff Weekly'!C:C,$B131,'Staff Weekly'!F:F,"Yes")&gt;0,20,0)</f>
        <v/>
      </c>
      <c r="E131">
        <f>IF(COUNTIFS('Staff Weekly'!A:A,$A131,'Staff Weekly'!C:C,$B131,'Staff Weekly'!G:G,"Yes")&gt;0,20,0)</f>
        <v/>
      </c>
      <c r="F131">
        <f>IF(COUNTIFS('Staff Weekly'!A:A,$A131,'Staff Weekly'!C:C,$B131,'Staff Weekly'!D:D,"Yes")&gt;0,20,0)</f>
        <v/>
      </c>
      <c r="G131">
        <f>IF($B131="","",IF(COUNTIFS('Class Reports'!A:A,$A131,'Class Reports'!D:D,$B131,'Class Reports'!G:G,"Poor") + COUNTIFS('Class Reports'!A:A,$A131,'Class Reports'!D:D,$B131,'Class Reports'!H:H,"Low")=0,20,10))</f>
        <v/>
      </c>
      <c r="H131">
        <f>IF($B131="","",IF(COUNTIFS('Subject Reports'!A:A,$A131,'Subject Reports'!D:D,$B131,'Subject Reports'!G:G,"Behind")=0,20,10))</f>
        <v/>
      </c>
      <c r="I131">
        <f>IF($B131="","",SUM(D131:H131))</f>
        <v/>
      </c>
      <c r="J131">
        <f>IF($I131="","",RANK($I131,$I$2:$I$200,0))</f>
        <v/>
      </c>
      <c r="K131">
        <f>IF($I131="","",IF($I131&gt;=90,"Outstanding",IF($I131&gt;=75,"Very Good",IF($I131&gt;=60,"Good","Needs Support"))))</f>
        <v/>
      </c>
    </row>
    <row r="132">
      <c r="D132">
        <f>IF(COUNTIFS('Staff Weekly'!A:A,$A132,'Staff Weekly'!C:C,$B132,'Staff Weekly'!F:F,"Yes")&gt;0,20,0)</f>
        <v/>
      </c>
      <c r="E132">
        <f>IF(COUNTIFS('Staff Weekly'!A:A,$A132,'Staff Weekly'!C:C,$B132,'Staff Weekly'!G:G,"Yes")&gt;0,20,0)</f>
        <v/>
      </c>
      <c r="F132">
        <f>IF(COUNTIFS('Staff Weekly'!A:A,$A132,'Staff Weekly'!C:C,$B132,'Staff Weekly'!D:D,"Yes")&gt;0,20,0)</f>
        <v/>
      </c>
      <c r="G132">
        <f>IF($B132="","",IF(COUNTIFS('Class Reports'!A:A,$A132,'Class Reports'!D:D,$B132,'Class Reports'!G:G,"Poor") + COUNTIFS('Class Reports'!A:A,$A132,'Class Reports'!D:D,$B132,'Class Reports'!H:H,"Low")=0,20,10))</f>
        <v/>
      </c>
      <c r="H132">
        <f>IF($B132="","",IF(COUNTIFS('Subject Reports'!A:A,$A132,'Subject Reports'!D:D,$B132,'Subject Reports'!G:G,"Behind")=0,20,10))</f>
        <v/>
      </c>
      <c r="I132">
        <f>IF($B132="","",SUM(D132:H132))</f>
        <v/>
      </c>
      <c r="J132">
        <f>IF($I132="","",RANK($I132,$I$2:$I$200,0))</f>
        <v/>
      </c>
      <c r="K132">
        <f>IF($I132="","",IF($I132&gt;=90,"Outstanding",IF($I132&gt;=75,"Very Good",IF($I132&gt;=60,"Good","Needs Support"))))</f>
        <v/>
      </c>
    </row>
    <row r="133">
      <c r="D133">
        <f>IF(COUNTIFS('Staff Weekly'!A:A,$A133,'Staff Weekly'!C:C,$B133,'Staff Weekly'!F:F,"Yes")&gt;0,20,0)</f>
        <v/>
      </c>
      <c r="E133">
        <f>IF(COUNTIFS('Staff Weekly'!A:A,$A133,'Staff Weekly'!C:C,$B133,'Staff Weekly'!G:G,"Yes")&gt;0,20,0)</f>
        <v/>
      </c>
      <c r="F133">
        <f>IF(COUNTIFS('Staff Weekly'!A:A,$A133,'Staff Weekly'!C:C,$B133,'Staff Weekly'!D:D,"Yes")&gt;0,20,0)</f>
        <v/>
      </c>
      <c r="G133">
        <f>IF($B133="","",IF(COUNTIFS('Class Reports'!A:A,$A133,'Class Reports'!D:D,$B133,'Class Reports'!G:G,"Poor") + COUNTIFS('Class Reports'!A:A,$A133,'Class Reports'!D:D,$B133,'Class Reports'!H:H,"Low")=0,20,10))</f>
        <v/>
      </c>
      <c r="H133">
        <f>IF($B133="","",IF(COUNTIFS('Subject Reports'!A:A,$A133,'Subject Reports'!D:D,$B133,'Subject Reports'!G:G,"Behind")=0,20,10))</f>
        <v/>
      </c>
      <c r="I133">
        <f>IF($B133="","",SUM(D133:H133))</f>
        <v/>
      </c>
      <c r="J133">
        <f>IF($I133="","",RANK($I133,$I$2:$I$200,0))</f>
        <v/>
      </c>
      <c r="K133">
        <f>IF($I133="","",IF($I133&gt;=90,"Outstanding",IF($I133&gt;=75,"Very Good",IF($I133&gt;=60,"Good","Needs Support"))))</f>
        <v/>
      </c>
    </row>
    <row r="134">
      <c r="D134">
        <f>IF(COUNTIFS('Staff Weekly'!A:A,$A134,'Staff Weekly'!C:C,$B134,'Staff Weekly'!F:F,"Yes")&gt;0,20,0)</f>
        <v/>
      </c>
      <c r="E134">
        <f>IF(COUNTIFS('Staff Weekly'!A:A,$A134,'Staff Weekly'!C:C,$B134,'Staff Weekly'!G:G,"Yes")&gt;0,20,0)</f>
        <v/>
      </c>
      <c r="F134">
        <f>IF(COUNTIFS('Staff Weekly'!A:A,$A134,'Staff Weekly'!C:C,$B134,'Staff Weekly'!D:D,"Yes")&gt;0,20,0)</f>
        <v/>
      </c>
      <c r="G134">
        <f>IF($B134="","",IF(COUNTIFS('Class Reports'!A:A,$A134,'Class Reports'!D:D,$B134,'Class Reports'!G:G,"Poor") + COUNTIFS('Class Reports'!A:A,$A134,'Class Reports'!D:D,$B134,'Class Reports'!H:H,"Low")=0,20,10))</f>
        <v/>
      </c>
      <c r="H134">
        <f>IF($B134="","",IF(COUNTIFS('Subject Reports'!A:A,$A134,'Subject Reports'!D:D,$B134,'Subject Reports'!G:G,"Behind")=0,20,10))</f>
        <v/>
      </c>
      <c r="I134">
        <f>IF($B134="","",SUM(D134:H134))</f>
        <v/>
      </c>
      <c r="J134">
        <f>IF($I134="","",RANK($I134,$I$2:$I$200,0))</f>
        <v/>
      </c>
      <c r="K134">
        <f>IF($I134="","",IF($I134&gt;=90,"Outstanding",IF($I134&gt;=75,"Very Good",IF($I134&gt;=60,"Good","Needs Support"))))</f>
        <v/>
      </c>
    </row>
    <row r="135">
      <c r="D135">
        <f>IF(COUNTIFS('Staff Weekly'!A:A,$A135,'Staff Weekly'!C:C,$B135,'Staff Weekly'!F:F,"Yes")&gt;0,20,0)</f>
        <v/>
      </c>
      <c r="E135">
        <f>IF(COUNTIFS('Staff Weekly'!A:A,$A135,'Staff Weekly'!C:C,$B135,'Staff Weekly'!G:G,"Yes")&gt;0,20,0)</f>
        <v/>
      </c>
      <c r="F135">
        <f>IF(COUNTIFS('Staff Weekly'!A:A,$A135,'Staff Weekly'!C:C,$B135,'Staff Weekly'!D:D,"Yes")&gt;0,20,0)</f>
        <v/>
      </c>
      <c r="G135">
        <f>IF($B135="","",IF(COUNTIFS('Class Reports'!A:A,$A135,'Class Reports'!D:D,$B135,'Class Reports'!G:G,"Poor") + COUNTIFS('Class Reports'!A:A,$A135,'Class Reports'!D:D,$B135,'Class Reports'!H:H,"Low")=0,20,10))</f>
        <v/>
      </c>
      <c r="H135">
        <f>IF($B135="","",IF(COUNTIFS('Subject Reports'!A:A,$A135,'Subject Reports'!D:D,$B135,'Subject Reports'!G:G,"Behind")=0,20,10))</f>
        <v/>
      </c>
      <c r="I135">
        <f>IF($B135="","",SUM(D135:H135))</f>
        <v/>
      </c>
      <c r="J135">
        <f>IF($I135="","",RANK($I135,$I$2:$I$200,0))</f>
        <v/>
      </c>
      <c r="K135">
        <f>IF($I135="","",IF($I135&gt;=90,"Outstanding",IF($I135&gt;=75,"Very Good",IF($I135&gt;=60,"Good","Needs Support"))))</f>
        <v/>
      </c>
    </row>
    <row r="136">
      <c r="D136">
        <f>IF(COUNTIFS('Staff Weekly'!A:A,$A136,'Staff Weekly'!C:C,$B136,'Staff Weekly'!F:F,"Yes")&gt;0,20,0)</f>
        <v/>
      </c>
      <c r="E136">
        <f>IF(COUNTIFS('Staff Weekly'!A:A,$A136,'Staff Weekly'!C:C,$B136,'Staff Weekly'!G:G,"Yes")&gt;0,20,0)</f>
        <v/>
      </c>
      <c r="F136">
        <f>IF(COUNTIFS('Staff Weekly'!A:A,$A136,'Staff Weekly'!C:C,$B136,'Staff Weekly'!D:D,"Yes")&gt;0,20,0)</f>
        <v/>
      </c>
      <c r="G136">
        <f>IF($B136="","",IF(COUNTIFS('Class Reports'!A:A,$A136,'Class Reports'!D:D,$B136,'Class Reports'!G:G,"Poor") + COUNTIFS('Class Reports'!A:A,$A136,'Class Reports'!D:D,$B136,'Class Reports'!H:H,"Low")=0,20,10))</f>
        <v/>
      </c>
      <c r="H136">
        <f>IF($B136="","",IF(COUNTIFS('Subject Reports'!A:A,$A136,'Subject Reports'!D:D,$B136,'Subject Reports'!G:G,"Behind")=0,20,10))</f>
        <v/>
      </c>
      <c r="I136">
        <f>IF($B136="","",SUM(D136:H136))</f>
        <v/>
      </c>
      <c r="J136">
        <f>IF($I136="","",RANK($I136,$I$2:$I$200,0))</f>
        <v/>
      </c>
      <c r="K136">
        <f>IF($I136="","",IF($I136&gt;=90,"Outstanding",IF($I136&gt;=75,"Very Good",IF($I136&gt;=60,"Good","Needs Support"))))</f>
        <v/>
      </c>
    </row>
    <row r="137">
      <c r="D137">
        <f>IF(COUNTIFS('Staff Weekly'!A:A,$A137,'Staff Weekly'!C:C,$B137,'Staff Weekly'!F:F,"Yes")&gt;0,20,0)</f>
        <v/>
      </c>
      <c r="E137">
        <f>IF(COUNTIFS('Staff Weekly'!A:A,$A137,'Staff Weekly'!C:C,$B137,'Staff Weekly'!G:G,"Yes")&gt;0,20,0)</f>
        <v/>
      </c>
      <c r="F137">
        <f>IF(COUNTIFS('Staff Weekly'!A:A,$A137,'Staff Weekly'!C:C,$B137,'Staff Weekly'!D:D,"Yes")&gt;0,20,0)</f>
        <v/>
      </c>
      <c r="G137">
        <f>IF($B137="","",IF(COUNTIFS('Class Reports'!A:A,$A137,'Class Reports'!D:D,$B137,'Class Reports'!G:G,"Poor") + COUNTIFS('Class Reports'!A:A,$A137,'Class Reports'!D:D,$B137,'Class Reports'!H:H,"Low")=0,20,10))</f>
        <v/>
      </c>
      <c r="H137">
        <f>IF($B137="","",IF(COUNTIFS('Subject Reports'!A:A,$A137,'Subject Reports'!D:D,$B137,'Subject Reports'!G:G,"Behind")=0,20,10))</f>
        <v/>
      </c>
      <c r="I137">
        <f>IF($B137="","",SUM(D137:H137))</f>
        <v/>
      </c>
      <c r="J137">
        <f>IF($I137="","",RANK($I137,$I$2:$I$200,0))</f>
        <v/>
      </c>
      <c r="K137">
        <f>IF($I137="","",IF($I137&gt;=90,"Outstanding",IF($I137&gt;=75,"Very Good",IF($I137&gt;=60,"Good","Needs Support"))))</f>
        <v/>
      </c>
    </row>
    <row r="138">
      <c r="D138">
        <f>IF(COUNTIFS('Staff Weekly'!A:A,$A138,'Staff Weekly'!C:C,$B138,'Staff Weekly'!F:F,"Yes")&gt;0,20,0)</f>
        <v/>
      </c>
      <c r="E138">
        <f>IF(COUNTIFS('Staff Weekly'!A:A,$A138,'Staff Weekly'!C:C,$B138,'Staff Weekly'!G:G,"Yes")&gt;0,20,0)</f>
        <v/>
      </c>
      <c r="F138">
        <f>IF(COUNTIFS('Staff Weekly'!A:A,$A138,'Staff Weekly'!C:C,$B138,'Staff Weekly'!D:D,"Yes")&gt;0,20,0)</f>
        <v/>
      </c>
      <c r="G138">
        <f>IF($B138="","",IF(COUNTIFS('Class Reports'!A:A,$A138,'Class Reports'!D:D,$B138,'Class Reports'!G:G,"Poor") + COUNTIFS('Class Reports'!A:A,$A138,'Class Reports'!D:D,$B138,'Class Reports'!H:H,"Low")=0,20,10))</f>
        <v/>
      </c>
      <c r="H138">
        <f>IF($B138="","",IF(COUNTIFS('Subject Reports'!A:A,$A138,'Subject Reports'!D:D,$B138,'Subject Reports'!G:G,"Behind")=0,20,10))</f>
        <v/>
      </c>
      <c r="I138">
        <f>IF($B138="","",SUM(D138:H138))</f>
        <v/>
      </c>
      <c r="J138">
        <f>IF($I138="","",RANK($I138,$I$2:$I$200,0))</f>
        <v/>
      </c>
      <c r="K138">
        <f>IF($I138="","",IF($I138&gt;=90,"Outstanding",IF($I138&gt;=75,"Very Good",IF($I138&gt;=60,"Good","Needs Support"))))</f>
        <v/>
      </c>
    </row>
    <row r="139">
      <c r="D139">
        <f>IF(COUNTIFS('Staff Weekly'!A:A,$A139,'Staff Weekly'!C:C,$B139,'Staff Weekly'!F:F,"Yes")&gt;0,20,0)</f>
        <v/>
      </c>
      <c r="E139">
        <f>IF(COUNTIFS('Staff Weekly'!A:A,$A139,'Staff Weekly'!C:C,$B139,'Staff Weekly'!G:G,"Yes")&gt;0,20,0)</f>
        <v/>
      </c>
      <c r="F139">
        <f>IF(COUNTIFS('Staff Weekly'!A:A,$A139,'Staff Weekly'!C:C,$B139,'Staff Weekly'!D:D,"Yes")&gt;0,20,0)</f>
        <v/>
      </c>
      <c r="G139">
        <f>IF($B139="","",IF(COUNTIFS('Class Reports'!A:A,$A139,'Class Reports'!D:D,$B139,'Class Reports'!G:G,"Poor") + COUNTIFS('Class Reports'!A:A,$A139,'Class Reports'!D:D,$B139,'Class Reports'!H:H,"Low")=0,20,10))</f>
        <v/>
      </c>
      <c r="H139">
        <f>IF($B139="","",IF(COUNTIFS('Subject Reports'!A:A,$A139,'Subject Reports'!D:D,$B139,'Subject Reports'!G:G,"Behind")=0,20,10))</f>
        <v/>
      </c>
      <c r="I139">
        <f>IF($B139="","",SUM(D139:H139))</f>
        <v/>
      </c>
      <c r="J139">
        <f>IF($I139="","",RANK($I139,$I$2:$I$200,0))</f>
        <v/>
      </c>
      <c r="K139">
        <f>IF($I139="","",IF($I139&gt;=90,"Outstanding",IF($I139&gt;=75,"Very Good",IF($I139&gt;=60,"Good","Needs Support"))))</f>
        <v/>
      </c>
    </row>
    <row r="140">
      <c r="D140">
        <f>IF(COUNTIFS('Staff Weekly'!A:A,$A140,'Staff Weekly'!C:C,$B140,'Staff Weekly'!F:F,"Yes")&gt;0,20,0)</f>
        <v/>
      </c>
      <c r="E140">
        <f>IF(COUNTIFS('Staff Weekly'!A:A,$A140,'Staff Weekly'!C:C,$B140,'Staff Weekly'!G:G,"Yes")&gt;0,20,0)</f>
        <v/>
      </c>
      <c r="F140">
        <f>IF(COUNTIFS('Staff Weekly'!A:A,$A140,'Staff Weekly'!C:C,$B140,'Staff Weekly'!D:D,"Yes")&gt;0,20,0)</f>
        <v/>
      </c>
      <c r="G140">
        <f>IF($B140="","",IF(COUNTIFS('Class Reports'!A:A,$A140,'Class Reports'!D:D,$B140,'Class Reports'!G:G,"Poor") + COUNTIFS('Class Reports'!A:A,$A140,'Class Reports'!D:D,$B140,'Class Reports'!H:H,"Low")=0,20,10))</f>
        <v/>
      </c>
      <c r="H140">
        <f>IF($B140="","",IF(COUNTIFS('Subject Reports'!A:A,$A140,'Subject Reports'!D:D,$B140,'Subject Reports'!G:G,"Behind")=0,20,10))</f>
        <v/>
      </c>
      <c r="I140">
        <f>IF($B140="","",SUM(D140:H140))</f>
        <v/>
      </c>
      <c r="J140">
        <f>IF($I140="","",RANK($I140,$I$2:$I$200,0))</f>
        <v/>
      </c>
      <c r="K140">
        <f>IF($I140="","",IF($I140&gt;=90,"Outstanding",IF($I140&gt;=75,"Very Good",IF($I140&gt;=60,"Good","Needs Support"))))</f>
        <v/>
      </c>
    </row>
    <row r="141">
      <c r="D141">
        <f>IF(COUNTIFS('Staff Weekly'!A:A,$A141,'Staff Weekly'!C:C,$B141,'Staff Weekly'!F:F,"Yes")&gt;0,20,0)</f>
        <v/>
      </c>
      <c r="E141">
        <f>IF(COUNTIFS('Staff Weekly'!A:A,$A141,'Staff Weekly'!C:C,$B141,'Staff Weekly'!G:G,"Yes")&gt;0,20,0)</f>
        <v/>
      </c>
      <c r="F141">
        <f>IF(COUNTIFS('Staff Weekly'!A:A,$A141,'Staff Weekly'!C:C,$B141,'Staff Weekly'!D:D,"Yes")&gt;0,20,0)</f>
        <v/>
      </c>
      <c r="G141">
        <f>IF($B141="","",IF(COUNTIFS('Class Reports'!A:A,$A141,'Class Reports'!D:D,$B141,'Class Reports'!G:G,"Poor") + COUNTIFS('Class Reports'!A:A,$A141,'Class Reports'!D:D,$B141,'Class Reports'!H:H,"Low")=0,20,10))</f>
        <v/>
      </c>
      <c r="H141">
        <f>IF($B141="","",IF(COUNTIFS('Subject Reports'!A:A,$A141,'Subject Reports'!D:D,$B141,'Subject Reports'!G:G,"Behind")=0,20,10))</f>
        <v/>
      </c>
      <c r="I141">
        <f>IF($B141="","",SUM(D141:H141))</f>
        <v/>
      </c>
      <c r="J141">
        <f>IF($I141="","",RANK($I141,$I$2:$I$200,0))</f>
        <v/>
      </c>
      <c r="K141">
        <f>IF($I141="","",IF($I141&gt;=90,"Outstanding",IF($I141&gt;=75,"Very Good",IF($I141&gt;=60,"Good","Needs Support"))))</f>
        <v/>
      </c>
    </row>
    <row r="142">
      <c r="D142">
        <f>IF(COUNTIFS('Staff Weekly'!A:A,$A142,'Staff Weekly'!C:C,$B142,'Staff Weekly'!F:F,"Yes")&gt;0,20,0)</f>
        <v/>
      </c>
      <c r="E142">
        <f>IF(COUNTIFS('Staff Weekly'!A:A,$A142,'Staff Weekly'!C:C,$B142,'Staff Weekly'!G:G,"Yes")&gt;0,20,0)</f>
        <v/>
      </c>
      <c r="F142">
        <f>IF(COUNTIFS('Staff Weekly'!A:A,$A142,'Staff Weekly'!C:C,$B142,'Staff Weekly'!D:D,"Yes")&gt;0,20,0)</f>
        <v/>
      </c>
      <c r="G142">
        <f>IF($B142="","",IF(COUNTIFS('Class Reports'!A:A,$A142,'Class Reports'!D:D,$B142,'Class Reports'!G:G,"Poor") + COUNTIFS('Class Reports'!A:A,$A142,'Class Reports'!D:D,$B142,'Class Reports'!H:H,"Low")=0,20,10))</f>
        <v/>
      </c>
      <c r="H142">
        <f>IF($B142="","",IF(COUNTIFS('Subject Reports'!A:A,$A142,'Subject Reports'!D:D,$B142,'Subject Reports'!G:G,"Behind")=0,20,10))</f>
        <v/>
      </c>
      <c r="I142">
        <f>IF($B142="","",SUM(D142:H142))</f>
        <v/>
      </c>
      <c r="J142">
        <f>IF($I142="","",RANK($I142,$I$2:$I$200,0))</f>
        <v/>
      </c>
      <c r="K142">
        <f>IF($I142="","",IF($I142&gt;=90,"Outstanding",IF($I142&gt;=75,"Very Good",IF($I142&gt;=60,"Good","Needs Support"))))</f>
        <v/>
      </c>
    </row>
    <row r="143">
      <c r="D143">
        <f>IF(COUNTIFS('Staff Weekly'!A:A,$A143,'Staff Weekly'!C:C,$B143,'Staff Weekly'!F:F,"Yes")&gt;0,20,0)</f>
        <v/>
      </c>
      <c r="E143">
        <f>IF(COUNTIFS('Staff Weekly'!A:A,$A143,'Staff Weekly'!C:C,$B143,'Staff Weekly'!G:G,"Yes")&gt;0,20,0)</f>
        <v/>
      </c>
      <c r="F143">
        <f>IF(COUNTIFS('Staff Weekly'!A:A,$A143,'Staff Weekly'!C:C,$B143,'Staff Weekly'!D:D,"Yes")&gt;0,20,0)</f>
        <v/>
      </c>
      <c r="G143">
        <f>IF($B143="","",IF(COUNTIFS('Class Reports'!A:A,$A143,'Class Reports'!D:D,$B143,'Class Reports'!G:G,"Poor") + COUNTIFS('Class Reports'!A:A,$A143,'Class Reports'!D:D,$B143,'Class Reports'!H:H,"Low")=0,20,10))</f>
        <v/>
      </c>
      <c r="H143">
        <f>IF($B143="","",IF(COUNTIFS('Subject Reports'!A:A,$A143,'Subject Reports'!D:D,$B143,'Subject Reports'!G:G,"Behind")=0,20,10))</f>
        <v/>
      </c>
      <c r="I143">
        <f>IF($B143="","",SUM(D143:H143))</f>
        <v/>
      </c>
      <c r="J143">
        <f>IF($I143="","",RANK($I143,$I$2:$I$200,0))</f>
        <v/>
      </c>
      <c r="K143">
        <f>IF($I143="","",IF($I143&gt;=90,"Outstanding",IF($I143&gt;=75,"Very Good",IF($I143&gt;=60,"Good","Needs Support"))))</f>
        <v/>
      </c>
    </row>
    <row r="144">
      <c r="D144">
        <f>IF(COUNTIFS('Staff Weekly'!A:A,$A144,'Staff Weekly'!C:C,$B144,'Staff Weekly'!F:F,"Yes")&gt;0,20,0)</f>
        <v/>
      </c>
      <c r="E144">
        <f>IF(COUNTIFS('Staff Weekly'!A:A,$A144,'Staff Weekly'!C:C,$B144,'Staff Weekly'!G:G,"Yes")&gt;0,20,0)</f>
        <v/>
      </c>
      <c r="F144">
        <f>IF(COUNTIFS('Staff Weekly'!A:A,$A144,'Staff Weekly'!C:C,$B144,'Staff Weekly'!D:D,"Yes")&gt;0,20,0)</f>
        <v/>
      </c>
      <c r="G144">
        <f>IF($B144="","",IF(COUNTIFS('Class Reports'!A:A,$A144,'Class Reports'!D:D,$B144,'Class Reports'!G:G,"Poor") + COUNTIFS('Class Reports'!A:A,$A144,'Class Reports'!D:D,$B144,'Class Reports'!H:H,"Low")=0,20,10))</f>
        <v/>
      </c>
      <c r="H144">
        <f>IF($B144="","",IF(COUNTIFS('Subject Reports'!A:A,$A144,'Subject Reports'!D:D,$B144,'Subject Reports'!G:G,"Behind")=0,20,10))</f>
        <v/>
      </c>
      <c r="I144">
        <f>IF($B144="","",SUM(D144:H144))</f>
        <v/>
      </c>
      <c r="J144">
        <f>IF($I144="","",RANK($I144,$I$2:$I$200,0))</f>
        <v/>
      </c>
      <c r="K144">
        <f>IF($I144="","",IF($I144&gt;=90,"Outstanding",IF($I144&gt;=75,"Very Good",IF($I144&gt;=60,"Good","Needs Support"))))</f>
        <v/>
      </c>
    </row>
    <row r="145">
      <c r="D145">
        <f>IF(COUNTIFS('Staff Weekly'!A:A,$A145,'Staff Weekly'!C:C,$B145,'Staff Weekly'!F:F,"Yes")&gt;0,20,0)</f>
        <v/>
      </c>
      <c r="E145">
        <f>IF(COUNTIFS('Staff Weekly'!A:A,$A145,'Staff Weekly'!C:C,$B145,'Staff Weekly'!G:G,"Yes")&gt;0,20,0)</f>
        <v/>
      </c>
      <c r="F145">
        <f>IF(COUNTIFS('Staff Weekly'!A:A,$A145,'Staff Weekly'!C:C,$B145,'Staff Weekly'!D:D,"Yes")&gt;0,20,0)</f>
        <v/>
      </c>
      <c r="G145">
        <f>IF($B145="","",IF(COUNTIFS('Class Reports'!A:A,$A145,'Class Reports'!D:D,$B145,'Class Reports'!G:G,"Poor") + COUNTIFS('Class Reports'!A:A,$A145,'Class Reports'!D:D,$B145,'Class Reports'!H:H,"Low")=0,20,10))</f>
        <v/>
      </c>
      <c r="H145">
        <f>IF($B145="","",IF(COUNTIFS('Subject Reports'!A:A,$A145,'Subject Reports'!D:D,$B145,'Subject Reports'!G:G,"Behind")=0,20,10))</f>
        <v/>
      </c>
      <c r="I145">
        <f>IF($B145="","",SUM(D145:H145))</f>
        <v/>
      </c>
      <c r="J145">
        <f>IF($I145="","",RANK($I145,$I$2:$I$200,0))</f>
        <v/>
      </c>
      <c r="K145">
        <f>IF($I145="","",IF($I145&gt;=90,"Outstanding",IF($I145&gt;=75,"Very Good",IF($I145&gt;=60,"Good","Needs Support"))))</f>
        <v/>
      </c>
    </row>
    <row r="146">
      <c r="D146">
        <f>IF(COUNTIFS('Staff Weekly'!A:A,$A146,'Staff Weekly'!C:C,$B146,'Staff Weekly'!F:F,"Yes")&gt;0,20,0)</f>
        <v/>
      </c>
      <c r="E146">
        <f>IF(COUNTIFS('Staff Weekly'!A:A,$A146,'Staff Weekly'!C:C,$B146,'Staff Weekly'!G:G,"Yes")&gt;0,20,0)</f>
        <v/>
      </c>
      <c r="F146">
        <f>IF(COUNTIFS('Staff Weekly'!A:A,$A146,'Staff Weekly'!C:C,$B146,'Staff Weekly'!D:D,"Yes")&gt;0,20,0)</f>
        <v/>
      </c>
      <c r="G146">
        <f>IF($B146="","",IF(COUNTIFS('Class Reports'!A:A,$A146,'Class Reports'!D:D,$B146,'Class Reports'!G:G,"Poor") + COUNTIFS('Class Reports'!A:A,$A146,'Class Reports'!D:D,$B146,'Class Reports'!H:H,"Low")=0,20,10))</f>
        <v/>
      </c>
      <c r="H146">
        <f>IF($B146="","",IF(COUNTIFS('Subject Reports'!A:A,$A146,'Subject Reports'!D:D,$B146,'Subject Reports'!G:G,"Behind")=0,20,10))</f>
        <v/>
      </c>
      <c r="I146">
        <f>IF($B146="","",SUM(D146:H146))</f>
        <v/>
      </c>
      <c r="J146">
        <f>IF($I146="","",RANK($I146,$I$2:$I$200,0))</f>
        <v/>
      </c>
      <c r="K146">
        <f>IF($I146="","",IF($I146&gt;=90,"Outstanding",IF($I146&gt;=75,"Very Good",IF($I146&gt;=60,"Good","Needs Support"))))</f>
        <v/>
      </c>
    </row>
    <row r="147">
      <c r="D147">
        <f>IF(COUNTIFS('Staff Weekly'!A:A,$A147,'Staff Weekly'!C:C,$B147,'Staff Weekly'!F:F,"Yes")&gt;0,20,0)</f>
        <v/>
      </c>
      <c r="E147">
        <f>IF(COUNTIFS('Staff Weekly'!A:A,$A147,'Staff Weekly'!C:C,$B147,'Staff Weekly'!G:G,"Yes")&gt;0,20,0)</f>
        <v/>
      </c>
      <c r="F147">
        <f>IF(COUNTIFS('Staff Weekly'!A:A,$A147,'Staff Weekly'!C:C,$B147,'Staff Weekly'!D:D,"Yes")&gt;0,20,0)</f>
        <v/>
      </c>
      <c r="G147">
        <f>IF($B147="","",IF(COUNTIFS('Class Reports'!A:A,$A147,'Class Reports'!D:D,$B147,'Class Reports'!G:G,"Poor") + COUNTIFS('Class Reports'!A:A,$A147,'Class Reports'!D:D,$B147,'Class Reports'!H:H,"Low")=0,20,10))</f>
        <v/>
      </c>
      <c r="H147">
        <f>IF($B147="","",IF(COUNTIFS('Subject Reports'!A:A,$A147,'Subject Reports'!D:D,$B147,'Subject Reports'!G:G,"Behind")=0,20,10))</f>
        <v/>
      </c>
      <c r="I147">
        <f>IF($B147="","",SUM(D147:H147))</f>
        <v/>
      </c>
      <c r="J147">
        <f>IF($I147="","",RANK($I147,$I$2:$I$200,0))</f>
        <v/>
      </c>
      <c r="K147">
        <f>IF($I147="","",IF($I147&gt;=90,"Outstanding",IF($I147&gt;=75,"Very Good",IF($I147&gt;=60,"Good","Needs Support"))))</f>
        <v/>
      </c>
    </row>
    <row r="148">
      <c r="D148">
        <f>IF(COUNTIFS('Staff Weekly'!A:A,$A148,'Staff Weekly'!C:C,$B148,'Staff Weekly'!F:F,"Yes")&gt;0,20,0)</f>
        <v/>
      </c>
      <c r="E148">
        <f>IF(COUNTIFS('Staff Weekly'!A:A,$A148,'Staff Weekly'!C:C,$B148,'Staff Weekly'!G:G,"Yes")&gt;0,20,0)</f>
        <v/>
      </c>
      <c r="F148">
        <f>IF(COUNTIFS('Staff Weekly'!A:A,$A148,'Staff Weekly'!C:C,$B148,'Staff Weekly'!D:D,"Yes")&gt;0,20,0)</f>
        <v/>
      </c>
      <c r="G148">
        <f>IF($B148="","",IF(COUNTIFS('Class Reports'!A:A,$A148,'Class Reports'!D:D,$B148,'Class Reports'!G:G,"Poor") + COUNTIFS('Class Reports'!A:A,$A148,'Class Reports'!D:D,$B148,'Class Reports'!H:H,"Low")=0,20,10))</f>
        <v/>
      </c>
      <c r="H148">
        <f>IF($B148="","",IF(COUNTIFS('Subject Reports'!A:A,$A148,'Subject Reports'!D:D,$B148,'Subject Reports'!G:G,"Behind")=0,20,10))</f>
        <v/>
      </c>
      <c r="I148">
        <f>IF($B148="","",SUM(D148:H148))</f>
        <v/>
      </c>
      <c r="J148">
        <f>IF($I148="","",RANK($I148,$I$2:$I$200,0))</f>
        <v/>
      </c>
      <c r="K148">
        <f>IF($I148="","",IF($I148&gt;=90,"Outstanding",IF($I148&gt;=75,"Very Good",IF($I148&gt;=60,"Good","Needs Support"))))</f>
        <v/>
      </c>
    </row>
    <row r="149">
      <c r="D149">
        <f>IF(COUNTIFS('Staff Weekly'!A:A,$A149,'Staff Weekly'!C:C,$B149,'Staff Weekly'!F:F,"Yes")&gt;0,20,0)</f>
        <v/>
      </c>
      <c r="E149">
        <f>IF(COUNTIFS('Staff Weekly'!A:A,$A149,'Staff Weekly'!C:C,$B149,'Staff Weekly'!G:G,"Yes")&gt;0,20,0)</f>
        <v/>
      </c>
      <c r="F149">
        <f>IF(COUNTIFS('Staff Weekly'!A:A,$A149,'Staff Weekly'!C:C,$B149,'Staff Weekly'!D:D,"Yes")&gt;0,20,0)</f>
        <v/>
      </c>
      <c r="G149">
        <f>IF($B149="","",IF(COUNTIFS('Class Reports'!A:A,$A149,'Class Reports'!D:D,$B149,'Class Reports'!G:G,"Poor") + COUNTIFS('Class Reports'!A:A,$A149,'Class Reports'!D:D,$B149,'Class Reports'!H:H,"Low")=0,20,10))</f>
        <v/>
      </c>
      <c r="H149">
        <f>IF($B149="","",IF(COUNTIFS('Subject Reports'!A:A,$A149,'Subject Reports'!D:D,$B149,'Subject Reports'!G:G,"Behind")=0,20,10))</f>
        <v/>
      </c>
      <c r="I149">
        <f>IF($B149="","",SUM(D149:H149))</f>
        <v/>
      </c>
      <c r="J149">
        <f>IF($I149="","",RANK($I149,$I$2:$I$200,0))</f>
        <v/>
      </c>
      <c r="K149">
        <f>IF($I149="","",IF($I149&gt;=90,"Outstanding",IF($I149&gt;=75,"Very Good",IF($I149&gt;=60,"Good","Needs Support"))))</f>
        <v/>
      </c>
    </row>
    <row r="150">
      <c r="D150">
        <f>IF(COUNTIFS('Staff Weekly'!A:A,$A150,'Staff Weekly'!C:C,$B150,'Staff Weekly'!F:F,"Yes")&gt;0,20,0)</f>
        <v/>
      </c>
      <c r="E150">
        <f>IF(COUNTIFS('Staff Weekly'!A:A,$A150,'Staff Weekly'!C:C,$B150,'Staff Weekly'!G:G,"Yes")&gt;0,20,0)</f>
        <v/>
      </c>
      <c r="F150">
        <f>IF(COUNTIFS('Staff Weekly'!A:A,$A150,'Staff Weekly'!C:C,$B150,'Staff Weekly'!D:D,"Yes")&gt;0,20,0)</f>
        <v/>
      </c>
      <c r="G150">
        <f>IF($B150="","",IF(COUNTIFS('Class Reports'!A:A,$A150,'Class Reports'!D:D,$B150,'Class Reports'!G:G,"Poor") + COUNTIFS('Class Reports'!A:A,$A150,'Class Reports'!D:D,$B150,'Class Reports'!H:H,"Low")=0,20,10))</f>
        <v/>
      </c>
      <c r="H150">
        <f>IF($B150="","",IF(COUNTIFS('Subject Reports'!A:A,$A150,'Subject Reports'!D:D,$B150,'Subject Reports'!G:G,"Behind")=0,20,10))</f>
        <v/>
      </c>
      <c r="I150">
        <f>IF($B150="","",SUM(D150:H150))</f>
        <v/>
      </c>
      <c r="J150">
        <f>IF($I150="","",RANK($I150,$I$2:$I$200,0))</f>
        <v/>
      </c>
      <c r="K150">
        <f>IF($I150="","",IF($I150&gt;=90,"Outstanding",IF($I150&gt;=75,"Very Good",IF($I150&gt;=60,"Good","Needs Support"))))</f>
        <v/>
      </c>
    </row>
    <row r="151">
      <c r="D151">
        <f>IF(COUNTIFS('Staff Weekly'!A:A,$A151,'Staff Weekly'!C:C,$B151,'Staff Weekly'!F:F,"Yes")&gt;0,20,0)</f>
        <v/>
      </c>
      <c r="E151">
        <f>IF(COUNTIFS('Staff Weekly'!A:A,$A151,'Staff Weekly'!C:C,$B151,'Staff Weekly'!G:G,"Yes")&gt;0,20,0)</f>
        <v/>
      </c>
      <c r="F151">
        <f>IF(COUNTIFS('Staff Weekly'!A:A,$A151,'Staff Weekly'!C:C,$B151,'Staff Weekly'!D:D,"Yes")&gt;0,20,0)</f>
        <v/>
      </c>
      <c r="G151">
        <f>IF($B151="","",IF(COUNTIFS('Class Reports'!A:A,$A151,'Class Reports'!D:D,$B151,'Class Reports'!G:G,"Poor") + COUNTIFS('Class Reports'!A:A,$A151,'Class Reports'!D:D,$B151,'Class Reports'!H:H,"Low")=0,20,10))</f>
        <v/>
      </c>
      <c r="H151">
        <f>IF($B151="","",IF(COUNTIFS('Subject Reports'!A:A,$A151,'Subject Reports'!D:D,$B151,'Subject Reports'!G:G,"Behind")=0,20,10))</f>
        <v/>
      </c>
      <c r="I151">
        <f>IF($B151="","",SUM(D151:H151))</f>
        <v/>
      </c>
      <c r="J151">
        <f>IF($I151="","",RANK($I151,$I$2:$I$200,0))</f>
        <v/>
      </c>
      <c r="K151">
        <f>IF($I151="","",IF($I151&gt;=90,"Outstanding",IF($I151&gt;=75,"Very Good",IF($I151&gt;=60,"Good","Needs Support"))))</f>
        <v/>
      </c>
    </row>
    <row r="152">
      <c r="D152">
        <f>IF(COUNTIFS('Staff Weekly'!A:A,$A152,'Staff Weekly'!C:C,$B152,'Staff Weekly'!F:F,"Yes")&gt;0,20,0)</f>
        <v/>
      </c>
      <c r="E152">
        <f>IF(COUNTIFS('Staff Weekly'!A:A,$A152,'Staff Weekly'!C:C,$B152,'Staff Weekly'!G:G,"Yes")&gt;0,20,0)</f>
        <v/>
      </c>
      <c r="F152">
        <f>IF(COUNTIFS('Staff Weekly'!A:A,$A152,'Staff Weekly'!C:C,$B152,'Staff Weekly'!D:D,"Yes")&gt;0,20,0)</f>
        <v/>
      </c>
      <c r="G152">
        <f>IF($B152="","",IF(COUNTIFS('Class Reports'!A:A,$A152,'Class Reports'!D:D,$B152,'Class Reports'!G:G,"Poor") + COUNTIFS('Class Reports'!A:A,$A152,'Class Reports'!D:D,$B152,'Class Reports'!H:H,"Low")=0,20,10))</f>
        <v/>
      </c>
      <c r="H152">
        <f>IF($B152="","",IF(COUNTIFS('Subject Reports'!A:A,$A152,'Subject Reports'!D:D,$B152,'Subject Reports'!G:G,"Behind")=0,20,10))</f>
        <v/>
      </c>
      <c r="I152">
        <f>IF($B152="","",SUM(D152:H152))</f>
        <v/>
      </c>
      <c r="J152">
        <f>IF($I152="","",RANK($I152,$I$2:$I$200,0))</f>
        <v/>
      </c>
      <c r="K152">
        <f>IF($I152="","",IF($I152&gt;=90,"Outstanding",IF($I152&gt;=75,"Very Good",IF($I152&gt;=60,"Good","Needs Support"))))</f>
        <v/>
      </c>
    </row>
    <row r="153">
      <c r="D153">
        <f>IF(COUNTIFS('Staff Weekly'!A:A,$A153,'Staff Weekly'!C:C,$B153,'Staff Weekly'!F:F,"Yes")&gt;0,20,0)</f>
        <v/>
      </c>
      <c r="E153">
        <f>IF(COUNTIFS('Staff Weekly'!A:A,$A153,'Staff Weekly'!C:C,$B153,'Staff Weekly'!G:G,"Yes")&gt;0,20,0)</f>
        <v/>
      </c>
      <c r="F153">
        <f>IF(COUNTIFS('Staff Weekly'!A:A,$A153,'Staff Weekly'!C:C,$B153,'Staff Weekly'!D:D,"Yes")&gt;0,20,0)</f>
        <v/>
      </c>
      <c r="G153">
        <f>IF($B153="","",IF(COUNTIFS('Class Reports'!A:A,$A153,'Class Reports'!D:D,$B153,'Class Reports'!G:G,"Poor") + COUNTIFS('Class Reports'!A:A,$A153,'Class Reports'!D:D,$B153,'Class Reports'!H:H,"Low")=0,20,10))</f>
        <v/>
      </c>
      <c r="H153">
        <f>IF($B153="","",IF(COUNTIFS('Subject Reports'!A:A,$A153,'Subject Reports'!D:D,$B153,'Subject Reports'!G:G,"Behind")=0,20,10))</f>
        <v/>
      </c>
      <c r="I153">
        <f>IF($B153="","",SUM(D153:H153))</f>
        <v/>
      </c>
      <c r="J153">
        <f>IF($I153="","",RANK($I153,$I$2:$I$200,0))</f>
        <v/>
      </c>
      <c r="K153">
        <f>IF($I153="","",IF($I153&gt;=90,"Outstanding",IF($I153&gt;=75,"Very Good",IF($I153&gt;=60,"Good","Needs Support"))))</f>
        <v/>
      </c>
    </row>
    <row r="154">
      <c r="D154">
        <f>IF(COUNTIFS('Staff Weekly'!A:A,$A154,'Staff Weekly'!C:C,$B154,'Staff Weekly'!F:F,"Yes")&gt;0,20,0)</f>
        <v/>
      </c>
      <c r="E154">
        <f>IF(COUNTIFS('Staff Weekly'!A:A,$A154,'Staff Weekly'!C:C,$B154,'Staff Weekly'!G:G,"Yes")&gt;0,20,0)</f>
        <v/>
      </c>
      <c r="F154">
        <f>IF(COUNTIFS('Staff Weekly'!A:A,$A154,'Staff Weekly'!C:C,$B154,'Staff Weekly'!D:D,"Yes")&gt;0,20,0)</f>
        <v/>
      </c>
      <c r="G154">
        <f>IF($B154="","",IF(COUNTIFS('Class Reports'!A:A,$A154,'Class Reports'!D:D,$B154,'Class Reports'!G:G,"Poor") + COUNTIFS('Class Reports'!A:A,$A154,'Class Reports'!D:D,$B154,'Class Reports'!H:H,"Low")=0,20,10))</f>
        <v/>
      </c>
      <c r="H154">
        <f>IF($B154="","",IF(COUNTIFS('Subject Reports'!A:A,$A154,'Subject Reports'!D:D,$B154,'Subject Reports'!G:G,"Behind")=0,20,10))</f>
        <v/>
      </c>
      <c r="I154">
        <f>IF($B154="","",SUM(D154:H154))</f>
        <v/>
      </c>
      <c r="J154">
        <f>IF($I154="","",RANK($I154,$I$2:$I$200,0))</f>
        <v/>
      </c>
      <c r="K154">
        <f>IF($I154="","",IF($I154&gt;=90,"Outstanding",IF($I154&gt;=75,"Very Good",IF($I154&gt;=60,"Good","Needs Support"))))</f>
        <v/>
      </c>
    </row>
    <row r="155">
      <c r="D155">
        <f>IF(COUNTIFS('Staff Weekly'!A:A,$A155,'Staff Weekly'!C:C,$B155,'Staff Weekly'!F:F,"Yes")&gt;0,20,0)</f>
        <v/>
      </c>
      <c r="E155">
        <f>IF(COUNTIFS('Staff Weekly'!A:A,$A155,'Staff Weekly'!C:C,$B155,'Staff Weekly'!G:G,"Yes")&gt;0,20,0)</f>
        <v/>
      </c>
      <c r="F155">
        <f>IF(COUNTIFS('Staff Weekly'!A:A,$A155,'Staff Weekly'!C:C,$B155,'Staff Weekly'!D:D,"Yes")&gt;0,20,0)</f>
        <v/>
      </c>
      <c r="G155">
        <f>IF($B155="","",IF(COUNTIFS('Class Reports'!A:A,$A155,'Class Reports'!D:D,$B155,'Class Reports'!G:G,"Poor") + COUNTIFS('Class Reports'!A:A,$A155,'Class Reports'!D:D,$B155,'Class Reports'!H:H,"Low")=0,20,10))</f>
        <v/>
      </c>
      <c r="H155">
        <f>IF($B155="","",IF(COUNTIFS('Subject Reports'!A:A,$A155,'Subject Reports'!D:D,$B155,'Subject Reports'!G:G,"Behind")=0,20,10))</f>
        <v/>
      </c>
      <c r="I155">
        <f>IF($B155="","",SUM(D155:H155))</f>
        <v/>
      </c>
      <c r="J155">
        <f>IF($I155="","",RANK($I155,$I$2:$I$200,0))</f>
        <v/>
      </c>
      <c r="K155">
        <f>IF($I155="","",IF($I155&gt;=90,"Outstanding",IF($I155&gt;=75,"Very Good",IF($I155&gt;=60,"Good","Needs Support"))))</f>
        <v/>
      </c>
    </row>
    <row r="156">
      <c r="D156">
        <f>IF(COUNTIFS('Staff Weekly'!A:A,$A156,'Staff Weekly'!C:C,$B156,'Staff Weekly'!F:F,"Yes")&gt;0,20,0)</f>
        <v/>
      </c>
      <c r="E156">
        <f>IF(COUNTIFS('Staff Weekly'!A:A,$A156,'Staff Weekly'!C:C,$B156,'Staff Weekly'!G:G,"Yes")&gt;0,20,0)</f>
        <v/>
      </c>
      <c r="F156">
        <f>IF(COUNTIFS('Staff Weekly'!A:A,$A156,'Staff Weekly'!C:C,$B156,'Staff Weekly'!D:D,"Yes")&gt;0,20,0)</f>
        <v/>
      </c>
      <c r="G156">
        <f>IF($B156="","",IF(COUNTIFS('Class Reports'!A:A,$A156,'Class Reports'!D:D,$B156,'Class Reports'!G:G,"Poor") + COUNTIFS('Class Reports'!A:A,$A156,'Class Reports'!D:D,$B156,'Class Reports'!H:H,"Low")=0,20,10))</f>
        <v/>
      </c>
      <c r="H156">
        <f>IF($B156="","",IF(COUNTIFS('Subject Reports'!A:A,$A156,'Subject Reports'!D:D,$B156,'Subject Reports'!G:G,"Behind")=0,20,10))</f>
        <v/>
      </c>
      <c r="I156">
        <f>IF($B156="","",SUM(D156:H156))</f>
        <v/>
      </c>
      <c r="J156">
        <f>IF($I156="","",RANK($I156,$I$2:$I$200,0))</f>
        <v/>
      </c>
      <c r="K156">
        <f>IF($I156="","",IF($I156&gt;=90,"Outstanding",IF($I156&gt;=75,"Very Good",IF($I156&gt;=60,"Good","Needs Support"))))</f>
        <v/>
      </c>
    </row>
    <row r="157">
      <c r="D157">
        <f>IF(COUNTIFS('Staff Weekly'!A:A,$A157,'Staff Weekly'!C:C,$B157,'Staff Weekly'!F:F,"Yes")&gt;0,20,0)</f>
        <v/>
      </c>
      <c r="E157">
        <f>IF(COUNTIFS('Staff Weekly'!A:A,$A157,'Staff Weekly'!C:C,$B157,'Staff Weekly'!G:G,"Yes")&gt;0,20,0)</f>
        <v/>
      </c>
      <c r="F157">
        <f>IF(COUNTIFS('Staff Weekly'!A:A,$A157,'Staff Weekly'!C:C,$B157,'Staff Weekly'!D:D,"Yes")&gt;0,20,0)</f>
        <v/>
      </c>
      <c r="G157">
        <f>IF($B157="","",IF(COUNTIFS('Class Reports'!A:A,$A157,'Class Reports'!D:D,$B157,'Class Reports'!G:G,"Poor") + COUNTIFS('Class Reports'!A:A,$A157,'Class Reports'!D:D,$B157,'Class Reports'!H:H,"Low")=0,20,10))</f>
        <v/>
      </c>
      <c r="H157">
        <f>IF($B157="","",IF(COUNTIFS('Subject Reports'!A:A,$A157,'Subject Reports'!D:D,$B157,'Subject Reports'!G:G,"Behind")=0,20,10))</f>
        <v/>
      </c>
      <c r="I157">
        <f>IF($B157="","",SUM(D157:H157))</f>
        <v/>
      </c>
      <c r="J157">
        <f>IF($I157="","",RANK($I157,$I$2:$I$200,0))</f>
        <v/>
      </c>
      <c r="K157">
        <f>IF($I157="","",IF($I157&gt;=90,"Outstanding",IF($I157&gt;=75,"Very Good",IF($I157&gt;=60,"Good","Needs Support"))))</f>
        <v/>
      </c>
    </row>
    <row r="158">
      <c r="D158">
        <f>IF(COUNTIFS('Staff Weekly'!A:A,$A158,'Staff Weekly'!C:C,$B158,'Staff Weekly'!F:F,"Yes")&gt;0,20,0)</f>
        <v/>
      </c>
      <c r="E158">
        <f>IF(COUNTIFS('Staff Weekly'!A:A,$A158,'Staff Weekly'!C:C,$B158,'Staff Weekly'!G:G,"Yes")&gt;0,20,0)</f>
        <v/>
      </c>
      <c r="F158">
        <f>IF(COUNTIFS('Staff Weekly'!A:A,$A158,'Staff Weekly'!C:C,$B158,'Staff Weekly'!D:D,"Yes")&gt;0,20,0)</f>
        <v/>
      </c>
      <c r="G158">
        <f>IF($B158="","",IF(COUNTIFS('Class Reports'!A:A,$A158,'Class Reports'!D:D,$B158,'Class Reports'!G:G,"Poor") + COUNTIFS('Class Reports'!A:A,$A158,'Class Reports'!D:D,$B158,'Class Reports'!H:H,"Low")=0,20,10))</f>
        <v/>
      </c>
      <c r="H158">
        <f>IF($B158="","",IF(COUNTIFS('Subject Reports'!A:A,$A158,'Subject Reports'!D:D,$B158,'Subject Reports'!G:G,"Behind")=0,20,10))</f>
        <v/>
      </c>
      <c r="I158">
        <f>IF($B158="","",SUM(D158:H158))</f>
        <v/>
      </c>
      <c r="J158">
        <f>IF($I158="","",RANK($I158,$I$2:$I$200,0))</f>
        <v/>
      </c>
      <c r="K158">
        <f>IF($I158="","",IF($I158&gt;=90,"Outstanding",IF($I158&gt;=75,"Very Good",IF($I158&gt;=60,"Good","Needs Support"))))</f>
        <v/>
      </c>
    </row>
    <row r="159">
      <c r="D159">
        <f>IF(COUNTIFS('Staff Weekly'!A:A,$A159,'Staff Weekly'!C:C,$B159,'Staff Weekly'!F:F,"Yes")&gt;0,20,0)</f>
        <v/>
      </c>
      <c r="E159">
        <f>IF(COUNTIFS('Staff Weekly'!A:A,$A159,'Staff Weekly'!C:C,$B159,'Staff Weekly'!G:G,"Yes")&gt;0,20,0)</f>
        <v/>
      </c>
      <c r="F159">
        <f>IF(COUNTIFS('Staff Weekly'!A:A,$A159,'Staff Weekly'!C:C,$B159,'Staff Weekly'!D:D,"Yes")&gt;0,20,0)</f>
        <v/>
      </c>
      <c r="G159">
        <f>IF($B159="","",IF(COUNTIFS('Class Reports'!A:A,$A159,'Class Reports'!D:D,$B159,'Class Reports'!G:G,"Poor") + COUNTIFS('Class Reports'!A:A,$A159,'Class Reports'!D:D,$B159,'Class Reports'!H:H,"Low")=0,20,10))</f>
        <v/>
      </c>
      <c r="H159">
        <f>IF($B159="","",IF(COUNTIFS('Subject Reports'!A:A,$A159,'Subject Reports'!D:D,$B159,'Subject Reports'!G:G,"Behind")=0,20,10))</f>
        <v/>
      </c>
      <c r="I159">
        <f>IF($B159="","",SUM(D159:H159))</f>
        <v/>
      </c>
      <c r="J159">
        <f>IF($I159="","",RANK($I159,$I$2:$I$200,0))</f>
        <v/>
      </c>
      <c r="K159">
        <f>IF($I159="","",IF($I159&gt;=90,"Outstanding",IF($I159&gt;=75,"Very Good",IF($I159&gt;=60,"Good","Needs Support"))))</f>
        <v/>
      </c>
    </row>
    <row r="160">
      <c r="D160">
        <f>IF(COUNTIFS('Staff Weekly'!A:A,$A160,'Staff Weekly'!C:C,$B160,'Staff Weekly'!F:F,"Yes")&gt;0,20,0)</f>
        <v/>
      </c>
      <c r="E160">
        <f>IF(COUNTIFS('Staff Weekly'!A:A,$A160,'Staff Weekly'!C:C,$B160,'Staff Weekly'!G:G,"Yes")&gt;0,20,0)</f>
        <v/>
      </c>
      <c r="F160">
        <f>IF(COUNTIFS('Staff Weekly'!A:A,$A160,'Staff Weekly'!C:C,$B160,'Staff Weekly'!D:D,"Yes")&gt;0,20,0)</f>
        <v/>
      </c>
      <c r="G160">
        <f>IF($B160="","",IF(COUNTIFS('Class Reports'!A:A,$A160,'Class Reports'!D:D,$B160,'Class Reports'!G:G,"Poor") + COUNTIFS('Class Reports'!A:A,$A160,'Class Reports'!D:D,$B160,'Class Reports'!H:H,"Low")=0,20,10))</f>
        <v/>
      </c>
      <c r="H160">
        <f>IF($B160="","",IF(COUNTIFS('Subject Reports'!A:A,$A160,'Subject Reports'!D:D,$B160,'Subject Reports'!G:G,"Behind")=0,20,10))</f>
        <v/>
      </c>
      <c r="I160">
        <f>IF($B160="","",SUM(D160:H160))</f>
        <v/>
      </c>
      <c r="J160">
        <f>IF($I160="","",RANK($I160,$I$2:$I$200,0))</f>
        <v/>
      </c>
      <c r="K160">
        <f>IF($I160="","",IF($I160&gt;=90,"Outstanding",IF($I160&gt;=75,"Very Good",IF($I160&gt;=60,"Good","Needs Support"))))</f>
        <v/>
      </c>
    </row>
    <row r="161">
      <c r="D161">
        <f>IF(COUNTIFS('Staff Weekly'!A:A,$A161,'Staff Weekly'!C:C,$B161,'Staff Weekly'!F:F,"Yes")&gt;0,20,0)</f>
        <v/>
      </c>
      <c r="E161">
        <f>IF(COUNTIFS('Staff Weekly'!A:A,$A161,'Staff Weekly'!C:C,$B161,'Staff Weekly'!G:G,"Yes")&gt;0,20,0)</f>
        <v/>
      </c>
      <c r="F161">
        <f>IF(COUNTIFS('Staff Weekly'!A:A,$A161,'Staff Weekly'!C:C,$B161,'Staff Weekly'!D:D,"Yes")&gt;0,20,0)</f>
        <v/>
      </c>
      <c r="G161">
        <f>IF($B161="","",IF(COUNTIFS('Class Reports'!A:A,$A161,'Class Reports'!D:D,$B161,'Class Reports'!G:G,"Poor") + COUNTIFS('Class Reports'!A:A,$A161,'Class Reports'!D:D,$B161,'Class Reports'!H:H,"Low")=0,20,10))</f>
        <v/>
      </c>
      <c r="H161">
        <f>IF($B161="","",IF(COUNTIFS('Subject Reports'!A:A,$A161,'Subject Reports'!D:D,$B161,'Subject Reports'!G:G,"Behind")=0,20,10))</f>
        <v/>
      </c>
      <c r="I161">
        <f>IF($B161="","",SUM(D161:H161))</f>
        <v/>
      </c>
      <c r="J161">
        <f>IF($I161="","",RANK($I161,$I$2:$I$200,0))</f>
        <v/>
      </c>
      <c r="K161">
        <f>IF($I161="","",IF($I161&gt;=90,"Outstanding",IF($I161&gt;=75,"Very Good",IF($I161&gt;=60,"Good","Needs Support"))))</f>
        <v/>
      </c>
    </row>
    <row r="162">
      <c r="D162">
        <f>IF(COUNTIFS('Staff Weekly'!A:A,$A162,'Staff Weekly'!C:C,$B162,'Staff Weekly'!F:F,"Yes")&gt;0,20,0)</f>
        <v/>
      </c>
      <c r="E162">
        <f>IF(COUNTIFS('Staff Weekly'!A:A,$A162,'Staff Weekly'!C:C,$B162,'Staff Weekly'!G:G,"Yes")&gt;0,20,0)</f>
        <v/>
      </c>
      <c r="F162">
        <f>IF(COUNTIFS('Staff Weekly'!A:A,$A162,'Staff Weekly'!C:C,$B162,'Staff Weekly'!D:D,"Yes")&gt;0,20,0)</f>
        <v/>
      </c>
      <c r="G162">
        <f>IF($B162="","",IF(COUNTIFS('Class Reports'!A:A,$A162,'Class Reports'!D:D,$B162,'Class Reports'!G:G,"Poor") + COUNTIFS('Class Reports'!A:A,$A162,'Class Reports'!D:D,$B162,'Class Reports'!H:H,"Low")=0,20,10))</f>
        <v/>
      </c>
      <c r="H162">
        <f>IF($B162="","",IF(COUNTIFS('Subject Reports'!A:A,$A162,'Subject Reports'!D:D,$B162,'Subject Reports'!G:G,"Behind")=0,20,10))</f>
        <v/>
      </c>
      <c r="I162">
        <f>IF($B162="","",SUM(D162:H162))</f>
        <v/>
      </c>
      <c r="J162">
        <f>IF($I162="","",RANK($I162,$I$2:$I$200,0))</f>
        <v/>
      </c>
      <c r="K162">
        <f>IF($I162="","",IF($I162&gt;=90,"Outstanding",IF($I162&gt;=75,"Very Good",IF($I162&gt;=60,"Good","Needs Support"))))</f>
        <v/>
      </c>
    </row>
    <row r="163">
      <c r="D163">
        <f>IF(COUNTIFS('Staff Weekly'!A:A,$A163,'Staff Weekly'!C:C,$B163,'Staff Weekly'!F:F,"Yes")&gt;0,20,0)</f>
        <v/>
      </c>
      <c r="E163">
        <f>IF(COUNTIFS('Staff Weekly'!A:A,$A163,'Staff Weekly'!C:C,$B163,'Staff Weekly'!G:G,"Yes")&gt;0,20,0)</f>
        <v/>
      </c>
      <c r="F163">
        <f>IF(COUNTIFS('Staff Weekly'!A:A,$A163,'Staff Weekly'!C:C,$B163,'Staff Weekly'!D:D,"Yes")&gt;0,20,0)</f>
        <v/>
      </c>
      <c r="G163">
        <f>IF($B163="","",IF(COUNTIFS('Class Reports'!A:A,$A163,'Class Reports'!D:D,$B163,'Class Reports'!G:G,"Poor") + COUNTIFS('Class Reports'!A:A,$A163,'Class Reports'!D:D,$B163,'Class Reports'!H:H,"Low")=0,20,10))</f>
        <v/>
      </c>
      <c r="H163">
        <f>IF($B163="","",IF(COUNTIFS('Subject Reports'!A:A,$A163,'Subject Reports'!D:D,$B163,'Subject Reports'!G:G,"Behind")=0,20,10))</f>
        <v/>
      </c>
      <c r="I163">
        <f>IF($B163="","",SUM(D163:H163))</f>
        <v/>
      </c>
      <c r="J163">
        <f>IF($I163="","",RANK($I163,$I$2:$I$200,0))</f>
        <v/>
      </c>
      <c r="K163">
        <f>IF($I163="","",IF($I163&gt;=90,"Outstanding",IF($I163&gt;=75,"Very Good",IF($I163&gt;=60,"Good","Needs Support"))))</f>
        <v/>
      </c>
    </row>
    <row r="164">
      <c r="D164">
        <f>IF(COUNTIFS('Staff Weekly'!A:A,$A164,'Staff Weekly'!C:C,$B164,'Staff Weekly'!F:F,"Yes")&gt;0,20,0)</f>
        <v/>
      </c>
      <c r="E164">
        <f>IF(COUNTIFS('Staff Weekly'!A:A,$A164,'Staff Weekly'!C:C,$B164,'Staff Weekly'!G:G,"Yes")&gt;0,20,0)</f>
        <v/>
      </c>
      <c r="F164">
        <f>IF(COUNTIFS('Staff Weekly'!A:A,$A164,'Staff Weekly'!C:C,$B164,'Staff Weekly'!D:D,"Yes")&gt;0,20,0)</f>
        <v/>
      </c>
      <c r="G164">
        <f>IF($B164="","",IF(COUNTIFS('Class Reports'!A:A,$A164,'Class Reports'!D:D,$B164,'Class Reports'!G:G,"Poor") + COUNTIFS('Class Reports'!A:A,$A164,'Class Reports'!D:D,$B164,'Class Reports'!H:H,"Low")=0,20,10))</f>
        <v/>
      </c>
      <c r="H164">
        <f>IF($B164="","",IF(COUNTIFS('Subject Reports'!A:A,$A164,'Subject Reports'!D:D,$B164,'Subject Reports'!G:G,"Behind")=0,20,10))</f>
        <v/>
      </c>
      <c r="I164">
        <f>IF($B164="","",SUM(D164:H164))</f>
        <v/>
      </c>
      <c r="J164">
        <f>IF($I164="","",RANK($I164,$I$2:$I$200,0))</f>
        <v/>
      </c>
      <c r="K164">
        <f>IF($I164="","",IF($I164&gt;=90,"Outstanding",IF($I164&gt;=75,"Very Good",IF($I164&gt;=60,"Good","Needs Support"))))</f>
        <v/>
      </c>
    </row>
    <row r="165">
      <c r="D165">
        <f>IF(COUNTIFS('Staff Weekly'!A:A,$A165,'Staff Weekly'!C:C,$B165,'Staff Weekly'!F:F,"Yes")&gt;0,20,0)</f>
        <v/>
      </c>
      <c r="E165">
        <f>IF(COUNTIFS('Staff Weekly'!A:A,$A165,'Staff Weekly'!C:C,$B165,'Staff Weekly'!G:G,"Yes")&gt;0,20,0)</f>
        <v/>
      </c>
      <c r="F165">
        <f>IF(COUNTIFS('Staff Weekly'!A:A,$A165,'Staff Weekly'!C:C,$B165,'Staff Weekly'!D:D,"Yes")&gt;0,20,0)</f>
        <v/>
      </c>
      <c r="G165">
        <f>IF($B165="","",IF(COUNTIFS('Class Reports'!A:A,$A165,'Class Reports'!D:D,$B165,'Class Reports'!G:G,"Poor") + COUNTIFS('Class Reports'!A:A,$A165,'Class Reports'!D:D,$B165,'Class Reports'!H:H,"Low")=0,20,10))</f>
        <v/>
      </c>
      <c r="H165">
        <f>IF($B165="","",IF(COUNTIFS('Subject Reports'!A:A,$A165,'Subject Reports'!D:D,$B165,'Subject Reports'!G:G,"Behind")=0,20,10))</f>
        <v/>
      </c>
      <c r="I165">
        <f>IF($B165="","",SUM(D165:H165))</f>
        <v/>
      </c>
      <c r="J165">
        <f>IF($I165="","",RANK($I165,$I$2:$I$200,0))</f>
        <v/>
      </c>
      <c r="K165">
        <f>IF($I165="","",IF($I165&gt;=90,"Outstanding",IF($I165&gt;=75,"Very Good",IF($I165&gt;=60,"Good","Needs Support"))))</f>
        <v/>
      </c>
    </row>
    <row r="166">
      <c r="D166">
        <f>IF(COUNTIFS('Staff Weekly'!A:A,$A166,'Staff Weekly'!C:C,$B166,'Staff Weekly'!F:F,"Yes")&gt;0,20,0)</f>
        <v/>
      </c>
      <c r="E166">
        <f>IF(COUNTIFS('Staff Weekly'!A:A,$A166,'Staff Weekly'!C:C,$B166,'Staff Weekly'!G:G,"Yes")&gt;0,20,0)</f>
        <v/>
      </c>
      <c r="F166">
        <f>IF(COUNTIFS('Staff Weekly'!A:A,$A166,'Staff Weekly'!C:C,$B166,'Staff Weekly'!D:D,"Yes")&gt;0,20,0)</f>
        <v/>
      </c>
      <c r="G166">
        <f>IF($B166="","",IF(COUNTIFS('Class Reports'!A:A,$A166,'Class Reports'!D:D,$B166,'Class Reports'!G:G,"Poor") + COUNTIFS('Class Reports'!A:A,$A166,'Class Reports'!D:D,$B166,'Class Reports'!H:H,"Low")=0,20,10))</f>
        <v/>
      </c>
      <c r="H166">
        <f>IF($B166="","",IF(COUNTIFS('Subject Reports'!A:A,$A166,'Subject Reports'!D:D,$B166,'Subject Reports'!G:G,"Behind")=0,20,10))</f>
        <v/>
      </c>
      <c r="I166">
        <f>IF($B166="","",SUM(D166:H166))</f>
        <v/>
      </c>
      <c r="J166">
        <f>IF($I166="","",RANK($I166,$I$2:$I$200,0))</f>
        <v/>
      </c>
      <c r="K166">
        <f>IF($I166="","",IF($I166&gt;=90,"Outstanding",IF($I166&gt;=75,"Very Good",IF($I166&gt;=60,"Good","Needs Support"))))</f>
        <v/>
      </c>
    </row>
    <row r="167">
      <c r="D167">
        <f>IF(COUNTIFS('Staff Weekly'!A:A,$A167,'Staff Weekly'!C:C,$B167,'Staff Weekly'!F:F,"Yes")&gt;0,20,0)</f>
        <v/>
      </c>
      <c r="E167">
        <f>IF(COUNTIFS('Staff Weekly'!A:A,$A167,'Staff Weekly'!C:C,$B167,'Staff Weekly'!G:G,"Yes")&gt;0,20,0)</f>
        <v/>
      </c>
      <c r="F167">
        <f>IF(COUNTIFS('Staff Weekly'!A:A,$A167,'Staff Weekly'!C:C,$B167,'Staff Weekly'!D:D,"Yes")&gt;0,20,0)</f>
        <v/>
      </c>
      <c r="G167">
        <f>IF($B167="","",IF(COUNTIFS('Class Reports'!A:A,$A167,'Class Reports'!D:D,$B167,'Class Reports'!G:G,"Poor") + COUNTIFS('Class Reports'!A:A,$A167,'Class Reports'!D:D,$B167,'Class Reports'!H:H,"Low")=0,20,10))</f>
        <v/>
      </c>
      <c r="H167">
        <f>IF($B167="","",IF(COUNTIFS('Subject Reports'!A:A,$A167,'Subject Reports'!D:D,$B167,'Subject Reports'!G:G,"Behind")=0,20,10))</f>
        <v/>
      </c>
      <c r="I167">
        <f>IF($B167="","",SUM(D167:H167))</f>
        <v/>
      </c>
      <c r="J167">
        <f>IF($I167="","",RANK($I167,$I$2:$I$200,0))</f>
        <v/>
      </c>
      <c r="K167">
        <f>IF($I167="","",IF($I167&gt;=90,"Outstanding",IF($I167&gt;=75,"Very Good",IF($I167&gt;=60,"Good","Needs Support"))))</f>
        <v/>
      </c>
    </row>
    <row r="168">
      <c r="D168">
        <f>IF(COUNTIFS('Staff Weekly'!A:A,$A168,'Staff Weekly'!C:C,$B168,'Staff Weekly'!F:F,"Yes")&gt;0,20,0)</f>
        <v/>
      </c>
      <c r="E168">
        <f>IF(COUNTIFS('Staff Weekly'!A:A,$A168,'Staff Weekly'!C:C,$B168,'Staff Weekly'!G:G,"Yes")&gt;0,20,0)</f>
        <v/>
      </c>
      <c r="F168">
        <f>IF(COUNTIFS('Staff Weekly'!A:A,$A168,'Staff Weekly'!C:C,$B168,'Staff Weekly'!D:D,"Yes")&gt;0,20,0)</f>
        <v/>
      </c>
      <c r="G168">
        <f>IF($B168="","",IF(COUNTIFS('Class Reports'!A:A,$A168,'Class Reports'!D:D,$B168,'Class Reports'!G:G,"Poor") + COUNTIFS('Class Reports'!A:A,$A168,'Class Reports'!D:D,$B168,'Class Reports'!H:H,"Low")=0,20,10))</f>
        <v/>
      </c>
      <c r="H168">
        <f>IF($B168="","",IF(COUNTIFS('Subject Reports'!A:A,$A168,'Subject Reports'!D:D,$B168,'Subject Reports'!G:G,"Behind")=0,20,10))</f>
        <v/>
      </c>
      <c r="I168">
        <f>IF($B168="","",SUM(D168:H168))</f>
        <v/>
      </c>
      <c r="J168">
        <f>IF($I168="","",RANK($I168,$I$2:$I$200,0))</f>
        <v/>
      </c>
      <c r="K168">
        <f>IF($I168="","",IF($I168&gt;=90,"Outstanding",IF($I168&gt;=75,"Very Good",IF($I168&gt;=60,"Good","Needs Support"))))</f>
        <v/>
      </c>
    </row>
    <row r="169">
      <c r="D169">
        <f>IF(COUNTIFS('Staff Weekly'!A:A,$A169,'Staff Weekly'!C:C,$B169,'Staff Weekly'!F:F,"Yes")&gt;0,20,0)</f>
        <v/>
      </c>
      <c r="E169">
        <f>IF(COUNTIFS('Staff Weekly'!A:A,$A169,'Staff Weekly'!C:C,$B169,'Staff Weekly'!G:G,"Yes")&gt;0,20,0)</f>
        <v/>
      </c>
      <c r="F169">
        <f>IF(COUNTIFS('Staff Weekly'!A:A,$A169,'Staff Weekly'!C:C,$B169,'Staff Weekly'!D:D,"Yes")&gt;0,20,0)</f>
        <v/>
      </c>
      <c r="G169">
        <f>IF($B169="","",IF(COUNTIFS('Class Reports'!A:A,$A169,'Class Reports'!D:D,$B169,'Class Reports'!G:G,"Poor") + COUNTIFS('Class Reports'!A:A,$A169,'Class Reports'!D:D,$B169,'Class Reports'!H:H,"Low")=0,20,10))</f>
        <v/>
      </c>
      <c r="H169">
        <f>IF($B169="","",IF(COUNTIFS('Subject Reports'!A:A,$A169,'Subject Reports'!D:D,$B169,'Subject Reports'!G:G,"Behind")=0,20,10))</f>
        <v/>
      </c>
      <c r="I169">
        <f>IF($B169="","",SUM(D169:H169))</f>
        <v/>
      </c>
      <c r="J169">
        <f>IF($I169="","",RANK($I169,$I$2:$I$200,0))</f>
        <v/>
      </c>
      <c r="K169">
        <f>IF($I169="","",IF($I169&gt;=90,"Outstanding",IF($I169&gt;=75,"Very Good",IF($I169&gt;=60,"Good","Needs Support"))))</f>
        <v/>
      </c>
    </row>
    <row r="170">
      <c r="D170">
        <f>IF(COUNTIFS('Staff Weekly'!A:A,$A170,'Staff Weekly'!C:C,$B170,'Staff Weekly'!F:F,"Yes")&gt;0,20,0)</f>
        <v/>
      </c>
      <c r="E170">
        <f>IF(COUNTIFS('Staff Weekly'!A:A,$A170,'Staff Weekly'!C:C,$B170,'Staff Weekly'!G:G,"Yes")&gt;0,20,0)</f>
        <v/>
      </c>
      <c r="F170">
        <f>IF(COUNTIFS('Staff Weekly'!A:A,$A170,'Staff Weekly'!C:C,$B170,'Staff Weekly'!D:D,"Yes")&gt;0,20,0)</f>
        <v/>
      </c>
      <c r="G170">
        <f>IF($B170="","",IF(COUNTIFS('Class Reports'!A:A,$A170,'Class Reports'!D:D,$B170,'Class Reports'!G:G,"Poor") + COUNTIFS('Class Reports'!A:A,$A170,'Class Reports'!D:D,$B170,'Class Reports'!H:H,"Low")=0,20,10))</f>
        <v/>
      </c>
      <c r="H170">
        <f>IF($B170="","",IF(COUNTIFS('Subject Reports'!A:A,$A170,'Subject Reports'!D:D,$B170,'Subject Reports'!G:G,"Behind")=0,20,10))</f>
        <v/>
      </c>
      <c r="I170">
        <f>IF($B170="","",SUM(D170:H170))</f>
        <v/>
      </c>
      <c r="J170">
        <f>IF($I170="","",RANK($I170,$I$2:$I$200,0))</f>
        <v/>
      </c>
      <c r="K170">
        <f>IF($I170="","",IF($I170&gt;=90,"Outstanding",IF($I170&gt;=75,"Very Good",IF($I170&gt;=60,"Good","Needs Support"))))</f>
        <v/>
      </c>
    </row>
    <row r="171">
      <c r="D171">
        <f>IF(COUNTIFS('Staff Weekly'!A:A,$A171,'Staff Weekly'!C:C,$B171,'Staff Weekly'!F:F,"Yes")&gt;0,20,0)</f>
        <v/>
      </c>
      <c r="E171">
        <f>IF(COUNTIFS('Staff Weekly'!A:A,$A171,'Staff Weekly'!C:C,$B171,'Staff Weekly'!G:G,"Yes")&gt;0,20,0)</f>
        <v/>
      </c>
      <c r="F171">
        <f>IF(COUNTIFS('Staff Weekly'!A:A,$A171,'Staff Weekly'!C:C,$B171,'Staff Weekly'!D:D,"Yes")&gt;0,20,0)</f>
        <v/>
      </c>
      <c r="G171">
        <f>IF($B171="","",IF(COUNTIFS('Class Reports'!A:A,$A171,'Class Reports'!D:D,$B171,'Class Reports'!G:G,"Poor") + COUNTIFS('Class Reports'!A:A,$A171,'Class Reports'!D:D,$B171,'Class Reports'!H:H,"Low")=0,20,10))</f>
        <v/>
      </c>
      <c r="H171">
        <f>IF($B171="","",IF(COUNTIFS('Subject Reports'!A:A,$A171,'Subject Reports'!D:D,$B171,'Subject Reports'!G:G,"Behind")=0,20,10))</f>
        <v/>
      </c>
      <c r="I171">
        <f>IF($B171="","",SUM(D171:H171))</f>
        <v/>
      </c>
      <c r="J171">
        <f>IF($I171="","",RANK($I171,$I$2:$I$200,0))</f>
        <v/>
      </c>
      <c r="K171">
        <f>IF($I171="","",IF($I171&gt;=90,"Outstanding",IF($I171&gt;=75,"Very Good",IF($I171&gt;=60,"Good","Needs Support"))))</f>
        <v/>
      </c>
    </row>
    <row r="172">
      <c r="D172">
        <f>IF(COUNTIFS('Staff Weekly'!A:A,$A172,'Staff Weekly'!C:C,$B172,'Staff Weekly'!F:F,"Yes")&gt;0,20,0)</f>
        <v/>
      </c>
      <c r="E172">
        <f>IF(COUNTIFS('Staff Weekly'!A:A,$A172,'Staff Weekly'!C:C,$B172,'Staff Weekly'!G:G,"Yes")&gt;0,20,0)</f>
        <v/>
      </c>
      <c r="F172">
        <f>IF(COUNTIFS('Staff Weekly'!A:A,$A172,'Staff Weekly'!C:C,$B172,'Staff Weekly'!D:D,"Yes")&gt;0,20,0)</f>
        <v/>
      </c>
      <c r="G172">
        <f>IF($B172="","",IF(COUNTIFS('Class Reports'!A:A,$A172,'Class Reports'!D:D,$B172,'Class Reports'!G:G,"Poor") + COUNTIFS('Class Reports'!A:A,$A172,'Class Reports'!D:D,$B172,'Class Reports'!H:H,"Low")=0,20,10))</f>
        <v/>
      </c>
      <c r="H172">
        <f>IF($B172="","",IF(COUNTIFS('Subject Reports'!A:A,$A172,'Subject Reports'!D:D,$B172,'Subject Reports'!G:G,"Behind")=0,20,10))</f>
        <v/>
      </c>
      <c r="I172">
        <f>IF($B172="","",SUM(D172:H172))</f>
        <v/>
      </c>
      <c r="J172">
        <f>IF($I172="","",RANK($I172,$I$2:$I$200,0))</f>
        <v/>
      </c>
      <c r="K172">
        <f>IF($I172="","",IF($I172&gt;=90,"Outstanding",IF($I172&gt;=75,"Very Good",IF($I172&gt;=60,"Good","Needs Support"))))</f>
        <v/>
      </c>
    </row>
    <row r="173">
      <c r="D173">
        <f>IF(COUNTIFS('Staff Weekly'!A:A,$A173,'Staff Weekly'!C:C,$B173,'Staff Weekly'!F:F,"Yes")&gt;0,20,0)</f>
        <v/>
      </c>
      <c r="E173">
        <f>IF(COUNTIFS('Staff Weekly'!A:A,$A173,'Staff Weekly'!C:C,$B173,'Staff Weekly'!G:G,"Yes")&gt;0,20,0)</f>
        <v/>
      </c>
      <c r="F173">
        <f>IF(COUNTIFS('Staff Weekly'!A:A,$A173,'Staff Weekly'!C:C,$B173,'Staff Weekly'!D:D,"Yes")&gt;0,20,0)</f>
        <v/>
      </c>
      <c r="G173">
        <f>IF($B173="","",IF(COUNTIFS('Class Reports'!A:A,$A173,'Class Reports'!D:D,$B173,'Class Reports'!G:G,"Poor") + COUNTIFS('Class Reports'!A:A,$A173,'Class Reports'!D:D,$B173,'Class Reports'!H:H,"Low")=0,20,10))</f>
        <v/>
      </c>
      <c r="H173">
        <f>IF($B173="","",IF(COUNTIFS('Subject Reports'!A:A,$A173,'Subject Reports'!D:D,$B173,'Subject Reports'!G:G,"Behind")=0,20,10))</f>
        <v/>
      </c>
      <c r="I173">
        <f>IF($B173="","",SUM(D173:H173))</f>
        <v/>
      </c>
      <c r="J173">
        <f>IF($I173="","",RANK($I173,$I$2:$I$200,0))</f>
        <v/>
      </c>
      <c r="K173">
        <f>IF($I173="","",IF($I173&gt;=90,"Outstanding",IF($I173&gt;=75,"Very Good",IF($I173&gt;=60,"Good","Needs Support"))))</f>
        <v/>
      </c>
    </row>
    <row r="174">
      <c r="D174">
        <f>IF(COUNTIFS('Staff Weekly'!A:A,$A174,'Staff Weekly'!C:C,$B174,'Staff Weekly'!F:F,"Yes")&gt;0,20,0)</f>
        <v/>
      </c>
      <c r="E174">
        <f>IF(COUNTIFS('Staff Weekly'!A:A,$A174,'Staff Weekly'!C:C,$B174,'Staff Weekly'!G:G,"Yes")&gt;0,20,0)</f>
        <v/>
      </c>
      <c r="F174">
        <f>IF(COUNTIFS('Staff Weekly'!A:A,$A174,'Staff Weekly'!C:C,$B174,'Staff Weekly'!D:D,"Yes")&gt;0,20,0)</f>
        <v/>
      </c>
      <c r="G174">
        <f>IF($B174="","",IF(COUNTIFS('Class Reports'!A:A,$A174,'Class Reports'!D:D,$B174,'Class Reports'!G:G,"Poor") + COUNTIFS('Class Reports'!A:A,$A174,'Class Reports'!D:D,$B174,'Class Reports'!H:H,"Low")=0,20,10))</f>
        <v/>
      </c>
      <c r="H174">
        <f>IF($B174="","",IF(COUNTIFS('Subject Reports'!A:A,$A174,'Subject Reports'!D:D,$B174,'Subject Reports'!G:G,"Behind")=0,20,10))</f>
        <v/>
      </c>
      <c r="I174">
        <f>IF($B174="","",SUM(D174:H174))</f>
        <v/>
      </c>
      <c r="J174">
        <f>IF($I174="","",RANK($I174,$I$2:$I$200,0))</f>
        <v/>
      </c>
      <c r="K174">
        <f>IF($I174="","",IF($I174&gt;=90,"Outstanding",IF($I174&gt;=75,"Very Good",IF($I174&gt;=60,"Good","Needs Support"))))</f>
        <v/>
      </c>
    </row>
    <row r="175">
      <c r="D175">
        <f>IF(COUNTIFS('Staff Weekly'!A:A,$A175,'Staff Weekly'!C:C,$B175,'Staff Weekly'!F:F,"Yes")&gt;0,20,0)</f>
        <v/>
      </c>
      <c r="E175">
        <f>IF(COUNTIFS('Staff Weekly'!A:A,$A175,'Staff Weekly'!C:C,$B175,'Staff Weekly'!G:G,"Yes")&gt;0,20,0)</f>
        <v/>
      </c>
      <c r="F175">
        <f>IF(COUNTIFS('Staff Weekly'!A:A,$A175,'Staff Weekly'!C:C,$B175,'Staff Weekly'!D:D,"Yes")&gt;0,20,0)</f>
        <v/>
      </c>
      <c r="G175">
        <f>IF($B175="","",IF(COUNTIFS('Class Reports'!A:A,$A175,'Class Reports'!D:D,$B175,'Class Reports'!G:G,"Poor") + COUNTIFS('Class Reports'!A:A,$A175,'Class Reports'!D:D,$B175,'Class Reports'!H:H,"Low")=0,20,10))</f>
        <v/>
      </c>
      <c r="H175">
        <f>IF($B175="","",IF(COUNTIFS('Subject Reports'!A:A,$A175,'Subject Reports'!D:D,$B175,'Subject Reports'!G:G,"Behind")=0,20,10))</f>
        <v/>
      </c>
      <c r="I175">
        <f>IF($B175="","",SUM(D175:H175))</f>
        <v/>
      </c>
      <c r="J175">
        <f>IF($I175="","",RANK($I175,$I$2:$I$200,0))</f>
        <v/>
      </c>
      <c r="K175">
        <f>IF($I175="","",IF($I175&gt;=90,"Outstanding",IF($I175&gt;=75,"Very Good",IF($I175&gt;=60,"Good","Needs Support"))))</f>
        <v/>
      </c>
    </row>
    <row r="176">
      <c r="D176">
        <f>IF(COUNTIFS('Staff Weekly'!A:A,$A176,'Staff Weekly'!C:C,$B176,'Staff Weekly'!F:F,"Yes")&gt;0,20,0)</f>
        <v/>
      </c>
      <c r="E176">
        <f>IF(COUNTIFS('Staff Weekly'!A:A,$A176,'Staff Weekly'!C:C,$B176,'Staff Weekly'!G:G,"Yes")&gt;0,20,0)</f>
        <v/>
      </c>
      <c r="F176">
        <f>IF(COUNTIFS('Staff Weekly'!A:A,$A176,'Staff Weekly'!C:C,$B176,'Staff Weekly'!D:D,"Yes")&gt;0,20,0)</f>
        <v/>
      </c>
      <c r="G176">
        <f>IF($B176="","",IF(COUNTIFS('Class Reports'!A:A,$A176,'Class Reports'!D:D,$B176,'Class Reports'!G:G,"Poor") + COUNTIFS('Class Reports'!A:A,$A176,'Class Reports'!D:D,$B176,'Class Reports'!H:H,"Low")=0,20,10))</f>
        <v/>
      </c>
      <c r="H176">
        <f>IF($B176="","",IF(COUNTIFS('Subject Reports'!A:A,$A176,'Subject Reports'!D:D,$B176,'Subject Reports'!G:G,"Behind")=0,20,10))</f>
        <v/>
      </c>
      <c r="I176">
        <f>IF($B176="","",SUM(D176:H176))</f>
        <v/>
      </c>
      <c r="J176">
        <f>IF($I176="","",RANK($I176,$I$2:$I$200,0))</f>
        <v/>
      </c>
      <c r="K176">
        <f>IF($I176="","",IF($I176&gt;=90,"Outstanding",IF($I176&gt;=75,"Very Good",IF($I176&gt;=60,"Good","Needs Support"))))</f>
        <v/>
      </c>
    </row>
    <row r="177">
      <c r="D177">
        <f>IF(COUNTIFS('Staff Weekly'!A:A,$A177,'Staff Weekly'!C:C,$B177,'Staff Weekly'!F:F,"Yes")&gt;0,20,0)</f>
        <v/>
      </c>
      <c r="E177">
        <f>IF(COUNTIFS('Staff Weekly'!A:A,$A177,'Staff Weekly'!C:C,$B177,'Staff Weekly'!G:G,"Yes")&gt;0,20,0)</f>
        <v/>
      </c>
      <c r="F177">
        <f>IF(COUNTIFS('Staff Weekly'!A:A,$A177,'Staff Weekly'!C:C,$B177,'Staff Weekly'!D:D,"Yes")&gt;0,20,0)</f>
        <v/>
      </c>
      <c r="G177">
        <f>IF($B177="","",IF(COUNTIFS('Class Reports'!A:A,$A177,'Class Reports'!D:D,$B177,'Class Reports'!G:G,"Poor") + COUNTIFS('Class Reports'!A:A,$A177,'Class Reports'!D:D,$B177,'Class Reports'!H:H,"Low")=0,20,10))</f>
        <v/>
      </c>
      <c r="H177">
        <f>IF($B177="","",IF(COUNTIFS('Subject Reports'!A:A,$A177,'Subject Reports'!D:D,$B177,'Subject Reports'!G:G,"Behind")=0,20,10))</f>
        <v/>
      </c>
      <c r="I177">
        <f>IF($B177="","",SUM(D177:H177))</f>
        <v/>
      </c>
      <c r="J177">
        <f>IF($I177="","",RANK($I177,$I$2:$I$200,0))</f>
        <v/>
      </c>
      <c r="K177">
        <f>IF($I177="","",IF($I177&gt;=90,"Outstanding",IF($I177&gt;=75,"Very Good",IF($I177&gt;=60,"Good","Needs Support"))))</f>
        <v/>
      </c>
    </row>
    <row r="178">
      <c r="D178">
        <f>IF(COUNTIFS('Staff Weekly'!A:A,$A178,'Staff Weekly'!C:C,$B178,'Staff Weekly'!F:F,"Yes")&gt;0,20,0)</f>
        <v/>
      </c>
      <c r="E178">
        <f>IF(COUNTIFS('Staff Weekly'!A:A,$A178,'Staff Weekly'!C:C,$B178,'Staff Weekly'!G:G,"Yes")&gt;0,20,0)</f>
        <v/>
      </c>
      <c r="F178">
        <f>IF(COUNTIFS('Staff Weekly'!A:A,$A178,'Staff Weekly'!C:C,$B178,'Staff Weekly'!D:D,"Yes")&gt;0,20,0)</f>
        <v/>
      </c>
      <c r="G178">
        <f>IF($B178="","",IF(COUNTIFS('Class Reports'!A:A,$A178,'Class Reports'!D:D,$B178,'Class Reports'!G:G,"Poor") + COUNTIFS('Class Reports'!A:A,$A178,'Class Reports'!D:D,$B178,'Class Reports'!H:H,"Low")=0,20,10))</f>
        <v/>
      </c>
      <c r="H178">
        <f>IF($B178="","",IF(COUNTIFS('Subject Reports'!A:A,$A178,'Subject Reports'!D:D,$B178,'Subject Reports'!G:G,"Behind")=0,20,10))</f>
        <v/>
      </c>
      <c r="I178">
        <f>IF($B178="","",SUM(D178:H178))</f>
        <v/>
      </c>
      <c r="J178">
        <f>IF($I178="","",RANK($I178,$I$2:$I$200,0))</f>
        <v/>
      </c>
      <c r="K178">
        <f>IF($I178="","",IF($I178&gt;=90,"Outstanding",IF($I178&gt;=75,"Very Good",IF($I178&gt;=60,"Good","Needs Support"))))</f>
        <v/>
      </c>
    </row>
    <row r="179">
      <c r="D179">
        <f>IF(COUNTIFS('Staff Weekly'!A:A,$A179,'Staff Weekly'!C:C,$B179,'Staff Weekly'!F:F,"Yes")&gt;0,20,0)</f>
        <v/>
      </c>
      <c r="E179">
        <f>IF(COUNTIFS('Staff Weekly'!A:A,$A179,'Staff Weekly'!C:C,$B179,'Staff Weekly'!G:G,"Yes")&gt;0,20,0)</f>
        <v/>
      </c>
      <c r="F179">
        <f>IF(COUNTIFS('Staff Weekly'!A:A,$A179,'Staff Weekly'!C:C,$B179,'Staff Weekly'!D:D,"Yes")&gt;0,20,0)</f>
        <v/>
      </c>
      <c r="G179">
        <f>IF($B179="","",IF(COUNTIFS('Class Reports'!A:A,$A179,'Class Reports'!D:D,$B179,'Class Reports'!G:G,"Poor") + COUNTIFS('Class Reports'!A:A,$A179,'Class Reports'!D:D,$B179,'Class Reports'!H:H,"Low")=0,20,10))</f>
        <v/>
      </c>
      <c r="H179">
        <f>IF($B179="","",IF(COUNTIFS('Subject Reports'!A:A,$A179,'Subject Reports'!D:D,$B179,'Subject Reports'!G:G,"Behind")=0,20,10))</f>
        <v/>
      </c>
      <c r="I179">
        <f>IF($B179="","",SUM(D179:H179))</f>
        <v/>
      </c>
      <c r="J179">
        <f>IF($I179="","",RANK($I179,$I$2:$I$200,0))</f>
        <v/>
      </c>
      <c r="K179">
        <f>IF($I179="","",IF($I179&gt;=90,"Outstanding",IF($I179&gt;=75,"Very Good",IF($I179&gt;=60,"Good","Needs Support"))))</f>
        <v/>
      </c>
    </row>
    <row r="180">
      <c r="D180">
        <f>IF(COUNTIFS('Staff Weekly'!A:A,$A180,'Staff Weekly'!C:C,$B180,'Staff Weekly'!F:F,"Yes")&gt;0,20,0)</f>
        <v/>
      </c>
      <c r="E180">
        <f>IF(COUNTIFS('Staff Weekly'!A:A,$A180,'Staff Weekly'!C:C,$B180,'Staff Weekly'!G:G,"Yes")&gt;0,20,0)</f>
        <v/>
      </c>
      <c r="F180">
        <f>IF(COUNTIFS('Staff Weekly'!A:A,$A180,'Staff Weekly'!C:C,$B180,'Staff Weekly'!D:D,"Yes")&gt;0,20,0)</f>
        <v/>
      </c>
      <c r="G180">
        <f>IF($B180="","",IF(COUNTIFS('Class Reports'!A:A,$A180,'Class Reports'!D:D,$B180,'Class Reports'!G:G,"Poor") + COUNTIFS('Class Reports'!A:A,$A180,'Class Reports'!D:D,$B180,'Class Reports'!H:H,"Low")=0,20,10))</f>
        <v/>
      </c>
      <c r="H180">
        <f>IF($B180="","",IF(COUNTIFS('Subject Reports'!A:A,$A180,'Subject Reports'!D:D,$B180,'Subject Reports'!G:G,"Behind")=0,20,10))</f>
        <v/>
      </c>
      <c r="I180">
        <f>IF($B180="","",SUM(D180:H180))</f>
        <v/>
      </c>
      <c r="J180">
        <f>IF($I180="","",RANK($I180,$I$2:$I$200,0))</f>
        <v/>
      </c>
      <c r="K180">
        <f>IF($I180="","",IF($I180&gt;=90,"Outstanding",IF($I180&gt;=75,"Very Good",IF($I180&gt;=60,"Good","Needs Support"))))</f>
        <v/>
      </c>
    </row>
    <row r="181">
      <c r="D181">
        <f>IF(COUNTIFS('Staff Weekly'!A:A,$A181,'Staff Weekly'!C:C,$B181,'Staff Weekly'!F:F,"Yes")&gt;0,20,0)</f>
        <v/>
      </c>
      <c r="E181">
        <f>IF(COUNTIFS('Staff Weekly'!A:A,$A181,'Staff Weekly'!C:C,$B181,'Staff Weekly'!G:G,"Yes")&gt;0,20,0)</f>
        <v/>
      </c>
      <c r="F181">
        <f>IF(COUNTIFS('Staff Weekly'!A:A,$A181,'Staff Weekly'!C:C,$B181,'Staff Weekly'!D:D,"Yes")&gt;0,20,0)</f>
        <v/>
      </c>
      <c r="G181">
        <f>IF($B181="","",IF(COUNTIFS('Class Reports'!A:A,$A181,'Class Reports'!D:D,$B181,'Class Reports'!G:G,"Poor") + COUNTIFS('Class Reports'!A:A,$A181,'Class Reports'!D:D,$B181,'Class Reports'!H:H,"Low")=0,20,10))</f>
        <v/>
      </c>
      <c r="H181">
        <f>IF($B181="","",IF(COUNTIFS('Subject Reports'!A:A,$A181,'Subject Reports'!D:D,$B181,'Subject Reports'!G:G,"Behind")=0,20,10))</f>
        <v/>
      </c>
      <c r="I181">
        <f>IF($B181="","",SUM(D181:H181))</f>
        <v/>
      </c>
      <c r="J181">
        <f>IF($I181="","",RANK($I181,$I$2:$I$200,0))</f>
        <v/>
      </c>
      <c r="K181">
        <f>IF($I181="","",IF($I181&gt;=90,"Outstanding",IF($I181&gt;=75,"Very Good",IF($I181&gt;=60,"Good","Needs Support"))))</f>
        <v/>
      </c>
    </row>
    <row r="182">
      <c r="D182">
        <f>IF(COUNTIFS('Staff Weekly'!A:A,$A182,'Staff Weekly'!C:C,$B182,'Staff Weekly'!F:F,"Yes")&gt;0,20,0)</f>
        <v/>
      </c>
      <c r="E182">
        <f>IF(COUNTIFS('Staff Weekly'!A:A,$A182,'Staff Weekly'!C:C,$B182,'Staff Weekly'!G:G,"Yes")&gt;0,20,0)</f>
        <v/>
      </c>
      <c r="F182">
        <f>IF(COUNTIFS('Staff Weekly'!A:A,$A182,'Staff Weekly'!C:C,$B182,'Staff Weekly'!D:D,"Yes")&gt;0,20,0)</f>
        <v/>
      </c>
      <c r="G182">
        <f>IF($B182="","",IF(COUNTIFS('Class Reports'!A:A,$A182,'Class Reports'!D:D,$B182,'Class Reports'!G:G,"Poor") + COUNTIFS('Class Reports'!A:A,$A182,'Class Reports'!D:D,$B182,'Class Reports'!H:H,"Low")=0,20,10))</f>
        <v/>
      </c>
      <c r="H182">
        <f>IF($B182="","",IF(COUNTIFS('Subject Reports'!A:A,$A182,'Subject Reports'!D:D,$B182,'Subject Reports'!G:G,"Behind")=0,20,10))</f>
        <v/>
      </c>
      <c r="I182">
        <f>IF($B182="","",SUM(D182:H182))</f>
        <v/>
      </c>
      <c r="J182">
        <f>IF($I182="","",RANK($I182,$I$2:$I$200,0))</f>
        <v/>
      </c>
      <c r="K182">
        <f>IF($I182="","",IF($I182&gt;=90,"Outstanding",IF($I182&gt;=75,"Very Good",IF($I182&gt;=60,"Good","Needs Support"))))</f>
        <v/>
      </c>
    </row>
    <row r="183">
      <c r="D183">
        <f>IF(COUNTIFS('Staff Weekly'!A:A,$A183,'Staff Weekly'!C:C,$B183,'Staff Weekly'!F:F,"Yes")&gt;0,20,0)</f>
        <v/>
      </c>
      <c r="E183">
        <f>IF(COUNTIFS('Staff Weekly'!A:A,$A183,'Staff Weekly'!C:C,$B183,'Staff Weekly'!G:G,"Yes")&gt;0,20,0)</f>
        <v/>
      </c>
      <c r="F183">
        <f>IF(COUNTIFS('Staff Weekly'!A:A,$A183,'Staff Weekly'!C:C,$B183,'Staff Weekly'!D:D,"Yes")&gt;0,20,0)</f>
        <v/>
      </c>
      <c r="G183">
        <f>IF($B183="","",IF(COUNTIFS('Class Reports'!A:A,$A183,'Class Reports'!D:D,$B183,'Class Reports'!G:G,"Poor") + COUNTIFS('Class Reports'!A:A,$A183,'Class Reports'!D:D,$B183,'Class Reports'!H:H,"Low")=0,20,10))</f>
        <v/>
      </c>
      <c r="H183">
        <f>IF($B183="","",IF(COUNTIFS('Subject Reports'!A:A,$A183,'Subject Reports'!D:D,$B183,'Subject Reports'!G:G,"Behind")=0,20,10))</f>
        <v/>
      </c>
      <c r="I183">
        <f>IF($B183="","",SUM(D183:H183))</f>
        <v/>
      </c>
      <c r="J183">
        <f>IF($I183="","",RANK($I183,$I$2:$I$200,0))</f>
        <v/>
      </c>
      <c r="K183">
        <f>IF($I183="","",IF($I183&gt;=90,"Outstanding",IF($I183&gt;=75,"Very Good",IF($I183&gt;=60,"Good","Needs Support"))))</f>
        <v/>
      </c>
    </row>
    <row r="184">
      <c r="D184">
        <f>IF(COUNTIFS('Staff Weekly'!A:A,$A184,'Staff Weekly'!C:C,$B184,'Staff Weekly'!F:F,"Yes")&gt;0,20,0)</f>
        <v/>
      </c>
      <c r="E184">
        <f>IF(COUNTIFS('Staff Weekly'!A:A,$A184,'Staff Weekly'!C:C,$B184,'Staff Weekly'!G:G,"Yes")&gt;0,20,0)</f>
        <v/>
      </c>
      <c r="F184">
        <f>IF(COUNTIFS('Staff Weekly'!A:A,$A184,'Staff Weekly'!C:C,$B184,'Staff Weekly'!D:D,"Yes")&gt;0,20,0)</f>
        <v/>
      </c>
      <c r="G184">
        <f>IF($B184="","",IF(COUNTIFS('Class Reports'!A:A,$A184,'Class Reports'!D:D,$B184,'Class Reports'!G:G,"Poor") + COUNTIFS('Class Reports'!A:A,$A184,'Class Reports'!D:D,$B184,'Class Reports'!H:H,"Low")=0,20,10))</f>
        <v/>
      </c>
      <c r="H184">
        <f>IF($B184="","",IF(COUNTIFS('Subject Reports'!A:A,$A184,'Subject Reports'!D:D,$B184,'Subject Reports'!G:G,"Behind")=0,20,10))</f>
        <v/>
      </c>
      <c r="I184">
        <f>IF($B184="","",SUM(D184:H184))</f>
        <v/>
      </c>
      <c r="J184">
        <f>IF($I184="","",RANK($I184,$I$2:$I$200,0))</f>
        <v/>
      </c>
      <c r="K184">
        <f>IF($I184="","",IF($I184&gt;=90,"Outstanding",IF($I184&gt;=75,"Very Good",IF($I184&gt;=60,"Good","Needs Support"))))</f>
        <v/>
      </c>
    </row>
    <row r="185">
      <c r="D185">
        <f>IF(COUNTIFS('Staff Weekly'!A:A,$A185,'Staff Weekly'!C:C,$B185,'Staff Weekly'!F:F,"Yes")&gt;0,20,0)</f>
        <v/>
      </c>
      <c r="E185">
        <f>IF(COUNTIFS('Staff Weekly'!A:A,$A185,'Staff Weekly'!C:C,$B185,'Staff Weekly'!G:G,"Yes")&gt;0,20,0)</f>
        <v/>
      </c>
      <c r="F185">
        <f>IF(COUNTIFS('Staff Weekly'!A:A,$A185,'Staff Weekly'!C:C,$B185,'Staff Weekly'!D:D,"Yes")&gt;0,20,0)</f>
        <v/>
      </c>
      <c r="G185">
        <f>IF($B185="","",IF(COUNTIFS('Class Reports'!A:A,$A185,'Class Reports'!D:D,$B185,'Class Reports'!G:G,"Poor") + COUNTIFS('Class Reports'!A:A,$A185,'Class Reports'!D:D,$B185,'Class Reports'!H:H,"Low")=0,20,10))</f>
        <v/>
      </c>
      <c r="H185">
        <f>IF($B185="","",IF(COUNTIFS('Subject Reports'!A:A,$A185,'Subject Reports'!D:D,$B185,'Subject Reports'!G:G,"Behind")=0,20,10))</f>
        <v/>
      </c>
      <c r="I185">
        <f>IF($B185="","",SUM(D185:H185))</f>
        <v/>
      </c>
      <c r="J185">
        <f>IF($I185="","",RANK($I185,$I$2:$I$200,0))</f>
        <v/>
      </c>
      <c r="K185">
        <f>IF($I185="","",IF($I185&gt;=90,"Outstanding",IF($I185&gt;=75,"Very Good",IF($I185&gt;=60,"Good","Needs Support"))))</f>
        <v/>
      </c>
    </row>
    <row r="186">
      <c r="D186">
        <f>IF(COUNTIFS('Staff Weekly'!A:A,$A186,'Staff Weekly'!C:C,$B186,'Staff Weekly'!F:F,"Yes")&gt;0,20,0)</f>
        <v/>
      </c>
      <c r="E186">
        <f>IF(COUNTIFS('Staff Weekly'!A:A,$A186,'Staff Weekly'!C:C,$B186,'Staff Weekly'!G:G,"Yes")&gt;0,20,0)</f>
        <v/>
      </c>
      <c r="F186">
        <f>IF(COUNTIFS('Staff Weekly'!A:A,$A186,'Staff Weekly'!C:C,$B186,'Staff Weekly'!D:D,"Yes")&gt;0,20,0)</f>
        <v/>
      </c>
      <c r="G186">
        <f>IF($B186="","",IF(COUNTIFS('Class Reports'!A:A,$A186,'Class Reports'!D:D,$B186,'Class Reports'!G:G,"Poor") + COUNTIFS('Class Reports'!A:A,$A186,'Class Reports'!D:D,$B186,'Class Reports'!H:H,"Low")=0,20,10))</f>
        <v/>
      </c>
      <c r="H186">
        <f>IF($B186="","",IF(COUNTIFS('Subject Reports'!A:A,$A186,'Subject Reports'!D:D,$B186,'Subject Reports'!G:G,"Behind")=0,20,10))</f>
        <v/>
      </c>
      <c r="I186">
        <f>IF($B186="","",SUM(D186:H186))</f>
        <v/>
      </c>
      <c r="J186">
        <f>IF($I186="","",RANK($I186,$I$2:$I$200,0))</f>
        <v/>
      </c>
      <c r="K186">
        <f>IF($I186="","",IF($I186&gt;=90,"Outstanding",IF($I186&gt;=75,"Very Good",IF($I186&gt;=60,"Good","Needs Support"))))</f>
        <v/>
      </c>
    </row>
    <row r="187">
      <c r="D187">
        <f>IF(COUNTIFS('Staff Weekly'!A:A,$A187,'Staff Weekly'!C:C,$B187,'Staff Weekly'!F:F,"Yes")&gt;0,20,0)</f>
        <v/>
      </c>
      <c r="E187">
        <f>IF(COUNTIFS('Staff Weekly'!A:A,$A187,'Staff Weekly'!C:C,$B187,'Staff Weekly'!G:G,"Yes")&gt;0,20,0)</f>
        <v/>
      </c>
      <c r="F187">
        <f>IF(COUNTIFS('Staff Weekly'!A:A,$A187,'Staff Weekly'!C:C,$B187,'Staff Weekly'!D:D,"Yes")&gt;0,20,0)</f>
        <v/>
      </c>
      <c r="G187">
        <f>IF($B187="","",IF(COUNTIFS('Class Reports'!A:A,$A187,'Class Reports'!D:D,$B187,'Class Reports'!G:G,"Poor") + COUNTIFS('Class Reports'!A:A,$A187,'Class Reports'!D:D,$B187,'Class Reports'!H:H,"Low")=0,20,10))</f>
        <v/>
      </c>
      <c r="H187">
        <f>IF($B187="","",IF(COUNTIFS('Subject Reports'!A:A,$A187,'Subject Reports'!D:D,$B187,'Subject Reports'!G:G,"Behind")=0,20,10))</f>
        <v/>
      </c>
      <c r="I187">
        <f>IF($B187="","",SUM(D187:H187))</f>
        <v/>
      </c>
      <c r="J187">
        <f>IF($I187="","",RANK($I187,$I$2:$I$200,0))</f>
        <v/>
      </c>
      <c r="K187">
        <f>IF($I187="","",IF($I187&gt;=90,"Outstanding",IF($I187&gt;=75,"Very Good",IF($I187&gt;=60,"Good","Needs Support"))))</f>
        <v/>
      </c>
    </row>
    <row r="188">
      <c r="D188">
        <f>IF(COUNTIFS('Staff Weekly'!A:A,$A188,'Staff Weekly'!C:C,$B188,'Staff Weekly'!F:F,"Yes")&gt;0,20,0)</f>
        <v/>
      </c>
      <c r="E188">
        <f>IF(COUNTIFS('Staff Weekly'!A:A,$A188,'Staff Weekly'!C:C,$B188,'Staff Weekly'!G:G,"Yes")&gt;0,20,0)</f>
        <v/>
      </c>
      <c r="F188">
        <f>IF(COUNTIFS('Staff Weekly'!A:A,$A188,'Staff Weekly'!C:C,$B188,'Staff Weekly'!D:D,"Yes")&gt;0,20,0)</f>
        <v/>
      </c>
      <c r="G188">
        <f>IF($B188="","",IF(COUNTIFS('Class Reports'!A:A,$A188,'Class Reports'!D:D,$B188,'Class Reports'!G:G,"Poor") + COUNTIFS('Class Reports'!A:A,$A188,'Class Reports'!D:D,$B188,'Class Reports'!H:H,"Low")=0,20,10))</f>
        <v/>
      </c>
      <c r="H188">
        <f>IF($B188="","",IF(COUNTIFS('Subject Reports'!A:A,$A188,'Subject Reports'!D:D,$B188,'Subject Reports'!G:G,"Behind")=0,20,10))</f>
        <v/>
      </c>
      <c r="I188">
        <f>IF($B188="","",SUM(D188:H188))</f>
        <v/>
      </c>
      <c r="J188">
        <f>IF($I188="","",RANK($I188,$I$2:$I$200,0))</f>
        <v/>
      </c>
      <c r="K188">
        <f>IF($I188="","",IF($I188&gt;=90,"Outstanding",IF($I188&gt;=75,"Very Good",IF($I188&gt;=60,"Good","Needs Support"))))</f>
        <v/>
      </c>
    </row>
    <row r="189">
      <c r="D189">
        <f>IF(COUNTIFS('Staff Weekly'!A:A,$A189,'Staff Weekly'!C:C,$B189,'Staff Weekly'!F:F,"Yes")&gt;0,20,0)</f>
        <v/>
      </c>
      <c r="E189">
        <f>IF(COUNTIFS('Staff Weekly'!A:A,$A189,'Staff Weekly'!C:C,$B189,'Staff Weekly'!G:G,"Yes")&gt;0,20,0)</f>
        <v/>
      </c>
      <c r="F189">
        <f>IF(COUNTIFS('Staff Weekly'!A:A,$A189,'Staff Weekly'!C:C,$B189,'Staff Weekly'!D:D,"Yes")&gt;0,20,0)</f>
        <v/>
      </c>
      <c r="G189">
        <f>IF($B189="","",IF(COUNTIFS('Class Reports'!A:A,$A189,'Class Reports'!D:D,$B189,'Class Reports'!G:G,"Poor") + COUNTIFS('Class Reports'!A:A,$A189,'Class Reports'!D:D,$B189,'Class Reports'!H:H,"Low")=0,20,10))</f>
        <v/>
      </c>
      <c r="H189">
        <f>IF($B189="","",IF(COUNTIFS('Subject Reports'!A:A,$A189,'Subject Reports'!D:D,$B189,'Subject Reports'!G:G,"Behind")=0,20,10))</f>
        <v/>
      </c>
      <c r="I189">
        <f>IF($B189="","",SUM(D189:H189))</f>
        <v/>
      </c>
      <c r="J189">
        <f>IF($I189="","",RANK($I189,$I$2:$I$200,0))</f>
        <v/>
      </c>
      <c r="K189">
        <f>IF($I189="","",IF($I189&gt;=90,"Outstanding",IF($I189&gt;=75,"Very Good",IF($I189&gt;=60,"Good","Needs Support"))))</f>
        <v/>
      </c>
    </row>
    <row r="190">
      <c r="D190">
        <f>IF(COUNTIFS('Staff Weekly'!A:A,$A190,'Staff Weekly'!C:C,$B190,'Staff Weekly'!F:F,"Yes")&gt;0,20,0)</f>
        <v/>
      </c>
      <c r="E190">
        <f>IF(COUNTIFS('Staff Weekly'!A:A,$A190,'Staff Weekly'!C:C,$B190,'Staff Weekly'!G:G,"Yes")&gt;0,20,0)</f>
        <v/>
      </c>
      <c r="F190">
        <f>IF(COUNTIFS('Staff Weekly'!A:A,$A190,'Staff Weekly'!C:C,$B190,'Staff Weekly'!D:D,"Yes")&gt;0,20,0)</f>
        <v/>
      </c>
      <c r="G190">
        <f>IF($B190="","",IF(COUNTIFS('Class Reports'!A:A,$A190,'Class Reports'!D:D,$B190,'Class Reports'!G:G,"Poor") + COUNTIFS('Class Reports'!A:A,$A190,'Class Reports'!D:D,$B190,'Class Reports'!H:H,"Low")=0,20,10))</f>
        <v/>
      </c>
      <c r="H190">
        <f>IF($B190="","",IF(COUNTIFS('Subject Reports'!A:A,$A190,'Subject Reports'!D:D,$B190,'Subject Reports'!G:G,"Behind")=0,20,10))</f>
        <v/>
      </c>
      <c r="I190">
        <f>IF($B190="","",SUM(D190:H190))</f>
        <v/>
      </c>
      <c r="J190">
        <f>IF($I190="","",RANK($I190,$I$2:$I$200,0))</f>
        <v/>
      </c>
      <c r="K190">
        <f>IF($I190="","",IF($I190&gt;=90,"Outstanding",IF($I190&gt;=75,"Very Good",IF($I190&gt;=60,"Good","Needs Support"))))</f>
        <v/>
      </c>
    </row>
    <row r="191">
      <c r="D191">
        <f>IF(COUNTIFS('Staff Weekly'!A:A,$A191,'Staff Weekly'!C:C,$B191,'Staff Weekly'!F:F,"Yes")&gt;0,20,0)</f>
        <v/>
      </c>
      <c r="E191">
        <f>IF(COUNTIFS('Staff Weekly'!A:A,$A191,'Staff Weekly'!C:C,$B191,'Staff Weekly'!G:G,"Yes")&gt;0,20,0)</f>
        <v/>
      </c>
      <c r="F191">
        <f>IF(COUNTIFS('Staff Weekly'!A:A,$A191,'Staff Weekly'!C:C,$B191,'Staff Weekly'!D:D,"Yes")&gt;0,20,0)</f>
        <v/>
      </c>
      <c r="G191">
        <f>IF($B191="","",IF(COUNTIFS('Class Reports'!A:A,$A191,'Class Reports'!D:D,$B191,'Class Reports'!G:G,"Poor") + COUNTIFS('Class Reports'!A:A,$A191,'Class Reports'!D:D,$B191,'Class Reports'!H:H,"Low")=0,20,10))</f>
        <v/>
      </c>
      <c r="H191">
        <f>IF($B191="","",IF(COUNTIFS('Subject Reports'!A:A,$A191,'Subject Reports'!D:D,$B191,'Subject Reports'!G:G,"Behind")=0,20,10))</f>
        <v/>
      </c>
      <c r="I191">
        <f>IF($B191="","",SUM(D191:H191))</f>
        <v/>
      </c>
      <c r="J191">
        <f>IF($I191="","",RANK($I191,$I$2:$I$200,0))</f>
        <v/>
      </c>
      <c r="K191">
        <f>IF($I191="","",IF($I191&gt;=90,"Outstanding",IF($I191&gt;=75,"Very Good",IF($I191&gt;=60,"Good","Needs Support"))))</f>
        <v/>
      </c>
    </row>
    <row r="192">
      <c r="D192">
        <f>IF(COUNTIFS('Staff Weekly'!A:A,$A192,'Staff Weekly'!C:C,$B192,'Staff Weekly'!F:F,"Yes")&gt;0,20,0)</f>
        <v/>
      </c>
      <c r="E192">
        <f>IF(COUNTIFS('Staff Weekly'!A:A,$A192,'Staff Weekly'!C:C,$B192,'Staff Weekly'!G:G,"Yes")&gt;0,20,0)</f>
        <v/>
      </c>
      <c r="F192">
        <f>IF(COUNTIFS('Staff Weekly'!A:A,$A192,'Staff Weekly'!C:C,$B192,'Staff Weekly'!D:D,"Yes")&gt;0,20,0)</f>
        <v/>
      </c>
      <c r="G192">
        <f>IF($B192="","",IF(COUNTIFS('Class Reports'!A:A,$A192,'Class Reports'!D:D,$B192,'Class Reports'!G:G,"Poor") + COUNTIFS('Class Reports'!A:A,$A192,'Class Reports'!D:D,$B192,'Class Reports'!H:H,"Low")=0,20,10))</f>
        <v/>
      </c>
      <c r="H192">
        <f>IF($B192="","",IF(COUNTIFS('Subject Reports'!A:A,$A192,'Subject Reports'!D:D,$B192,'Subject Reports'!G:G,"Behind")=0,20,10))</f>
        <v/>
      </c>
      <c r="I192">
        <f>IF($B192="","",SUM(D192:H192))</f>
        <v/>
      </c>
      <c r="J192">
        <f>IF($I192="","",RANK($I192,$I$2:$I$200,0))</f>
        <v/>
      </c>
      <c r="K192">
        <f>IF($I192="","",IF($I192&gt;=90,"Outstanding",IF($I192&gt;=75,"Very Good",IF($I192&gt;=60,"Good","Needs Support"))))</f>
        <v/>
      </c>
    </row>
    <row r="193">
      <c r="D193">
        <f>IF(COUNTIFS('Staff Weekly'!A:A,$A193,'Staff Weekly'!C:C,$B193,'Staff Weekly'!F:F,"Yes")&gt;0,20,0)</f>
        <v/>
      </c>
      <c r="E193">
        <f>IF(COUNTIFS('Staff Weekly'!A:A,$A193,'Staff Weekly'!C:C,$B193,'Staff Weekly'!G:G,"Yes")&gt;0,20,0)</f>
        <v/>
      </c>
      <c r="F193">
        <f>IF(COUNTIFS('Staff Weekly'!A:A,$A193,'Staff Weekly'!C:C,$B193,'Staff Weekly'!D:D,"Yes")&gt;0,20,0)</f>
        <v/>
      </c>
      <c r="G193">
        <f>IF($B193="","",IF(COUNTIFS('Class Reports'!A:A,$A193,'Class Reports'!D:D,$B193,'Class Reports'!G:G,"Poor") + COUNTIFS('Class Reports'!A:A,$A193,'Class Reports'!D:D,$B193,'Class Reports'!H:H,"Low")=0,20,10))</f>
        <v/>
      </c>
      <c r="H193">
        <f>IF($B193="","",IF(COUNTIFS('Subject Reports'!A:A,$A193,'Subject Reports'!D:D,$B193,'Subject Reports'!G:G,"Behind")=0,20,10))</f>
        <v/>
      </c>
      <c r="I193">
        <f>IF($B193="","",SUM(D193:H193))</f>
        <v/>
      </c>
      <c r="J193">
        <f>IF($I193="","",RANK($I193,$I$2:$I$200,0))</f>
        <v/>
      </c>
      <c r="K193">
        <f>IF($I193="","",IF($I193&gt;=90,"Outstanding",IF($I193&gt;=75,"Very Good",IF($I193&gt;=60,"Good","Needs Support"))))</f>
        <v/>
      </c>
    </row>
    <row r="194">
      <c r="D194">
        <f>IF(COUNTIFS('Staff Weekly'!A:A,$A194,'Staff Weekly'!C:C,$B194,'Staff Weekly'!F:F,"Yes")&gt;0,20,0)</f>
        <v/>
      </c>
      <c r="E194">
        <f>IF(COUNTIFS('Staff Weekly'!A:A,$A194,'Staff Weekly'!C:C,$B194,'Staff Weekly'!G:G,"Yes")&gt;0,20,0)</f>
        <v/>
      </c>
      <c r="F194">
        <f>IF(COUNTIFS('Staff Weekly'!A:A,$A194,'Staff Weekly'!C:C,$B194,'Staff Weekly'!D:D,"Yes")&gt;0,20,0)</f>
        <v/>
      </c>
      <c r="G194">
        <f>IF($B194="","",IF(COUNTIFS('Class Reports'!A:A,$A194,'Class Reports'!D:D,$B194,'Class Reports'!G:G,"Poor") + COUNTIFS('Class Reports'!A:A,$A194,'Class Reports'!D:D,$B194,'Class Reports'!H:H,"Low")=0,20,10))</f>
        <v/>
      </c>
      <c r="H194">
        <f>IF($B194="","",IF(COUNTIFS('Subject Reports'!A:A,$A194,'Subject Reports'!D:D,$B194,'Subject Reports'!G:G,"Behind")=0,20,10))</f>
        <v/>
      </c>
      <c r="I194">
        <f>IF($B194="","",SUM(D194:H194))</f>
        <v/>
      </c>
      <c r="J194">
        <f>IF($I194="","",RANK($I194,$I$2:$I$200,0))</f>
        <v/>
      </c>
      <c r="K194">
        <f>IF($I194="","",IF($I194&gt;=90,"Outstanding",IF($I194&gt;=75,"Very Good",IF($I194&gt;=60,"Good","Needs Support"))))</f>
        <v/>
      </c>
    </row>
    <row r="195">
      <c r="D195">
        <f>IF(COUNTIFS('Staff Weekly'!A:A,$A195,'Staff Weekly'!C:C,$B195,'Staff Weekly'!F:F,"Yes")&gt;0,20,0)</f>
        <v/>
      </c>
      <c r="E195">
        <f>IF(COUNTIFS('Staff Weekly'!A:A,$A195,'Staff Weekly'!C:C,$B195,'Staff Weekly'!G:G,"Yes")&gt;0,20,0)</f>
        <v/>
      </c>
      <c r="F195">
        <f>IF(COUNTIFS('Staff Weekly'!A:A,$A195,'Staff Weekly'!C:C,$B195,'Staff Weekly'!D:D,"Yes")&gt;0,20,0)</f>
        <v/>
      </c>
      <c r="G195">
        <f>IF($B195="","",IF(COUNTIFS('Class Reports'!A:A,$A195,'Class Reports'!D:D,$B195,'Class Reports'!G:G,"Poor") + COUNTIFS('Class Reports'!A:A,$A195,'Class Reports'!D:D,$B195,'Class Reports'!H:H,"Low")=0,20,10))</f>
        <v/>
      </c>
      <c r="H195">
        <f>IF($B195="","",IF(COUNTIFS('Subject Reports'!A:A,$A195,'Subject Reports'!D:D,$B195,'Subject Reports'!G:G,"Behind")=0,20,10))</f>
        <v/>
      </c>
      <c r="I195">
        <f>IF($B195="","",SUM(D195:H195))</f>
        <v/>
      </c>
      <c r="J195">
        <f>IF($I195="","",RANK($I195,$I$2:$I$200,0))</f>
        <v/>
      </c>
      <c r="K195">
        <f>IF($I195="","",IF($I195&gt;=90,"Outstanding",IF($I195&gt;=75,"Very Good",IF($I195&gt;=60,"Good","Needs Support"))))</f>
        <v/>
      </c>
    </row>
    <row r="196">
      <c r="D196">
        <f>IF(COUNTIFS('Staff Weekly'!A:A,$A196,'Staff Weekly'!C:C,$B196,'Staff Weekly'!F:F,"Yes")&gt;0,20,0)</f>
        <v/>
      </c>
      <c r="E196">
        <f>IF(COUNTIFS('Staff Weekly'!A:A,$A196,'Staff Weekly'!C:C,$B196,'Staff Weekly'!G:G,"Yes")&gt;0,20,0)</f>
        <v/>
      </c>
      <c r="F196">
        <f>IF(COUNTIFS('Staff Weekly'!A:A,$A196,'Staff Weekly'!C:C,$B196,'Staff Weekly'!D:D,"Yes")&gt;0,20,0)</f>
        <v/>
      </c>
      <c r="G196">
        <f>IF($B196="","",IF(COUNTIFS('Class Reports'!A:A,$A196,'Class Reports'!D:D,$B196,'Class Reports'!G:G,"Poor") + COUNTIFS('Class Reports'!A:A,$A196,'Class Reports'!D:D,$B196,'Class Reports'!H:H,"Low")=0,20,10))</f>
        <v/>
      </c>
      <c r="H196">
        <f>IF($B196="","",IF(COUNTIFS('Subject Reports'!A:A,$A196,'Subject Reports'!D:D,$B196,'Subject Reports'!G:G,"Behind")=0,20,10))</f>
        <v/>
      </c>
      <c r="I196">
        <f>IF($B196="","",SUM(D196:H196))</f>
        <v/>
      </c>
      <c r="J196">
        <f>IF($I196="","",RANK($I196,$I$2:$I$200,0))</f>
        <v/>
      </c>
      <c r="K196">
        <f>IF($I196="","",IF($I196&gt;=90,"Outstanding",IF($I196&gt;=75,"Very Good",IF($I196&gt;=60,"Good","Needs Support"))))</f>
        <v/>
      </c>
    </row>
    <row r="197">
      <c r="D197">
        <f>IF(COUNTIFS('Staff Weekly'!A:A,$A197,'Staff Weekly'!C:C,$B197,'Staff Weekly'!F:F,"Yes")&gt;0,20,0)</f>
        <v/>
      </c>
      <c r="E197">
        <f>IF(COUNTIFS('Staff Weekly'!A:A,$A197,'Staff Weekly'!C:C,$B197,'Staff Weekly'!G:G,"Yes")&gt;0,20,0)</f>
        <v/>
      </c>
      <c r="F197">
        <f>IF(COUNTIFS('Staff Weekly'!A:A,$A197,'Staff Weekly'!C:C,$B197,'Staff Weekly'!D:D,"Yes")&gt;0,20,0)</f>
        <v/>
      </c>
      <c r="G197">
        <f>IF($B197="","",IF(COUNTIFS('Class Reports'!A:A,$A197,'Class Reports'!D:D,$B197,'Class Reports'!G:G,"Poor") + COUNTIFS('Class Reports'!A:A,$A197,'Class Reports'!D:D,$B197,'Class Reports'!H:H,"Low")=0,20,10))</f>
        <v/>
      </c>
      <c r="H197">
        <f>IF($B197="","",IF(COUNTIFS('Subject Reports'!A:A,$A197,'Subject Reports'!D:D,$B197,'Subject Reports'!G:G,"Behind")=0,20,10))</f>
        <v/>
      </c>
      <c r="I197">
        <f>IF($B197="","",SUM(D197:H197))</f>
        <v/>
      </c>
      <c r="J197">
        <f>IF($I197="","",RANK($I197,$I$2:$I$200,0))</f>
        <v/>
      </c>
      <c r="K197">
        <f>IF($I197="","",IF($I197&gt;=90,"Outstanding",IF($I197&gt;=75,"Very Good",IF($I197&gt;=60,"Good","Needs Support"))))</f>
        <v/>
      </c>
    </row>
    <row r="198">
      <c r="D198">
        <f>IF(COUNTIFS('Staff Weekly'!A:A,$A198,'Staff Weekly'!C:C,$B198,'Staff Weekly'!F:F,"Yes")&gt;0,20,0)</f>
        <v/>
      </c>
      <c r="E198">
        <f>IF(COUNTIFS('Staff Weekly'!A:A,$A198,'Staff Weekly'!C:C,$B198,'Staff Weekly'!G:G,"Yes")&gt;0,20,0)</f>
        <v/>
      </c>
      <c r="F198">
        <f>IF(COUNTIFS('Staff Weekly'!A:A,$A198,'Staff Weekly'!C:C,$B198,'Staff Weekly'!D:D,"Yes")&gt;0,20,0)</f>
        <v/>
      </c>
      <c r="G198">
        <f>IF($B198="","",IF(COUNTIFS('Class Reports'!A:A,$A198,'Class Reports'!D:D,$B198,'Class Reports'!G:G,"Poor") + COUNTIFS('Class Reports'!A:A,$A198,'Class Reports'!D:D,$B198,'Class Reports'!H:H,"Low")=0,20,10))</f>
        <v/>
      </c>
      <c r="H198">
        <f>IF($B198="","",IF(COUNTIFS('Subject Reports'!A:A,$A198,'Subject Reports'!D:D,$B198,'Subject Reports'!G:G,"Behind")=0,20,10))</f>
        <v/>
      </c>
      <c r="I198">
        <f>IF($B198="","",SUM(D198:H198))</f>
        <v/>
      </c>
      <c r="J198">
        <f>IF($I198="","",RANK($I198,$I$2:$I$200,0))</f>
        <v/>
      </c>
      <c r="K198">
        <f>IF($I198="","",IF($I198&gt;=90,"Outstanding",IF($I198&gt;=75,"Very Good",IF($I198&gt;=60,"Good","Needs Support"))))</f>
        <v/>
      </c>
    </row>
    <row r="199">
      <c r="D199">
        <f>IF(COUNTIFS('Staff Weekly'!A:A,$A199,'Staff Weekly'!C:C,$B199,'Staff Weekly'!F:F,"Yes")&gt;0,20,0)</f>
        <v/>
      </c>
      <c r="E199">
        <f>IF(COUNTIFS('Staff Weekly'!A:A,$A199,'Staff Weekly'!C:C,$B199,'Staff Weekly'!G:G,"Yes")&gt;0,20,0)</f>
        <v/>
      </c>
      <c r="F199">
        <f>IF(COUNTIFS('Staff Weekly'!A:A,$A199,'Staff Weekly'!C:C,$B199,'Staff Weekly'!D:D,"Yes")&gt;0,20,0)</f>
        <v/>
      </c>
      <c r="G199">
        <f>IF($B199="","",IF(COUNTIFS('Class Reports'!A:A,$A199,'Class Reports'!D:D,$B199,'Class Reports'!G:G,"Poor") + COUNTIFS('Class Reports'!A:A,$A199,'Class Reports'!D:D,$B199,'Class Reports'!H:H,"Low")=0,20,10))</f>
        <v/>
      </c>
      <c r="H199">
        <f>IF($B199="","",IF(COUNTIFS('Subject Reports'!A:A,$A199,'Subject Reports'!D:D,$B199,'Subject Reports'!G:G,"Behind")=0,20,10))</f>
        <v/>
      </c>
      <c r="I199">
        <f>IF($B199="","",SUM(D199:H199))</f>
        <v/>
      </c>
      <c r="J199">
        <f>IF($I199="","",RANK($I199,$I$2:$I$200,0))</f>
        <v/>
      </c>
      <c r="K199">
        <f>IF($I199="","",IF($I199&gt;=90,"Outstanding",IF($I199&gt;=75,"Very Good",IF($I199&gt;=60,"Good","Needs Support"))))</f>
        <v/>
      </c>
    </row>
    <row r="200">
      <c r="D200">
        <f>IF(COUNTIFS('Staff Weekly'!A:A,$A200,'Staff Weekly'!C:C,$B200,'Staff Weekly'!F:F,"Yes")&gt;0,20,0)</f>
        <v/>
      </c>
      <c r="E200">
        <f>IF(COUNTIFS('Staff Weekly'!A:A,$A200,'Staff Weekly'!C:C,$B200,'Staff Weekly'!G:G,"Yes")&gt;0,20,0)</f>
        <v/>
      </c>
      <c r="F200">
        <f>IF(COUNTIFS('Staff Weekly'!A:A,$A200,'Staff Weekly'!C:C,$B200,'Staff Weekly'!D:D,"Yes")&gt;0,20,0)</f>
        <v/>
      </c>
      <c r="G200">
        <f>IF($B200="","",IF(COUNTIFS('Class Reports'!A:A,$A200,'Class Reports'!D:D,$B200,'Class Reports'!G:G,"Poor") + COUNTIFS('Class Reports'!A:A,$A200,'Class Reports'!D:D,$B200,'Class Reports'!H:H,"Low")=0,20,10))</f>
        <v/>
      </c>
      <c r="H200">
        <f>IF($B200="","",IF(COUNTIFS('Subject Reports'!A:A,$A200,'Subject Reports'!D:D,$B200,'Subject Reports'!G:G,"Behind")=0,20,10))</f>
        <v/>
      </c>
      <c r="I200">
        <f>IF($B200="","",SUM(D200:H200))</f>
        <v/>
      </c>
      <c r="J200">
        <f>IF($I200="","",RANK($I200,$I$2:$I$200,0))</f>
        <v/>
      </c>
      <c r="K200">
        <f>IF($I200="","",IF($I200&gt;=90,"Outstanding",IF($I200&gt;=75,"Very Good",IF($I200&gt;=60,"Good","Needs Support"))))</f>
        <v/>
      </c>
    </row>
    <row r="502">
      <c r="A502" s="3" t="inlineStr">
        <is>
          <t>How to use: Fill Week Ending + Teacher Name (+ Campus optional). Scores, Total, Rank &amp; Level calculate automatically.</t>
        </is>
      </c>
    </row>
  </sheetData>
  <dataValidations count="2">
    <dataValidation sqref="C2:C500" showDropDown="0" showInputMessage="0" showErrorMessage="0" allowBlank="1" type="list">
      <formula1>"Upper,Lower"</formula1>
    </dataValidation>
    <dataValidation sqref="B2:B500" showDropDown="0" showInputMessage="0" showErrorMessage="0" allowBlank="1" type="list">
      <formula1>=Teachers!$A$2:$A$500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28" customWidth="1" min="9" max="9"/>
    <col width="10" customWidth="1" min="11" max="11"/>
    <col width="24" customWidth="1" min="12" max="12"/>
    <col width="12" customWidth="1" min="13" max="13"/>
    <col width="12" customWidth="1" min="14" max="14"/>
    <col width="16" customWidth="1" min="15" max="15"/>
  </cols>
  <sheetData>
    <row r="1">
      <c r="A1" s="4" t="inlineStr">
        <is>
          <t>ROYAL KINGS PREMIER SCHOOL</t>
        </is>
      </c>
    </row>
    <row r="2">
      <c r="A2" s="3" t="inlineStr">
        <is>
          <t>TEACHER TERM RANKINGS (WEEK 1–14)</t>
        </is>
      </c>
    </row>
    <row r="4">
      <c r="A4" s="2" t="inlineStr">
        <is>
          <t>Term Start (Week 1 Ending Date)</t>
        </is>
      </c>
      <c r="B4">
        <f>INDEX('Term Summary'!B:B,2)</f>
        <v/>
      </c>
      <c r="K4" s="3" t="inlineStr">
        <is>
          <t>TOP 10 TEACHERS (TERM AVERAGE)</t>
        </is>
      </c>
    </row>
    <row r="5">
      <c r="A5" s="2" t="inlineStr">
        <is>
          <t>Term End (Week 14 Ending Date)</t>
        </is>
      </c>
      <c r="B5">
        <f>INDEX('Term Summary'!B:B,15)</f>
        <v/>
      </c>
    </row>
    <row r="6">
      <c r="K6" s="5" t="inlineStr">
        <is>
          <t>Rank</t>
        </is>
      </c>
      <c r="L6" s="5" t="inlineStr">
        <is>
          <t>Teacher</t>
        </is>
      </c>
      <c r="M6" s="5" t="inlineStr">
        <is>
          <t>Campus</t>
        </is>
      </c>
      <c r="N6" s="5" t="inlineStr">
        <is>
          <t>Avg Score</t>
        </is>
      </c>
      <c r="O6" s="5" t="inlineStr">
        <is>
          <t>Level</t>
        </is>
      </c>
    </row>
    <row r="7">
      <c r="A7" s="1" t="inlineStr">
        <is>
          <t>Teacher Name</t>
        </is>
      </c>
      <c r="B7" s="1" t="inlineStr">
        <is>
          <t>Campus</t>
        </is>
      </c>
      <c r="C7" s="1" t="inlineStr">
        <is>
          <t>Weeks Reported</t>
        </is>
      </c>
      <c r="D7" s="1" t="inlineStr">
        <is>
          <t>Average Score</t>
        </is>
      </c>
      <c r="E7" s="1" t="inlineStr">
        <is>
          <t>Best Week Score</t>
        </is>
      </c>
      <c r="F7" s="1" t="inlineStr">
        <is>
          <t>Worst Week Score</t>
        </is>
      </c>
      <c r="G7" s="1" t="inlineStr">
        <is>
          <t>Term Rank</t>
        </is>
      </c>
      <c r="H7" s="1" t="inlineStr">
        <is>
          <t>Performance Level</t>
        </is>
      </c>
      <c r="I7" s="1" t="inlineStr">
        <is>
          <t>Comment / Action</t>
        </is>
      </c>
    </row>
    <row r="8">
      <c r="A8">
        <f>IF(Teachers!A2="","",Teachers!A2)</f>
        <v/>
      </c>
      <c r="B8">
        <f>IF(Teachers!A2="","",Teachers!B2)</f>
        <v/>
      </c>
      <c r="C8">
        <f>IF($A8="","",COUNTIFS('Teacher Rankings'!B:B,$A8,'Teacher Rankings'!A:A,"&gt;="&amp;$B$4,'Teacher Rankings'!A:A,"&lt;="&amp;$B$5))</f>
        <v/>
      </c>
      <c r="D8">
        <f>IF($A8="","",IF($C8=0,"",ROUND(AVERAGEIFS('Teacher Rankings'!I:I,'Teacher Rankings'!B:B,$A8,'Teacher Rankings'!A:A,"&gt;="&amp;$B$4,'Teacher Rankings'!A:A,"&lt;="&amp;$B$5),0)))</f>
        <v/>
      </c>
      <c r="E8">
        <f>IF($A8="","",IF($C8=0,"",MAXIFS('Teacher Rankings'!I:I,'Teacher Rankings'!B:B,$A8,'Teacher Rankings'!A:A,"&gt;="&amp;$B$4,'Teacher Rankings'!A:A,"&lt;="&amp;$B$5)))</f>
        <v/>
      </c>
      <c r="F8">
        <f>IF($A8="","",IF($C8=0,"",MINIFS('Teacher Rankings'!I:I,'Teacher Rankings'!B:B,$A8,'Teacher Rankings'!A:A,"&gt;="&amp;$B$4,'Teacher Rankings'!A:A,"&lt;="&amp;$B$5)))</f>
        <v/>
      </c>
      <c r="G8">
        <f>IF($D8="","",RANK($D8,$D$8:$D$207,0))</f>
        <v/>
      </c>
      <c r="H8">
        <f>IF($D8="","",IF($D8&gt;=90,"Outstanding",IF($D8&gt;=75,"Very Good",IF($D8&gt;=60,"Good","Needs Support"))))</f>
        <v/>
      </c>
      <c r="K8" t="n">
        <v>1</v>
      </c>
      <c r="L8">
        <f>IF($N8="","",INDEX($A$8:$A$207,MATCH($N8,$D$8:$D$207,0)))</f>
        <v/>
      </c>
      <c r="M8">
        <f>IF($L8="","",INDEX($B$8:$B$207,MATCH($N8,$D$8:$D$207,0)))</f>
        <v/>
      </c>
      <c r="N8">
        <f>IFERROR(LARGE($D$8:$D$207,1),"")</f>
        <v/>
      </c>
      <c r="O8">
        <f>IF($N8="","",INDEX($H$8:$H$207,MATCH($N8,$D$8:$D$207,0)))</f>
        <v/>
      </c>
    </row>
    <row r="9">
      <c r="A9">
        <f>IF(Teachers!A3="","",Teachers!A3)</f>
        <v/>
      </c>
      <c r="B9">
        <f>IF(Teachers!A3="","",Teachers!B3)</f>
        <v/>
      </c>
      <c r="C9">
        <f>IF($A9="","",COUNTIFS('Teacher Rankings'!B:B,$A9,'Teacher Rankings'!A:A,"&gt;="&amp;$B$4,'Teacher Rankings'!A:A,"&lt;="&amp;$B$5))</f>
        <v/>
      </c>
      <c r="D9">
        <f>IF($A9="","",IF($C9=0,"",ROUND(AVERAGEIFS('Teacher Rankings'!I:I,'Teacher Rankings'!B:B,$A9,'Teacher Rankings'!A:A,"&gt;="&amp;$B$4,'Teacher Rankings'!A:A,"&lt;="&amp;$B$5),0)))</f>
        <v/>
      </c>
      <c r="E9">
        <f>IF($A9="","",IF($C9=0,"",MAXIFS('Teacher Rankings'!I:I,'Teacher Rankings'!B:B,$A9,'Teacher Rankings'!A:A,"&gt;="&amp;$B$4,'Teacher Rankings'!A:A,"&lt;="&amp;$B$5)))</f>
        <v/>
      </c>
      <c r="F9">
        <f>IF($A9="","",IF($C9=0,"",MINIFS('Teacher Rankings'!I:I,'Teacher Rankings'!B:B,$A9,'Teacher Rankings'!A:A,"&gt;="&amp;$B$4,'Teacher Rankings'!A:A,"&lt;="&amp;$B$5)))</f>
        <v/>
      </c>
      <c r="G9">
        <f>IF($D9="","",RANK($D9,$D$8:$D$207,0))</f>
        <v/>
      </c>
      <c r="H9">
        <f>IF($D9="","",IF($D9&gt;=90,"Outstanding",IF($D9&gt;=75,"Very Good",IF($D9&gt;=60,"Good","Needs Support"))))</f>
        <v/>
      </c>
      <c r="K9" t="n">
        <v>2</v>
      </c>
      <c r="L9">
        <f>IF($N9="","",INDEX($A$8:$A$207,MATCH($N9,$D$8:$D$207,0)))</f>
        <v/>
      </c>
      <c r="M9">
        <f>IF($L9="","",INDEX($B$8:$B$207,MATCH($N9,$D$8:$D$207,0)))</f>
        <v/>
      </c>
      <c r="N9">
        <f>IFERROR(LARGE($D$8:$D$207,2),"")</f>
        <v/>
      </c>
      <c r="O9">
        <f>IF($N9="","",INDEX($H$8:$H$207,MATCH($N9,$D$8:$D$207,0)))</f>
        <v/>
      </c>
    </row>
    <row r="10">
      <c r="A10">
        <f>IF(Teachers!A4="","",Teachers!A4)</f>
        <v/>
      </c>
      <c r="B10">
        <f>IF(Teachers!A4="","",Teachers!B4)</f>
        <v/>
      </c>
      <c r="C10">
        <f>IF($A10="","",COUNTIFS('Teacher Rankings'!B:B,$A10,'Teacher Rankings'!A:A,"&gt;="&amp;$B$4,'Teacher Rankings'!A:A,"&lt;="&amp;$B$5))</f>
        <v/>
      </c>
      <c r="D10">
        <f>IF($A10="","",IF($C10=0,"",ROUND(AVERAGEIFS('Teacher Rankings'!I:I,'Teacher Rankings'!B:B,$A10,'Teacher Rankings'!A:A,"&gt;="&amp;$B$4,'Teacher Rankings'!A:A,"&lt;="&amp;$B$5),0)))</f>
        <v/>
      </c>
      <c r="E10">
        <f>IF($A10="","",IF($C10=0,"",MAXIFS('Teacher Rankings'!I:I,'Teacher Rankings'!B:B,$A10,'Teacher Rankings'!A:A,"&gt;="&amp;$B$4,'Teacher Rankings'!A:A,"&lt;="&amp;$B$5)))</f>
        <v/>
      </c>
      <c r="F10">
        <f>IF($A10="","",IF($C10=0,"",MINIFS('Teacher Rankings'!I:I,'Teacher Rankings'!B:B,$A10,'Teacher Rankings'!A:A,"&gt;="&amp;$B$4,'Teacher Rankings'!A:A,"&lt;="&amp;$B$5)))</f>
        <v/>
      </c>
      <c r="G10">
        <f>IF($D10="","",RANK($D10,$D$8:$D$207,0))</f>
        <v/>
      </c>
      <c r="H10">
        <f>IF($D10="","",IF($D10&gt;=90,"Outstanding",IF($D10&gt;=75,"Very Good",IF($D10&gt;=60,"Good","Needs Support"))))</f>
        <v/>
      </c>
      <c r="K10" t="n">
        <v>3</v>
      </c>
      <c r="L10">
        <f>IF($N10="","",INDEX($A$8:$A$207,MATCH($N10,$D$8:$D$207,0)))</f>
        <v/>
      </c>
      <c r="M10">
        <f>IF($L10="","",INDEX($B$8:$B$207,MATCH($N10,$D$8:$D$207,0)))</f>
        <v/>
      </c>
      <c r="N10">
        <f>IFERROR(LARGE($D$8:$D$207,3),"")</f>
        <v/>
      </c>
      <c r="O10">
        <f>IF($N10="","",INDEX($H$8:$H$207,MATCH($N10,$D$8:$D$207,0)))</f>
        <v/>
      </c>
    </row>
    <row r="11">
      <c r="A11">
        <f>IF(Teachers!A5="","",Teachers!A5)</f>
        <v/>
      </c>
      <c r="B11">
        <f>IF(Teachers!A5="","",Teachers!B5)</f>
        <v/>
      </c>
      <c r="C11">
        <f>IF($A11="","",COUNTIFS('Teacher Rankings'!B:B,$A11,'Teacher Rankings'!A:A,"&gt;="&amp;$B$4,'Teacher Rankings'!A:A,"&lt;="&amp;$B$5))</f>
        <v/>
      </c>
      <c r="D11">
        <f>IF($A11="","",IF($C11=0,"",ROUND(AVERAGEIFS('Teacher Rankings'!I:I,'Teacher Rankings'!B:B,$A11,'Teacher Rankings'!A:A,"&gt;="&amp;$B$4,'Teacher Rankings'!A:A,"&lt;="&amp;$B$5),0)))</f>
        <v/>
      </c>
      <c r="E11">
        <f>IF($A11="","",IF($C11=0,"",MAXIFS('Teacher Rankings'!I:I,'Teacher Rankings'!B:B,$A11,'Teacher Rankings'!A:A,"&gt;="&amp;$B$4,'Teacher Rankings'!A:A,"&lt;="&amp;$B$5)))</f>
        <v/>
      </c>
      <c r="F11">
        <f>IF($A11="","",IF($C11=0,"",MINIFS('Teacher Rankings'!I:I,'Teacher Rankings'!B:B,$A11,'Teacher Rankings'!A:A,"&gt;="&amp;$B$4,'Teacher Rankings'!A:A,"&lt;="&amp;$B$5)))</f>
        <v/>
      </c>
      <c r="G11">
        <f>IF($D11="","",RANK($D11,$D$8:$D$207,0))</f>
        <v/>
      </c>
      <c r="H11">
        <f>IF($D11="","",IF($D11&gt;=90,"Outstanding",IF($D11&gt;=75,"Very Good",IF($D11&gt;=60,"Good","Needs Support"))))</f>
        <v/>
      </c>
      <c r="K11" t="n">
        <v>4</v>
      </c>
      <c r="L11">
        <f>IF($N11="","",INDEX($A$8:$A$207,MATCH($N11,$D$8:$D$207,0)))</f>
        <v/>
      </c>
      <c r="M11">
        <f>IF($L11="","",INDEX($B$8:$B$207,MATCH($N11,$D$8:$D$207,0)))</f>
        <v/>
      </c>
      <c r="N11">
        <f>IFERROR(LARGE($D$8:$D$207,4),"")</f>
        <v/>
      </c>
      <c r="O11">
        <f>IF($N11="","",INDEX($H$8:$H$207,MATCH($N11,$D$8:$D$207,0)))</f>
        <v/>
      </c>
    </row>
    <row r="12">
      <c r="A12">
        <f>IF(Teachers!A6="","",Teachers!A6)</f>
        <v/>
      </c>
      <c r="B12">
        <f>IF(Teachers!A6="","",Teachers!B6)</f>
        <v/>
      </c>
      <c r="C12">
        <f>IF($A12="","",COUNTIFS('Teacher Rankings'!B:B,$A12,'Teacher Rankings'!A:A,"&gt;="&amp;$B$4,'Teacher Rankings'!A:A,"&lt;="&amp;$B$5))</f>
        <v/>
      </c>
      <c r="D12">
        <f>IF($A12="","",IF($C12=0,"",ROUND(AVERAGEIFS('Teacher Rankings'!I:I,'Teacher Rankings'!B:B,$A12,'Teacher Rankings'!A:A,"&gt;="&amp;$B$4,'Teacher Rankings'!A:A,"&lt;="&amp;$B$5),0)))</f>
        <v/>
      </c>
      <c r="E12">
        <f>IF($A12="","",IF($C12=0,"",MAXIFS('Teacher Rankings'!I:I,'Teacher Rankings'!B:B,$A12,'Teacher Rankings'!A:A,"&gt;="&amp;$B$4,'Teacher Rankings'!A:A,"&lt;="&amp;$B$5)))</f>
        <v/>
      </c>
      <c r="F12">
        <f>IF($A12="","",IF($C12=0,"",MINIFS('Teacher Rankings'!I:I,'Teacher Rankings'!B:B,$A12,'Teacher Rankings'!A:A,"&gt;="&amp;$B$4,'Teacher Rankings'!A:A,"&lt;="&amp;$B$5)))</f>
        <v/>
      </c>
      <c r="G12">
        <f>IF($D12="","",RANK($D12,$D$8:$D$207,0))</f>
        <v/>
      </c>
      <c r="H12">
        <f>IF($D12="","",IF($D12&gt;=90,"Outstanding",IF($D12&gt;=75,"Very Good",IF($D12&gt;=60,"Good","Needs Support"))))</f>
        <v/>
      </c>
      <c r="K12" t="n">
        <v>5</v>
      </c>
      <c r="L12">
        <f>IF($N12="","",INDEX($A$8:$A$207,MATCH($N12,$D$8:$D$207,0)))</f>
        <v/>
      </c>
      <c r="M12">
        <f>IF($L12="","",INDEX($B$8:$B$207,MATCH($N12,$D$8:$D$207,0)))</f>
        <v/>
      </c>
      <c r="N12">
        <f>IFERROR(LARGE($D$8:$D$207,5),"")</f>
        <v/>
      </c>
      <c r="O12">
        <f>IF($N12="","",INDEX($H$8:$H$207,MATCH($N12,$D$8:$D$207,0)))</f>
        <v/>
      </c>
    </row>
    <row r="13">
      <c r="A13">
        <f>IF(Teachers!A7="","",Teachers!A7)</f>
        <v/>
      </c>
      <c r="B13">
        <f>IF(Teachers!A7="","",Teachers!B7)</f>
        <v/>
      </c>
      <c r="C13">
        <f>IF($A13="","",COUNTIFS('Teacher Rankings'!B:B,$A13,'Teacher Rankings'!A:A,"&gt;="&amp;$B$4,'Teacher Rankings'!A:A,"&lt;="&amp;$B$5))</f>
        <v/>
      </c>
      <c r="D13">
        <f>IF($A13="","",IF($C13=0,"",ROUND(AVERAGEIFS('Teacher Rankings'!I:I,'Teacher Rankings'!B:B,$A13,'Teacher Rankings'!A:A,"&gt;="&amp;$B$4,'Teacher Rankings'!A:A,"&lt;="&amp;$B$5),0)))</f>
        <v/>
      </c>
      <c r="E13">
        <f>IF($A13="","",IF($C13=0,"",MAXIFS('Teacher Rankings'!I:I,'Teacher Rankings'!B:B,$A13,'Teacher Rankings'!A:A,"&gt;="&amp;$B$4,'Teacher Rankings'!A:A,"&lt;="&amp;$B$5)))</f>
        <v/>
      </c>
      <c r="F13">
        <f>IF($A13="","",IF($C13=0,"",MINIFS('Teacher Rankings'!I:I,'Teacher Rankings'!B:B,$A13,'Teacher Rankings'!A:A,"&gt;="&amp;$B$4,'Teacher Rankings'!A:A,"&lt;="&amp;$B$5)))</f>
        <v/>
      </c>
      <c r="G13">
        <f>IF($D13="","",RANK($D13,$D$8:$D$207,0))</f>
        <v/>
      </c>
      <c r="H13">
        <f>IF($D13="","",IF($D13&gt;=90,"Outstanding",IF($D13&gt;=75,"Very Good",IF($D13&gt;=60,"Good","Needs Support"))))</f>
        <v/>
      </c>
      <c r="K13" t="n">
        <v>6</v>
      </c>
      <c r="L13">
        <f>IF($N13="","",INDEX($A$8:$A$207,MATCH($N13,$D$8:$D$207,0)))</f>
        <v/>
      </c>
      <c r="M13">
        <f>IF($L13="","",INDEX($B$8:$B$207,MATCH($N13,$D$8:$D$207,0)))</f>
        <v/>
      </c>
      <c r="N13">
        <f>IFERROR(LARGE($D$8:$D$207,6),"")</f>
        <v/>
      </c>
      <c r="O13">
        <f>IF($N13="","",INDEX($H$8:$H$207,MATCH($N13,$D$8:$D$207,0)))</f>
        <v/>
      </c>
    </row>
    <row r="14">
      <c r="A14">
        <f>IF(Teachers!A8="","",Teachers!A8)</f>
        <v/>
      </c>
      <c r="B14">
        <f>IF(Teachers!A8="","",Teachers!B8)</f>
        <v/>
      </c>
      <c r="C14">
        <f>IF($A14="","",COUNTIFS('Teacher Rankings'!B:B,$A14,'Teacher Rankings'!A:A,"&gt;="&amp;$B$4,'Teacher Rankings'!A:A,"&lt;="&amp;$B$5))</f>
        <v/>
      </c>
      <c r="D14">
        <f>IF($A14="","",IF($C14=0,"",ROUND(AVERAGEIFS('Teacher Rankings'!I:I,'Teacher Rankings'!B:B,$A14,'Teacher Rankings'!A:A,"&gt;="&amp;$B$4,'Teacher Rankings'!A:A,"&lt;="&amp;$B$5),0)))</f>
        <v/>
      </c>
      <c r="E14">
        <f>IF($A14="","",IF($C14=0,"",MAXIFS('Teacher Rankings'!I:I,'Teacher Rankings'!B:B,$A14,'Teacher Rankings'!A:A,"&gt;="&amp;$B$4,'Teacher Rankings'!A:A,"&lt;="&amp;$B$5)))</f>
        <v/>
      </c>
      <c r="F14">
        <f>IF($A14="","",IF($C14=0,"",MINIFS('Teacher Rankings'!I:I,'Teacher Rankings'!B:B,$A14,'Teacher Rankings'!A:A,"&gt;="&amp;$B$4,'Teacher Rankings'!A:A,"&lt;="&amp;$B$5)))</f>
        <v/>
      </c>
      <c r="G14">
        <f>IF($D14="","",RANK($D14,$D$8:$D$207,0))</f>
        <v/>
      </c>
      <c r="H14">
        <f>IF($D14="","",IF($D14&gt;=90,"Outstanding",IF($D14&gt;=75,"Very Good",IF($D14&gt;=60,"Good","Needs Support"))))</f>
        <v/>
      </c>
      <c r="K14" t="n">
        <v>7</v>
      </c>
      <c r="L14">
        <f>IF($N14="","",INDEX($A$8:$A$207,MATCH($N14,$D$8:$D$207,0)))</f>
        <v/>
      </c>
      <c r="M14">
        <f>IF($L14="","",INDEX($B$8:$B$207,MATCH($N14,$D$8:$D$207,0)))</f>
        <v/>
      </c>
      <c r="N14">
        <f>IFERROR(LARGE($D$8:$D$207,7),"")</f>
        <v/>
      </c>
      <c r="O14">
        <f>IF($N14="","",INDEX($H$8:$H$207,MATCH($N14,$D$8:$D$207,0)))</f>
        <v/>
      </c>
    </row>
    <row r="15">
      <c r="A15">
        <f>IF(Teachers!A9="","",Teachers!A9)</f>
        <v/>
      </c>
      <c r="B15">
        <f>IF(Teachers!A9="","",Teachers!B9)</f>
        <v/>
      </c>
      <c r="C15">
        <f>IF($A15="","",COUNTIFS('Teacher Rankings'!B:B,$A15,'Teacher Rankings'!A:A,"&gt;="&amp;$B$4,'Teacher Rankings'!A:A,"&lt;="&amp;$B$5))</f>
        <v/>
      </c>
      <c r="D15">
        <f>IF($A15="","",IF($C15=0,"",ROUND(AVERAGEIFS('Teacher Rankings'!I:I,'Teacher Rankings'!B:B,$A15,'Teacher Rankings'!A:A,"&gt;="&amp;$B$4,'Teacher Rankings'!A:A,"&lt;="&amp;$B$5),0)))</f>
        <v/>
      </c>
      <c r="E15">
        <f>IF($A15="","",IF($C15=0,"",MAXIFS('Teacher Rankings'!I:I,'Teacher Rankings'!B:B,$A15,'Teacher Rankings'!A:A,"&gt;="&amp;$B$4,'Teacher Rankings'!A:A,"&lt;="&amp;$B$5)))</f>
        <v/>
      </c>
      <c r="F15">
        <f>IF($A15="","",IF($C15=0,"",MINIFS('Teacher Rankings'!I:I,'Teacher Rankings'!B:B,$A15,'Teacher Rankings'!A:A,"&gt;="&amp;$B$4,'Teacher Rankings'!A:A,"&lt;="&amp;$B$5)))</f>
        <v/>
      </c>
      <c r="G15">
        <f>IF($D15="","",RANK($D15,$D$8:$D$207,0))</f>
        <v/>
      </c>
      <c r="H15">
        <f>IF($D15="","",IF($D15&gt;=90,"Outstanding",IF($D15&gt;=75,"Very Good",IF($D15&gt;=60,"Good","Needs Support"))))</f>
        <v/>
      </c>
      <c r="K15" t="n">
        <v>8</v>
      </c>
      <c r="L15">
        <f>IF($N15="","",INDEX($A$8:$A$207,MATCH($N15,$D$8:$D$207,0)))</f>
        <v/>
      </c>
      <c r="M15">
        <f>IF($L15="","",INDEX($B$8:$B$207,MATCH($N15,$D$8:$D$207,0)))</f>
        <v/>
      </c>
      <c r="N15">
        <f>IFERROR(LARGE($D$8:$D$207,8),"")</f>
        <v/>
      </c>
      <c r="O15">
        <f>IF($N15="","",INDEX($H$8:$H$207,MATCH($N15,$D$8:$D$207,0)))</f>
        <v/>
      </c>
    </row>
    <row r="16">
      <c r="A16">
        <f>IF(Teachers!A10="","",Teachers!A10)</f>
        <v/>
      </c>
      <c r="B16">
        <f>IF(Teachers!A10="","",Teachers!B10)</f>
        <v/>
      </c>
      <c r="C16">
        <f>IF($A16="","",COUNTIFS('Teacher Rankings'!B:B,$A16,'Teacher Rankings'!A:A,"&gt;="&amp;$B$4,'Teacher Rankings'!A:A,"&lt;="&amp;$B$5))</f>
        <v/>
      </c>
      <c r="D16">
        <f>IF($A16="","",IF($C16=0,"",ROUND(AVERAGEIFS('Teacher Rankings'!I:I,'Teacher Rankings'!B:B,$A16,'Teacher Rankings'!A:A,"&gt;="&amp;$B$4,'Teacher Rankings'!A:A,"&lt;="&amp;$B$5),0)))</f>
        <v/>
      </c>
      <c r="E16">
        <f>IF($A16="","",IF($C16=0,"",MAXIFS('Teacher Rankings'!I:I,'Teacher Rankings'!B:B,$A16,'Teacher Rankings'!A:A,"&gt;="&amp;$B$4,'Teacher Rankings'!A:A,"&lt;="&amp;$B$5)))</f>
        <v/>
      </c>
      <c r="F16">
        <f>IF($A16="","",IF($C16=0,"",MINIFS('Teacher Rankings'!I:I,'Teacher Rankings'!B:B,$A16,'Teacher Rankings'!A:A,"&gt;="&amp;$B$4,'Teacher Rankings'!A:A,"&lt;="&amp;$B$5)))</f>
        <v/>
      </c>
      <c r="G16">
        <f>IF($D16="","",RANK($D16,$D$8:$D$207,0))</f>
        <v/>
      </c>
      <c r="H16">
        <f>IF($D16="","",IF($D16&gt;=90,"Outstanding",IF($D16&gt;=75,"Very Good",IF($D16&gt;=60,"Good","Needs Support"))))</f>
        <v/>
      </c>
      <c r="K16" t="n">
        <v>9</v>
      </c>
      <c r="L16">
        <f>IF($N16="","",INDEX($A$8:$A$207,MATCH($N16,$D$8:$D$207,0)))</f>
        <v/>
      </c>
      <c r="M16">
        <f>IF($L16="","",INDEX($B$8:$B$207,MATCH($N16,$D$8:$D$207,0)))</f>
        <v/>
      </c>
      <c r="N16">
        <f>IFERROR(LARGE($D$8:$D$207,9),"")</f>
        <v/>
      </c>
      <c r="O16">
        <f>IF($N16="","",INDEX($H$8:$H$207,MATCH($N16,$D$8:$D$207,0)))</f>
        <v/>
      </c>
    </row>
    <row r="17">
      <c r="A17">
        <f>IF(Teachers!A11="","",Teachers!A11)</f>
        <v/>
      </c>
      <c r="B17">
        <f>IF(Teachers!A11="","",Teachers!B11)</f>
        <v/>
      </c>
      <c r="C17">
        <f>IF($A17="","",COUNTIFS('Teacher Rankings'!B:B,$A17,'Teacher Rankings'!A:A,"&gt;="&amp;$B$4,'Teacher Rankings'!A:A,"&lt;="&amp;$B$5))</f>
        <v/>
      </c>
      <c r="D17">
        <f>IF($A17="","",IF($C17=0,"",ROUND(AVERAGEIFS('Teacher Rankings'!I:I,'Teacher Rankings'!B:B,$A17,'Teacher Rankings'!A:A,"&gt;="&amp;$B$4,'Teacher Rankings'!A:A,"&lt;="&amp;$B$5),0)))</f>
        <v/>
      </c>
      <c r="E17">
        <f>IF($A17="","",IF($C17=0,"",MAXIFS('Teacher Rankings'!I:I,'Teacher Rankings'!B:B,$A17,'Teacher Rankings'!A:A,"&gt;="&amp;$B$4,'Teacher Rankings'!A:A,"&lt;="&amp;$B$5)))</f>
        <v/>
      </c>
      <c r="F17">
        <f>IF($A17="","",IF($C17=0,"",MINIFS('Teacher Rankings'!I:I,'Teacher Rankings'!B:B,$A17,'Teacher Rankings'!A:A,"&gt;="&amp;$B$4,'Teacher Rankings'!A:A,"&lt;="&amp;$B$5)))</f>
        <v/>
      </c>
      <c r="G17">
        <f>IF($D17="","",RANK($D17,$D$8:$D$207,0))</f>
        <v/>
      </c>
      <c r="H17">
        <f>IF($D17="","",IF($D17&gt;=90,"Outstanding",IF($D17&gt;=75,"Very Good",IF($D17&gt;=60,"Good","Needs Support"))))</f>
        <v/>
      </c>
      <c r="K17" t="n">
        <v>10</v>
      </c>
      <c r="L17">
        <f>IF($N17="","",INDEX($A$8:$A$207,MATCH($N17,$D$8:$D$207,0)))</f>
        <v/>
      </c>
      <c r="M17">
        <f>IF($L17="","",INDEX($B$8:$B$207,MATCH($N17,$D$8:$D$207,0)))</f>
        <v/>
      </c>
      <c r="N17">
        <f>IFERROR(LARGE($D$8:$D$207,10),"")</f>
        <v/>
      </c>
      <c r="O17">
        <f>IF($N17="","",INDEX($H$8:$H$207,MATCH($N17,$D$8:$D$207,0)))</f>
        <v/>
      </c>
    </row>
    <row r="18">
      <c r="A18">
        <f>IF(Teachers!A12="","",Teachers!A12)</f>
        <v/>
      </c>
      <c r="B18">
        <f>IF(Teachers!A12="","",Teachers!B12)</f>
        <v/>
      </c>
      <c r="C18">
        <f>IF($A18="","",COUNTIFS('Teacher Rankings'!B:B,$A18,'Teacher Rankings'!A:A,"&gt;="&amp;$B$4,'Teacher Rankings'!A:A,"&lt;="&amp;$B$5))</f>
        <v/>
      </c>
      <c r="D18">
        <f>IF($A18="","",IF($C18=0,"",ROUND(AVERAGEIFS('Teacher Rankings'!I:I,'Teacher Rankings'!B:B,$A18,'Teacher Rankings'!A:A,"&gt;="&amp;$B$4,'Teacher Rankings'!A:A,"&lt;="&amp;$B$5),0)))</f>
        <v/>
      </c>
      <c r="E18">
        <f>IF($A18="","",IF($C18=0,"",MAXIFS('Teacher Rankings'!I:I,'Teacher Rankings'!B:B,$A18,'Teacher Rankings'!A:A,"&gt;="&amp;$B$4,'Teacher Rankings'!A:A,"&lt;="&amp;$B$5)))</f>
        <v/>
      </c>
      <c r="F18">
        <f>IF($A18="","",IF($C18=0,"",MINIFS('Teacher Rankings'!I:I,'Teacher Rankings'!B:B,$A18,'Teacher Rankings'!A:A,"&gt;="&amp;$B$4,'Teacher Rankings'!A:A,"&lt;="&amp;$B$5)))</f>
        <v/>
      </c>
      <c r="G18">
        <f>IF($D18="","",RANK($D18,$D$8:$D$207,0))</f>
        <v/>
      </c>
      <c r="H18">
        <f>IF($D18="","",IF($D18&gt;=90,"Outstanding",IF($D18&gt;=75,"Very Good",IF($D18&gt;=60,"Good","Needs Support"))))</f>
        <v/>
      </c>
    </row>
    <row r="19">
      <c r="A19">
        <f>IF(Teachers!A13="","",Teachers!A13)</f>
        <v/>
      </c>
      <c r="B19">
        <f>IF(Teachers!A13="","",Teachers!B13)</f>
        <v/>
      </c>
      <c r="C19">
        <f>IF($A19="","",COUNTIFS('Teacher Rankings'!B:B,$A19,'Teacher Rankings'!A:A,"&gt;="&amp;$B$4,'Teacher Rankings'!A:A,"&lt;="&amp;$B$5))</f>
        <v/>
      </c>
      <c r="D19">
        <f>IF($A19="","",IF($C19=0,"",ROUND(AVERAGEIFS('Teacher Rankings'!I:I,'Teacher Rankings'!B:B,$A19,'Teacher Rankings'!A:A,"&gt;="&amp;$B$4,'Teacher Rankings'!A:A,"&lt;="&amp;$B$5),0)))</f>
        <v/>
      </c>
      <c r="E19">
        <f>IF($A19="","",IF($C19=0,"",MAXIFS('Teacher Rankings'!I:I,'Teacher Rankings'!B:B,$A19,'Teacher Rankings'!A:A,"&gt;="&amp;$B$4,'Teacher Rankings'!A:A,"&lt;="&amp;$B$5)))</f>
        <v/>
      </c>
      <c r="F19">
        <f>IF($A19="","",IF($C19=0,"",MINIFS('Teacher Rankings'!I:I,'Teacher Rankings'!B:B,$A19,'Teacher Rankings'!A:A,"&gt;="&amp;$B$4,'Teacher Rankings'!A:A,"&lt;="&amp;$B$5)))</f>
        <v/>
      </c>
      <c r="G19">
        <f>IF($D19="","",RANK($D19,$D$8:$D$207,0))</f>
        <v/>
      </c>
      <c r="H19">
        <f>IF($D19="","",IF($D19&gt;=90,"Outstanding",IF($D19&gt;=75,"Very Good",IF($D19&gt;=60,"Good","Needs Support"))))</f>
        <v/>
      </c>
    </row>
    <row r="20">
      <c r="A20">
        <f>IF(Teachers!A14="","",Teachers!A14)</f>
        <v/>
      </c>
      <c r="B20">
        <f>IF(Teachers!A14="","",Teachers!B14)</f>
        <v/>
      </c>
      <c r="C20">
        <f>IF($A20="","",COUNTIFS('Teacher Rankings'!B:B,$A20,'Teacher Rankings'!A:A,"&gt;="&amp;$B$4,'Teacher Rankings'!A:A,"&lt;="&amp;$B$5))</f>
        <v/>
      </c>
      <c r="D20">
        <f>IF($A20="","",IF($C20=0,"",ROUND(AVERAGEIFS('Teacher Rankings'!I:I,'Teacher Rankings'!B:B,$A20,'Teacher Rankings'!A:A,"&gt;="&amp;$B$4,'Teacher Rankings'!A:A,"&lt;="&amp;$B$5),0)))</f>
        <v/>
      </c>
      <c r="E20">
        <f>IF($A20="","",IF($C20=0,"",MAXIFS('Teacher Rankings'!I:I,'Teacher Rankings'!B:B,$A20,'Teacher Rankings'!A:A,"&gt;="&amp;$B$4,'Teacher Rankings'!A:A,"&lt;="&amp;$B$5)))</f>
        <v/>
      </c>
      <c r="F20">
        <f>IF($A20="","",IF($C20=0,"",MINIFS('Teacher Rankings'!I:I,'Teacher Rankings'!B:B,$A20,'Teacher Rankings'!A:A,"&gt;="&amp;$B$4,'Teacher Rankings'!A:A,"&lt;="&amp;$B$5)))</f>
        <v/>
      </c>
      <c r="G20">
        <f>IF($D20="","",RANK($D20,$D$8:$D$207,0))</f>
        <v/>
      </c>
      <c r="H20">
        <f>IF($D20="","",IF($D20&gt;=90,"Outstanding",IF($D20&gt;=75,"Very Good",IF($D20&gt;=60,"Good","Needs Support"))))</f>
        <v/>
      </c>
    </row>
    <row r="21">
      <c r="A21">
        <f>IF(Teachers!A15="","",Teachers!A15)</f>
        <v/>
      </c>
      <c r="B21">
        <f>IF(Teachers!A15="","",Teachers!B15)</f>
        <v/>
      </c>
      <c r="C21">
        <f>IF($A21="","",COUNTIFS('Teacher Rankings'!B:B,$A21,'Teacher Rankings'!A:A,"&gt;="&amp;$B$4,'Teacher Rankings'!A:A,"&lt;="&amp;$B$5))</f>
        <v/>
      </c>
      <c r="D21">
        <f>IF($A21="","",IF($C21=0,"",ROUND(AVERAGEIFS('Teacher Rankings'!I:I,'Teacher Rankings'!B:B,$A21,'Teacher Rankings'!A:A,"&gt;="&amp;$B$4,'Teacher Rankings'!A:A,"&lt;="&amp;$B$5),0)))</f>
        <v/>
      </c>
      <c r="E21">
        <f>IF($A21="","",IF($C21=0,"",MAXIFS('Teacher Rankings'!I:I,'Teacher Rankings'!B:B,$A21,'Teacher Rankings'!A:A,"&gt;="&amp;$B$4,'Teacher Rankings'!A:A,"&lt;="&amp;$B$5)))</f>
        <v/>
      </c>
      <c r="F21">
        <f>IF($A21="","",IF($C21=0,"",MINIFS('Teacher Rankings'!I:I,'Teacher Rankings'!B:B,$A21,'Teacher Rankings'!A:A,"&gt;="&amp;$B$4,'Teacher Rankings'!A:A,"&lt;="&amp;$B$5)))</f>
        <v/>
      </c>
      <c r="G21">
        <f>IF($D21="","",RANK($D21,$D$8:$D$207,0))</f>
        <v/>
      </c>
      <c r="H21">
        <f>IF($D21="","",IF($D21&gt;=90,"Outstanding",IF($D21&gt;=75,"Very Good",IF($D21&gt;=60,"Good","Needs Support"))))</f>
        <v/>
      </c>
    </row>
    <row r="22">
      <c r="A22">
        <f>IF(Teachers!A16="","",Teachers!A16)</f>
        <v/>
      </c>
      <c r="B22">
        <f>IF(Teachers!A16="","",Teachers!B16)</f>
        <v/>
      </c>
      <c r="C22">
        <f>IF($A22="","",COUNTIFS('Teacher Rankings'!B:B,$A22,'Teacher Rankings'!A:A,"&gt;="&amp;$B$4,'Teacher Rankings'!A:A,"&lt;="&amp;$B$5))</f>
        <v/>
      </c>
      <c r="D22">
        <f>IF($A22="","",IF($C22=0,"",ROUND(AVERAGEIFS('Teacher Rankings'!I:I,'Teacher Rankings'!B:B,$A22,'Teacher Rankings'!A:A,"&gt;="&amp;$B$4,'Teacher Rankings'!A:A,"&lt;="&amp;$B$5),0)))</f>
        <v/>
      </c>
      <c r="E22">
        <f>IF($A22="","",IF($C22=0,"",MAXIFS('Teacher Rankings'!I:I,'Teacher Rankings'!B:B,$A22,'Teacher Rankings'!A:A,"&gt;="&amp;$B$4,'Teacher Rankings'!A:A,"&lt;="&amp;$B$5)))</f>
        <v/>
      </c>
      <c r="F22">
        <f>IF($A22="","",IF($C22=0,"",MINIFS('Teacher Rankings'!I:I,'Teacher Rankings'!B:B,$A22,'Teacher Rankings'!A:A,"&gt;="&amp;$B$4,'Teacher Rankings'!A:A,"&lt;="&amp;$B$5)))</f>
        <v/>
      </c>
      <c r="G22">
        <f>IF($D22="","",RANK($D22,$D$8:$D$207,0))</f>
        <v/>
      </c>
      <c r="H22">
        <f>IF($D22="","",IF($D22&gt;=90,"Outstanding",IF($D22&gt;=75,"Very Good",IF($D22&gt;=60,"Good","Needs Support"))))</f>
        <v/>
      </c>
    </row>
    <row r="23">
      <c r="A23">
        <f>IF(Teachers!A17="","",Teachers!A17)</f>
        <v/>
      </c>
      <c r="B23">
        <f>IF(Teachers!A17="","",Teachers!B17)</f>
        <v/>
      </c>
      <c r="C23">
        <f>IF($A23="","",COUNTIFS('Teacher Rankings'!B:B,$A23,'Teacher Rankings'!A:A,"&gt;="&amp;$B$4,'Teacher Rankings'!A:A,"&lt;="&amp;$B$5))</f>
        <v/>
      </c>
      <c r="D23">
        <f>IF($A23="","",IF($C23=0,"",ROUND(AVERAGEIFS('Teacher Rankings'!I:I,'Teacher Rankings'!B:B,$A23,'Teacher Rankings'!A:A,"&gt;="&amp;$B$4,'Teacher Rankings'!A:A,"&lt;="&amp;$B$5),0)))</f>
        <v/>
      </c>
      <c r="E23">
        <f>IF($A23="","",IF($C23=0,"",MAXIFS('Teacher Rankings'!I:I,'Teacher Rankings'!B:B,$A23,'Teacher Rankings'!A:A,"&gt;="&amp;$B$4,'Teacher Rankings'!A:A,"&lt;="&amp;$B$5)))</f>
        <v/>
      </c>
      <c r="F23">
        <f>IF($A23="","",IF($C23=0,"",MINIFS('Teacher Rankings'!I:I,'Teacher Rankings'!B:B,$A23,'Teacher Rankings'!A:A,"&gt;="&amp;$B$4,'Teacher Rankings'!A:A,"&lt;="&amp;$B$5)))</f>
        <v/>
      </c>
      <c r="G23">
        <f>IF($D23="","",RANK($D23,$D$8:$D$207,0))</f>
        <v/>
      </c>
      <c r="H23">
        <f>IF($D23="","",IF($D23&gt;=90,"Outstanding",IF($D23&gt;=75,"Very Good",IF($D23&gt;=60,"Good","Needs Support"))))</f>
        <v/>
      </c>
    </row>
    <row r="24">
      <c r="A24">
        <f>IF(Teachers!A18="","",Teachers!A18)</f>
        <v/>
      </c>
      <c r="B24">
        <f>IF(Teachers!A18="","",Teachers!B18)</f>
        <v/>
      </c>
      <c r="C24">
        <f>IF($A24="","",COUNTIFS('Teacher Rankings'!B:B,$A24,'Teacher Rankings'!A:A,"&gt;="&amp;$B$4,'Teacher Rankings'!A:A,"&lt;="&amp;$B$5))</f>
        <v/>
      </c>
      <c r="D24">
        <f>IF($A24="","",IF($C24=0,"",ROUND(AVERAGEIFS('Teacher Rankings'!I:I,'Teacher Rankings'!B:B,$A24,'Teacher Rankings'!A:A,"&gt;="&amp;$B$4,'Teacher Rankings'!A:A,"&lt;="&amp;$B$5),0)))</f>
        <v/>
      </c>
      <c r="E24">
        <f>IF($A24="","",IF($C24=0,"",MAXIFS('Teacher Rankings'!I:I,'Teacher Rankings'!B:B,$A24,'Teacher Rankings'!A:A,"&gt;="&amp;$B$4,'Teacher Rankings'!A:A,"&lt;="&amp;$B$5)))</f>
        <v/>
      </c>
      <c r="F24">
        <f>IF($A24="","",IF($C24=0,"",MINIFS('Teacher Rankings'!I:I,'Teacher Rankings'!B:B,$A24,'Teacher Rankings'!A:A,"&gt;="&amp;$B$4,'Teacher Rankings'!A:A,"&lt;="&amp;$B$5)))</f>
        <v/>
      </c>
      <c r="G24">
        <f>IF($D24="","",RANK($D24,$D$8:$D$207,0))</f>
        <v/>
      </c>
      <c r="H24">
        <f>IF($D24="","",IF($D24&gt;=90,"Outstanding",IF($D24&gt;=75,"Very Good",IF($D24&gt;=60,"Good","Needs Support"))))</f>
        <v/>
      </c>
    </row>
    <row r="25">
      <c r="A25">
        <f>IF(Teachers!A19="","",Teachers!A19)</f>
        <v/>
      </c>
      <c r="B25">
        <f>IF(Teachers!A19="","",Teachers!B19)</f>
        <v/>
      </c>
      <c r="C25">
        <f>IF($A25="","",COUNTIFS('Teacher Rankings'!B:B,$A25,'Teacher Rankings'!A:A,"&gt;="&amp;$B$4,'Teacher Rankings'!A:A,"&lt;="&amp;$B$5))</f>
        <v/>
      </c>
      <c r="D25">
        <f>IF($A25="","",IF($C25=0,"",ROUND(AVERAGEIFS('Teacher Rankings'!I:I,'Teacher Rankings'!B:B,$A25,'Teacher Rankings'!A:A,"&gt;="&amp;$B$4,'Teacher Rankings'!A:A,"&lt;="&amp;$B$5),0)))</f>
        <v/>
      </c>
      <c r="E25">
        <f>IF($A25="","",IF($C25=0,"",MAXIFS('Teacher Rankings'!I:I,'Teacher Rankings'!B:B,$A25,'Teacher Rankings'!A:A,"&gt;="&amp;$B$4,'Teacher Rankings'!A:A,"&lt;="&amp;$B$5)))</f>
        <v/>
      </c>
      <c r="F25">
        <f>IF($A25="","",IF($C25=0,"",MINIFS('Teacher Rankings'!I:I,'Teacher Rankings'!B:B,$A25,'Teacher Rankings'!A:A,"&gt;="&amp;$B$4,'Teacher Rankings'!A:A,"&lt;="&amp;$B$5)))</f>
        <v/>
      </c>
      <c r="G25">
        <f>IF($D25="","",RANK($D25,$D$8:$D$207,0))</f>
        <v/>
      </c>
      <c r="H25">
        <f>IF($D25="","",IF($D25&gt;=90,"Outstanding",IF($D25&gt;=75,"Very Good",IF($D25&gt;=60,"Good","Needs Support"))))</f>
        <v/>
      </c>
    </row>
    <row r="26">
      <c r="A26">
        <f>IF(Teachers!A20="","",Teachers!A20)</f>
        <v/>
      </c>
      <c r="B26">
        <f>IF(Teachers!A20="","",Teachers!B20)</f>
        <v/>
      </c>
      <c r="C26">
        <f>IF($A26="","",COUNTIFS('Teacher Rankings'!B:B,$A26,'Teacher Rankings'!A:A,"&gt;="&amp;$B$4,'Teacher Rankings'!A:A,"&lt;="&amp;$B$5))</f>
        <v/>
      </c>
      <c r="D26">
        <f>IF($A26="","",IF($C26=0,"",ROUND(AVERAGEIFS('Teacher Rankings'!I:I,'Teacher Rankings'!B:B,$A26,'Teacher Rankings'!A:A,"&gt;="&amp;$B$4,'Teacher Rankings'!A:A,"&lt;="&amp;$B$5),0)))</f>
        <v/>
      </c>
      <c r="E26">
        <f>IF($A26="","",IF($C26=0,"",MAXIFS('Teacher Rankings'!I:I,'Teacher Rankings'!B:B,$A26,'Teacher Rankings'!A:A,"&gt;="&amp;$B$4,'Teacher Rankings'!A:A,"&lt;="&amp;$B$5)))</f>
        <v/>
      </c>
      <c r="F26">
        <f>IF($A26="","",IF($C26=0,"",MINIFS('Teacher Rankings'!I:I,'Teacher Rankings'!B:B,$A26,'Teacher Rankings'!A:A,"&gt;="&amp;$B$4,'Teacher Rankings'!A:A,"&lt;="&amp;$B$5)))</f>
        <v/>
      </c>
      <c r="G26">
        <f>IF($D26="","",RANK($D26,$D$8:$D$207,0))</f>
        <v/>
      </c>
      <c r="H26">
        <f>IF($D26="","",IF($D26&gt;=90,"Outstanding",IF($D26&gt;=75,"Very Good",IF($D26&gt;=60,"Good","Needs Support"))))</f>
        <v/>
      </c>
    </row>
    <row r="27">
      <c r="A27">
        <f>IF(Teachers!A21="","",Teachers!A21)</f>
        <v/>
      </c>
      <c r="B27">
        <f>IF(Teachers!A21="","",Teachers!B21)</f>
        <v/>
      </c>
      <c r="C27">
        <f>IF($A27="","",COUNTIFS('Teacher Rankings'!B:B,$A27,'Teacher Rankings'!A:A,"&gt;="&amp;$B$4,'Teacher Rankings'!A:A,"&lt;="&amp;$B$5))</f>
        <v/>
      </c>
      <c r="D27">
        <f>IF($A27="","",IF($C27=0,"",ROUND(AVERAGEIFS('Teacher Rankings'!I:I,'Teacher Rankings'!B:B,$A27,'Teacher Rankings'!A:A,"&gt;="&amp;$B$4,'Teacher Rankings'!A:A,"&lt;="&amp;$B$5),0)))</f>
        <v/>
      </c>
      <c r="E27">
        <f>IF($A27="","",IF($C27=0,"",MAXIFS('Teacher Rankings'!I:I,'Teacher Rankings'!B:B,$A27,'Teacher Rankings'!A:A,"&gt;="&amp;$B$4,'Teacher Rankings'!A:A,"&lt;="&amp;$B$5)))</f>
        <v/>
      </c>
      <c r="F27">
        <f>IF($A27="","",IF($C27=0,"",MINIFS('Teacher Rankings'!I:I,'Teacher Rankings'!B:B,$A27,'Teacher Rankings'!A:A,"&gt;="&amp;$B$4,'Teacher Rankings'!A:A,"&lt;="&amp;$B$5)))</f>
        <v/>
      </c>
      <c r="G27">
        <f>IF($D27="","",RANK($D27,$D$8:$D$207,0))</f>
        <v/>
      </c>
      <c r="H27">
        <f>IF($D27="","",IF($D27&gt;=90,"Outstanding",IF($D27&gt;=75,"Very Good",IF($D27&gt;=60,"Good","Needs Support"))))</f>
        <v/>
      </c>
    </row>
    <row r="28">
      <c r="A28">
        <f>IF(Teachers!A22="","",Teachers!A22)</f>
        <v/>
      </c>
      <c r="B28">
        <f>IF(Teachers!A22="","",Teachers!B22)</f>
        <v/>
      </c>
      <c r="C28">
        <f>IF($A28="","",COUNTIFS('Teacher Rankings'!B:B,$A28,'Teacher Rankings'!A:A,"&gt;="&amp;$B$4,'Teacher Rankings'!A:A,"&lt;="&amp;$B$5))</f>
        <v/>
      </c>
      <c r="D28">
        <f>IF($A28="","",IF($C28=0,"",ROUND(AVERAGEIFS('Teacher Rankings'!I:I,'Teacher Rankings'!B:B,$A28,'Teacher Rankings'!A:A,"&gt;="&amp;$B$4,'Teacher Rankings'!A:A,"&lt;="&amp;$B$5),0)))</f>
        <v/>
      </c>
      <c r="E28">
        <f>IF($A28="","",IF($C28=0,"",MAXIFS('Teacher Rankings'!I:I,'Teacher Rankings'!B:B,$A28,'Teacher Rankings'!A:A,"&gt;="&amp;$B$4,'Teacher Rankings'!A:A,"&lt;="&amp;$B$5)))</f>
        <v/>
      </c>
      <c r="F28">
        <f>IF($A28="","",IF($C28=0,"",MINIFS('Teacher Rankings'!I:I,'Teacher Rankings'!B:B,$A28,'Teacher Rankings'!A:A,"&gt;="&amp;$B$4,'Teacher Rankings'!A:A,"&lt;="&amp;$B$5)))</f>
        <v/>
      </c>
      <c r="G28">
        <f>IF($D28="","",RANK($D28,$D$8:$D$207,0))</f>
        <v/>
      </c>
      <c r="H28">
        <f>IF($D28="","",IF($D28&gt;=90,"Outstanding",IF($D28&gt;=75,"Very Good",IF($D28&gt;=60,"Good","Needs Support"))))</f>
        <v/>
      </c>
    </row>
    <row r="29">
      <c r="A29">
        <f>IF(Teachers!A23="","",Teachers!A23)</f>
        <v/>
      </c>
      <c r="B29">
        <f>IF(Teachers!A23="","",Teachers!B23)</f>
        <v/>
      </c>
      <c r="C29">
        <f>IF($A29="","",COUNTIFS('Teacher Rankings'!B:B,$A29,'Teacher Rankings'!A:A,"&gt;="&amp;$B$4,'Teacher Rankings'!A:A,"&lt;="&amp;$B$5))</f>
        <v/>
      </c>
      <c r="D29">
        <f>IF($A29="","",IF($C29=0,"",ROUND(AVERAGEIFS('Teacher Rankings'!I:I,'Teacher Rankings'!B:B,$A29,'Teacher Rankings'!A:A,"&gt;="&amp;$B$4,'Teacher Rankings'!A:A,"&lt;="&amp;$B$5),0)))</f>
        <v/>
      </c>
      <c r="E29">
        <f>IF($A29="","",IF($C29=0,"",MAXIFS('Teacher Rankings'!I:I,'Teacher Rankings'!B:B,$A29,'Teacher Rankings'!A:A,"&gt;="&amp;$B$4,'Teacher Rankings'!A:A,"&lt;="&amp;$B$5)))</f>
        <v/>
      </c>
      <c r="F29">
        <f>IF($A29="","",IF($C29=0,"",MINIFS('Teacher Rankings'!I:I,'Teacher Rankings'!B:B,$A29,'Teacher Rankings'!A:A,"&gt;="&amp;$B$4,'Teacher Rankings'!A:A,"&lt;="&amp;$B$5)))</f>
        <v/>
      </c>
      <c r="G29">
        <f>IF($D29="","",RANK($D29,$D$8:$D$207,0))</f>
        <v/>
      </c>
      <c r="H29">
        <f>IF($D29="","",IF($D29&gt;=90,"Outstanding",IF($D29&gt;=75,"Very Good",IF($D29&gt;=60,"Good","Needs Support"))))</f>
        <v/>
      </c>
    </row>
    <row r="30">
      <c r="A30">
        <f>IF(Teachers!A24="","",Teachers!A24)</f>
        <v/>
      </c>
      <c r="B30">
        <f>IF(Teachers!A24="","",Teachers!B24)</f>
        <v/>
      </c>
      <c r="C30">
        <f>IF($A30="","",COUNTIFS('Teacher Rankings'!B:B,$A30,'Teacher Rankings'!A:A,"&gt;="&amp;$B$4,'Teacher Rankings'!A:A,"&lt;="&amp;$B$5))</f>
        <v/>
      </c>
      <c r="D30">
        <f>IF($A30="","",IF($C30=0,"",ROUND(AVERAGEIFS('Teacher Rankings'!I:I,'Teacher Rankings'!B:B,$A30,'Teacher Rankings'!A:A,"&gt;="&amp;$B$4,'Teacher Rankings'!A:A,"&lt;="&amp;$B$5),0)))</f>
        <v/>
      </c>
      <c r="E30">
        <f>IF($A30="","",IF($C30=0,"",MAXIFS('Teacher Rankings'!I:I,'Teacher Rankings'!B:B,$A30,'Teacher Rankings'!A:A,"&gt;="&amp;$B$4,'Teacher Rankings'!A:A,"&lt;="&amp;$B$5)))</f>
        <v/>
      </c>
      <c r="F30">
        <f>IF($A30="","",IF($C30=0,"",MINIFS('Teacher Rankings'!I:I,'Teacher Rankings'!B:B,$A30,'Teacher Rankings'!A:A,"&gt;="&amp;$B$4,'Teacher Rankings'!A:A,"&lt;="&amp;$B$5)))</f>
        <v/>
      </c>
      <c r="G30">
        <f>IF($D30="","",RANK($D30,$D$8:$D$207,0))</f>
        <v/>
      </c>
      <c r="H30">
        <f>IF($D30="","",IF($D30&gt;=90,"Outstanding",IF($D30&gt;=75,"Very Good",IF($D30&gt;=60,"Good","Needs Support"))))</f>
        <v/>
      </c>
    </row>
    <row r="31">
      <c r="A31">
        <f>IF(Teachers!A25="","",Teachers!A25)</f>
        <v/>
      </c>
      <c r="B31">
        <f>IF(Teachers!A25="","",Teachers!B25)</f>
        <v/>
      </c>
      <c r="C31">
        <f>IF($A31="","",COUNTIFS('Teacher Rankings'!B:B,$A31,'Teacher Rankings'!A:A,"&gt;="&amp;$B$4,'Teacher Rankings'!A:A,"&lt;="&amp;$B$5))</f>
        <v/>
      </c>
      <c r="D31">
        <f>IF($A31="","",IF($C31=0,"",ROUND(AVERAGEIFS('Teacher Rankings'!I:I,'Teacher Rankings'!B:B,$A31,'Teacher Rankings'!A:A,"&gt;="&amp;$B$4,'Teacher Rankings'!A:A,"&lt;="&amp;$B$5),0)))</f>
        <v/>
      </c>
      <c r="E31">
        <f>IF($A31="","",IF($C31=0,"",MAXIFS('Teacher Rankings'!I:I,'Teacher Rankings'!B:B,$A31,'Teacher Rankings'!A:A,"&gt;="&amp;$B$4,'Teacher Rankings'!A:A,"&lt;="&amp;$B$5)))</f>
        <v/>
      </c>
      <c r="F31">
        <f>IF($A31="","",IF($C31=0,"",MINIFS('Teacher Rankings'!I:I,'Teacher Rankings'!B:B,$A31,'Teacher Rankings'!A:A,"&gt;="&amp;$B$4,'Teacher Rankings'!A:A,"&lt;="&amp;$B$5)))</f>
        <v/>
      </c>
      <c r="G31">
        <f>IF($D31="","",RANK($D31,$D$8:$D$207,0))</f>
        <v/>
      </c>
      <c r="H31">
        <f>IF($D31="","",IF($D31&gt;=90,"Outstanding",IF($D31&gt;=75,"Very Good",IF($D31&gt;=60,"Good","Needs Support"))))</f>
        <v/>
      </c>
    </row>
    <row r="32">
      <c r="A32">
        <f>IF(Teachers!A26="","",Teachers!A26)</f>
        <v/>
      </c>
      <c r="B32">
        <f>IF(Teachers!A26="","",Teachers!B26)</f>
        <v/>
      </c>
      <c r="C32">
        <f>IF($A32="","",COUNTIFS('Teacher Rankings'!B:B,$A32,'Teacher Rankings'!A:A,"&gt;="&amp;$B$4,'Teacher Rankings'!A:A,"&lt;="&amp;$B$5))</f>
        <v/>
      </c>
      <c r="D32">
        <f>IF($A32="","",IF($C32=0,"",ROUND(AVERAGEIFS('Teacher Rankings'!I:I,'Teacher Rankings'!B:B,$A32,'Teacher Rankings'!A:A,"&gt;="&amp;$B$4,'Teacher Rankings'!A:A,"&lt;="&amp;$B$5),0)))</f>
        <v/>
      </c>
      <c r="E32">
        <f>IF($A32="","",IF($C32=0,"",MAXIFS('Teacher Rankings'!I:I,'Teacher Rankings'!B:B,$A32,'Teacher Rankings'!A:A,"&gt;="&amp;$B$4,'Teacher Rankings'!A:A,"&lt;="&amp;$B$5)))</f>
        <v/>
      </c>
      <c r="F32">
        <f>IF($A32="","",IF($C32=0,"",MINIFS('Teacher Rankings'!I:I,'Teacher Rankings'!B:B,$A32,'Teacher Rankings'!A:A,"&gt;="&amp;$B$4,'Teacher Rankings'!A:A,"&lt;="&amp;$B$5)))</f>
        <v/>
      </c>
      <c r="G32">
        <f>IF($D32="","",RANK($D32,$D$8:$D$207,0))</f>
        <v/>
      </c>
      <c r="H32">
        <f>IF($D32="","",IF($D32&gt;=90,"Outstanding",IF($D32&gt;=75,"Very Good",IF($D32&gt;=60,"Good","Needs Support"))))</f>
        <v/>
      </c>
    </row>
    <row r="33">
      <c r="A33">
        <f>IF(Teachers!A27="","",Teachers!A27)</f>
        <v/>
      </c>
      <c r="B33">
        <f>IF(Teachers!A27="","",Teachers!B27)</f>
        <v/>
      </c>
      <c r="C33">
        <f>IF($A33="","",COUNTIFS('Teacher Rankings'!B:B,$A33,'Teacher Rankings'!A:A,"&gt;="&amp;$B$4,'Teacher Rankings'!A:A,"&lt;="&amp;$B$5))</f>
        <v/>
      </c>
      <c r="D33">
        <f>IF($A33="","",IF($C33=0,"",ROUND(AVERAGEIFS('Teacher Rankings'!I:I,'Teacher Rankings'!B:B,$A33,'Teacher Rankings'!A:A,"&gt;="&amp;$B$4,'Teacher Rankings'!A:A,"&lt;="&amp;$B$5),0)))</f>
        <v/>
      </c>
      <c r="E33">
        <f>IF($A33="","",IF($C33=0,"",MAXIFS('Teacher Rankings'!I:I,'Teacher Rankings'!B:B,$A33,'Teacher Rankings'!A:A,"&gt;="&amp;$B$4,'Teacher Rankings'!A:A,"&lt;="&amp;$B$5)))</f>
        <v/>
      </c>
      <c r="F33">
        <f>IF($A33="","",IF($C33=0,"",MINIFS('Teacher Rankings'!I:I,'Teacher Rankings'!B:B,$A33,'Teacher Rankings'!A:A,"&gt;="&amp;$B$4,'Teacher Rankings'!A:A,"&lt;="&amp;$B$5)))</f>
        <v/>
      </c>
      <c r="G33">
        <f>IF($D33="","",RANK($D33,$D$8:$D$207,0))</f>
        <v/>
      </c>
      <c r="H33">
        <f>IF($D33="","",IF($D33&gt;=90,"Outstanding",IF($D33&gt;=75,"Very Good",IF($D33&gt;=60,"Good","Needs Support"))))</f>
        <v/>
      </c>
    </row>
    <row r="34">
      <c r="A34">
        <f>IF(Teachers!A28="","",Teachers!A28)</f>
        <v/>
      </c>
      <c r="B34">
        <f>IF(Teachers!A28="","",Teachers!B28)</f>
        <v/>
      </c>
      <c r="C34">
        <f>IF($A34="","",COUNTIFS('Teacher Rankings'!B:B,$A34,'Teacher Rankings'!A:A,"&gt;="&amp;$B$4,'Teacher Rankings'!A:A,"&lt;="&amp;$B$5))</f>
        <v/>
      </c>
      <c r="D34">
        <f>IF($A34="","",IF($C34=0,"",ROUND(AVERAGEIFS('Teacher Rankings'!I:I,'Teacher Rankings'!B:B,$A34,'Teacher Rankings'!A:A,"&gt;="&amp;$B$4,'Teacher Rankings'!A:A,"&lt;="&amp;$B$5),0)))</f>
        <v/>
      </c>
      <c r="E34">
        <f>IF($A34="","",IF($C34=0,"",MAXIFS('Teacher Rankings'!I:I,'Teacher Rankings'!B:B,$A34,'Teacher Rankings'!A:A,"&gt;="&amp;$B$4,'Teacher Rankings'!A:A,"&lt;="&amp;$B$5)))</f>
        <v/>
      </c>
      <c r="F34">
        <f>IF($A34="","",IF($C34=0,"",MINIFS('Teacher Rankings'!I:I,'Teacher Rankings'!B:B,$A34,'Teacher Rankings'!A:A,"&gt;="&amp;$B$4,'Teacher Rankings'!A:A,"&lt;="&amp;$B$5)))</f>
        <v/>
      </c>
      <c r="G34">
        <f>IF($D34="","",RANK($D34,$D$8:$D$207,0))</f>
        <v/>
      </c>
      <c r="H34">
        <f>IF($D34="","",IF($D34&gt;=90,"Outstanding",IF($D34&gt;=75,"Very Good",IF($D34&gt;=60,"Good","Needs Support"))))</f>
        <v/>
      </c>
    </row>
    <row r="35">
      <c r="A35">
        <f>IF(Teachers!A29="","",Teachers!A29)</f>
        <v/>
      </c>
      <c r="B35">
        <f>IF(Teachers!A29="","",Teachers!B29)</f>
        <v/>
      </c>
      <c r="C35">
        <f>IF($A35="","",COUNTIFS('Teacher Rankings'!B:B,$A35,'Teacher Rankings'!A:A,"&gt;="&amp;$B$4,'Teacher Rankings'!A:A,"&lt;="&amp;$B$5))</f>
        <v/>
      </c>
      <c r="D35">
        <f>IF($A35="","",IF($C35=0,"",ROUND(AVERAGEIFS('Teacher Rankings'!I:I,'Teacher Rankings'!B:B,$A35,'Teacher Rankings'!A:A,"&gt;="&amp;$B$4,'Teacher Rankings'!A:A,"&lt;="&amp;$B$5),0)))</f>
        <v/>
      </c>
      <c r="E35">
        <f>IF($A35="","",IF($C35=0,"",MAXIFS('Teacher Rankings'!I:I,'Teacher Rankings'!B:B,$A35,'Teacher Rankings'!A:A,"&gt;="&amp;$B$4,'Teacher Rankings'!A:A,"&lt;="&amp;$B$5)))</f>
        <v/>
      </c>
      <c r="F35">
        <f>IF($A35="","",IF($C35=0,"",MINIFS('Teacher Rankings'!I:I,'Teacher Rankings'!B:B,$A35,'Teacher Rankings'!A:A,"&gt;="&amp;$B$4,'Teacher Rankings'!A:A,"&lt;="&amp;$B$5)))</f>
        <v/>
      </c>
      <c r="G35">
        <f>IF($D35="","",RANK($D35,$D$8:$D$207,0))</f>
        <v/>
      </c>
      <c r="H35">
        <f>IF($D35="","",IF($D35&gt;=90,"Outstanding",IF($D35&gt;=75,"Very Good",IF($D35&gt;=60,"Good","Needs Support"))))</f>
        <v/>
      </c>
    </row>
    <row r="36">
      <c r="A36">
        <f>IF(Teachers!A30="","",Teachers!A30)</f>
        <v/>
      </c>
      <c r="B36">
        <f>IF(Teachers!A30="","",Teachers!B30)</f>
        <v/>
      </c>
      <c r="C36">
        <f>IF($A36="","",COUNTIFS('Teacher Rankings'!B:B,$A36,'Teacher Rankings'!A:A,"&gt;="&amp;$B$4,'Teacher Rankings'!A:A,"&lt;="&amp;$B$5))</f>
        <v/>
      </c>
      <c r="D36">
        <f>IF($A36="","",IF($C36=0,"",ROUND(AVERAGEIFS('Teacher Rankings'!I:I,'Teacher Rankings'!B:B,$A36,'Teacher Rankings'!A:A,"&gt;="&amp;$B$4,'Teacher Rankings'!A:A,"&lt;="&amp;$B$5),0)))</f>
        <v/>
      </c>
      <c r="E36">
        <f>IF($A36="","",IF($C36=0,"",MAXIFS('Teacher Rankings'!I:I,'Teacher Rankings'!B:B,$A36,'Teacher Rankings'!A:A,"&gt;="&amp;$B$4,'Teacher Rankings'!A:A,"&lt;="&amp;$B$5)))</f>
        <v/>
      </c>
      <c r="F36">
        <f>IF($A36="","",IF($C36=0,"",MINIFS('Teacher Rankings'!I:I,'Teacher Rankings'!B:B,$A36,'Teacher Rankings'!A:A,"&gt;="&amp;$B$4,'Teacher Rankings'!A:A,"&lt;="&amp;$B$5)))</f>
        <v/>
      </c>
      <c r="G36">
        <f>IF($D36="","",RANK($D36,$D$8:$D$207,0))</f>
        <v/>
      </c>
      <c r="H36">
        <f>IF($D36="","",IF($D36&gt;=90,"Outstanding",IF($D36&gt;=75,"Very Good",IF($D36&gt;=60,"Good","Needs Support"))))</f>
        <v/>
      </c>
    </row>
    <row r="37">
      <c r="A37">
        <f>IF(Teachers!A31="","",Teachers!A31)</f>
        <v/>
      </c>
      <c r="B37">
        <f>IF(Teachers!A31="","",Teachers!B31)</f>
        <v/>
      </c>
      <c r="C37">
        <f>IF($A37="","",COUNTIFS('Teacher Rankings'!B:B,$A37,'Teacher Rankings'!A:A,"&gt;="&amp;$B$4,'Teacher Rankings'!A:A,"&lt;="&amp;$B$5))</f>
        <v/>
      </c>
      <c r="D37">
        <f>IF($A37="","",IF($C37=0,"",ROUND(AVERAGEIFS('Teacher Rankings'!I:I,'Teacher Rankings'!B:B,$A37,'Teacher Rankings'!A:A,"&gt;="&amp;$B$4,'Teacher Rankings'!A:A,"&lt;="&amp;$B$5),0)))</f>
        <v/>
      </c>
      <c r="E37">
        <f>IF($A37="","",IF($C37=0,"",MAXIFS('Teacher Rankings'!I:I,'Teacher Rankings'!B:B,$A37,'Teacher Rankings'!A:A,"&gt;="&amp;$B$4,'Teacher Rankings'!A:A,"&lt;="&amp;$B$5)))</f>
        <v/>
      </c>
      <c r="F37">
        <f>IF($A37="","",IF($C37=0,"",MINIFS('Teacher Rankings'!I:I,'Teacher Rankings'!B:B,$A37,'Teacher Rankings'!A:A,"&gt;="&amp;$B$4,'Teacher Rankings'!A:A,"&lt;="&amp;$B$5)))</f>
        <v/>
      </c>
      <c r="G37">
        <f>IF($D37="","",RANK($D37,$D$8:$D$207,0))</f>
        <v/>
      </c>
      <c r="H37">
        <f>IF($D37="","",IF($D37&gt;=90,"Outstanding",IF($D37&gt;=75,"Very Good",IF($D37&gt;=60,"Good","Needs Support"))))</f>
        <v/>
      </c>
    </row>
    <row r="38">
      <c r="A38">
        <f>IF(Teachers!A32="","",Teachers!A32)</f>
        <v/>
      </c>
      <c r="B38">
        <f>IF(Teachers!A32="","",Teachers!B32)</f>
        <v/>
      </c>
      <c r="C38">
        <f>IF($A38="","",COUNTIFS('Teacher Rankings'!B:B,$A38,'Teacher Rankings'!A:A,"&gt;="&amp;$B$4,'Teacher Rankings'!A:A,"&lt;="&amp;$B$5))</f>
        <v/>
      </c>
      <c r="D38">
        <f>IF($A38="","",IF($C38=0,"",ROUND(AVERAGEIFS('Teacher Rankings'!I:I,'Teacher Rankings'!B:B,$A38,'Teacher Rankings'!A:A,"&gt;="&amp;$B$4,'Teacher Rankings'!A:A,"&lt;="&amp;$B$5),0)))</f>
        <v/>
      </c>
      <c r="E38">
        <f>IF($A38="","",IF($C38=0,"",MAXIFS('Teacher Rankings'!I:I,'Teacher Rankings'!B:B,$A38,'Teacher Rankings'!A:A,"&gt;="&amp;$B$4,'Teacher Rankings'!A:A,"&lt;="&amp;$B$5)))</f>
        <v/>
      </c>
      <c r="F38">
        <f>IF($A38="","",IF($C38=0,"",MINIFS('Teacher Rankings'!I:I,'Teacher Rankings'!B:B,$A38,'Teacher Rankings'!A:A,"&gt;="&amp;$B$4,'Teacher Rankings'!A:A,"&lt;="&amp;$B$5)))</f>
        <v/>
      </c>
      <c r="G38">
        <f>IF($D38="","",RANK($D38,$D$8:$D$207,0))</f>
        <v/>
      </c>
      <c r="H38">
        <f>IF($D38="","",IF($D38&gt;=90,"Outstanding",IF($D38&gt;=75,"Very Good",IF($D38&gt;=60,"Good","Needs Support"))))</f>
        <v/>
      </c>
    </row>
    <row r="39">
      <c r="A39">
        <f>IF(Teachers!A33="","",Teachers!A33)</f>
        <v/>
      </c>
      <c r="B39">
        <f>IF(Teachers!A33="","",Teachers!B33)</f>
        <v/>
      </c>
      <c r="C39">
        <f>IF($A39="","",COUNTIFS('Teacher Rankings'!B:B,$A39,'Teacher Rankings'!A:A,"&gt;="&amp;$B$4,'Teacher Rankings'!A:A,"&lt;="&amp;$B$5))</f>
        <v/>
      </c>
      <c r="D39">
        <f>IF($A39="","",IF($C39=0,"",ROUND(AVERAGEIFS('Teacher Rankings'!I:I,'Teacher Rankings'!B:B,$A39,'Teacher Rankings'!A:A,"&gt;="&amp;$B$4,'Teacher Rankings'!A:A,"&lt;="&amp;$B$5),0)))</f>
        <v/>
      </c>
      <c r="E39">
        <f>IF($A39="","",IF($C39=0,"",MAXIFS('Teacher Rankings'!I:I,'Teacher Rankings'!B:B,$A39,'Teacher Rankings'!A:A,"&gt;="&amp;$B$4,'Teacher Rankings'!A:A,"&lt;="&amp;$B$5)))</f>
        <v/>
      </c>
      <c r="F39">
        <f>IF($A39="","",IF($C39=0,"",MINIFS('Teacher Rankings'!I:I,'Teacher Rankings'!B:B,$A39,'Teacher Rankings'!A:A,"&gt;="&amp;$B$4,'Teacher Rankings'!A:A,"&lt;="&amp;$B$5)))</f>
        <v/>
      </c>
      <c r="G39">
        <f>IF($D39="","",RANK($D39,$D$8:$D$207,0))</f>
        <v/>
      </c>
      <c r="H39">
        <f>IF($D39="","",IF($D39&gt;=90,"Outstanding",IF($D39&gt;=75,"Very Good",IF($D39&gt;=60,"Good","Needs Support"))))</f>
        <v/>
      </c>
    </row>
    <row r="40">
      <c r="A40">
        <f>IF(Teachers!A34="","",Teachers!A34)</f>
        <v/>
      </c>
      <c r="B40">
        <f>IF(Teachers!A34="","",Teachers!B34)</f>
        <v/>
      </c>
      <c r="C40">
        <f>IF($A40="","",COUNTIFS('Teacher Rankings'!B:B,$A40,'Teacher Rankings'!A:A,"&gt;="&amp;$B$4,'Teacher Rankings'!A:A,"&lt;="&amp;$B$5))</f>
        <v/>
      </c>
      <c r="D40">
        <f>IF($A40="","",IF($C40=0,"",ROUND(AVERAGEIFS('Teacher Rankings'!I:I,'Teacher Rankings'!B:B,$A40,'Teacher Rankings'!A:A,"&gt;="&amp;$B$4,'Teacher Rankings'!A:A,"&lt;="&amp;$B$5),0)))</f>
        <v/>
      </c>
      <c r="E40">
        <f>IF($A40="","",IF($C40=0,"",MAXIFS('Teacher Rankings'!I:I,'Teacher Rankings'!B:B,$A40,'Teacher Rankings'!A:A,"&gt;="&amp;$B$4,'Teacher Rankings'!A:A,"&lt;="&amp;$B$5)))</f>
        <v/>
      </c>
      <c r="F40">
        <f>IF($A40="","",IF($C40=0,"",MINIFS('Teacher Rankings'!I:I,'Teacher Rankings'!B:B,$A40,'Teacher Rankings'!A:A,"&gt;="&amp;$B$4,'Teacher Rankings'!A:A,"&lt;="&amp;$B$5)))</f>
        <v/>
      </c>
      <c r="G40">
        <f>IF($D40="","",RANK($D40,$D$8:$D$207,0))</f>
        <v/>
      </c>
      <c r="H40">
        <f>IF($D40="","",IF($D40&gt;=90,"Outstanding",IF($D40&gt;=75,"Very Good",IF($D40&gt;=60,"Good","Needs Support"))))</f>
        <v/>
      </c>
    </row>
    <row r="41">
      <c r="A41">
        <f>IF(Teachers!A35="","",Teachers!A35)</f>
        <v/>
      </c>
      <c r="B41">
        <f>IF(Teachers!A35="","",Teachers!B35)</f>
        <v/>
      </c>
      <c r="C41">
        <f>IF($A41="","",COUNTIFS('Teacher Rankings'!B:B,$A41,'Teacher Rankings'!A:A,"&gt;="&amp;$B$4,'Teacher Rankings'!A:A,"&lt;="&amp;$B$5))</f>
        <v/>
      </c>
      <c r="D41">
        <f>IF($A41="","",IF($C41=0,"",ROUND(AVERAGEIFS('Teacher Rankings'!I:I,'Teacher Rankings'!B:B,$A41,'Teacher Rankings'!A:A,"&gt;="&amp;$B$4,'Teacher Rankings'!A:A,"&lt;="&amp;$B$5),0)))</f>
        <v/>
      </c>
      <c r="E41">
        <f>IF($A41="","",IF($C41=0,"",MAXIFS('Teacher Rankings'!I:I,'Teacher Rankings'!B:B,$A41,'Teacher Rankings'!A:A,"&gt;="&amp;$B$4,'Teacher Rankings'!A:A,"&lt;="&amp;$B$5)))</f>
        <v/>
      </c>
      <c r="F41">
        <f>IF($A41="","",IF($C41=0,"",MINIFS('Teacher Rankings'!I:I,'Teacher Rankings'!B:B,$A41,'Teacher Rankings'!A:A,"&gt;="&amp;$B$4,'Teacher Rankings'!A:A,"&lt;="&amp;$B$5)))</f>
        <v/>
      </c>
      <c r="G41">
        <f>IF($D41="","",RANK($D41,$D$8:$D$207,0))</f>
        <v/>
      </c>
      <c r="H41">
        <f>IF($D41="","",IF($D41&gt;=90,"Outstanding",IF($D41&gt;=75,"Very Good",IF($D41&gt;=60,"Good","Needs Support"))))</f>
        <v/>
      </c>
    </row>
    <row r="42">
      <c r="A42">
        <f>IF(Teachers!A36="","",Teachers!A36)</f>
        <v/>
      </c>
      <c r="B42">
        <f>IF(Teachers!A36="","",Teachers!B36)</f>
        <v/>
      </c>
      <c r="C42">
        <f>IF($A42="","",COUNTIFS('Teacher Rankings'!B:B,$A42,'Teacher Rankings'!A:A,"&gt;="&amp;$B$4,'Teacher Rankings'!A:A,"&lt;="&amp;$B$5))</f>
        <v/>
      </c>
      <c r="D42">
        <f>IF($A42="","",IF($C42=0,"",ROUND(AVERAGEIFS('Teacher Rankings'!I:I,'Teacher Rankings'!B:B,$A42,'Teacher Rankings'!A:A,"&gt;="&amp;$B$4,'Teacher Rankings'!A:A,"&lt;="&amp;$B$5),0)))</f>
        <v/>
      </c>
      <c r="E42">
        <f>IF($A42="","",IF($C42=0,"",MAXIFS('Teacher Rankings'!I:I,'Teacher Rankings'!B:B,$A42,'Teacher Rankings'!A:A,"&gt;="&amp;$B$4,'Teacher Rankings'!A:A,"&lt;="&amp;$B$5)))</f>
        <v/>
      </c>
      <c r="F42">
        <f>IF($A42="","",IF($C42=0,"",MINIFS('Teacher Rankings'!I:I,'Teacher Rankings'!B:B,$A42,'Teacher Rankings'!A:A,"&gt;="&amp;$B$4,'Teacher Rankings'!A:A,"&lt;="&amp;$B$5)))</f>
        <v/>
      </c>
      <c r="G42">
        <f>IF($D42="","",RANK($D42,$D$8:$D$207,0))</f>
        <v/>
      </c>
      <c r="H42">
        <f>IF($D42="","",IF($D42&gt;=90,"Outstanding",IF($D42&gt;=75,"Very Good",IF($D42&gt;=60,"Good","Needs Support"))))</f>
        <v/>
      </c>
    </row>
    <row r="43">
      <c r="A43">
        <f>IF(Teachers!A37="","",Teachers!A37)</f>
        <v/>
      </c>
      <c r="B43">
        <f>IF(Teachers!A37="","",Teachers!B37)</f>
        <v/>
      </c>
      <c r="C43">
        <f>IF($A43="","",COUNTIFS('Teacher Rankings'!B:B,$A43,'Teacher Rankings'!A:A,"&gt;="&amp;$B$4,'Teacher Rankings'!A:A,"&lt;="&amp;$B$5))</f>
        <v/>
      </c>
      <c r="D43">
        <f>IF($A43="","",IF($C43=0,"",ROUND(AVERAGEIFS('Teacher Rankings'!I:I,'Teacher Rankings'!B:B,$A43,'Teacher Rankings'!A:A,"&gt;="&amp;$B$4,'Teacher Rankings'!A:A,"&lt;="&amp;$B$5),0)))</f>
        <v/>
      </c>
      <c r="E43">
        <f>IF($A43="","",IF($C43=0,"",MAXIFS('Teacher Rankings'!I:I,'Teacher Rankings'!B:B,$A43,'Teacher Rankings'!A:A,"&gt;="&amp;$B$4,'Teacher Rankings'!A:A,"&lt;="&amp;$B$5)))</f>
        <v/>
      </c>
      <c r="F43">
        <f>IF($A43="","",IF($C43=0,"",MINIFS('Teacher Rankings'!I:I,'Teacher Rankings'!B:B,$A43,'Teacher Rankings'!A:A,"&gt;="&amp;$B$4,'Teacher Rankings'!A:A,"&lt;="&amp;$B$5)))</f>
        <v/>
      </c>
      <c r="G43">
        <f>IF($D43="","",RANK($D43,$D$8:$D$207,0))</f>
        <v/>
      </c>
      <c r="H43">
        <f>IF($D43="","",IF($D43&gt;=90,"Outstanding",IF($D43&gt;=75,"Very Good",IF($D43&gt;=60,"Good","Needs Support"))))</f>
        <v/>
      </c>
    </row>
    <row r="44">
      <c r="A44">
        <f>IF(Teachers!A38="","",Teachers!A38)</f>
        <v/>
      </c>
      <c r="B44">
        <f>IF(Teachers!A38="","",Teachers!B38)</f>
        <v/>
      </c>
      <c r="C44">
        <f>IF($A44="","",COUNTIFS('Teacher Rankings'!B:B,$A44,'Teacher Rankings'!A:A,"&gt;="&amp;$B$4,'Teacher Rankings'!A:A,"&lt;="&amp;$B$5))</f>
        <v/>
      </c>
      <c r="D44">
        <f>IF($A44="","",IF($C44=0,"",ROUND(AVERAGEIFS('Teacher Rankings'!I:I,'Teacher Rankings'!B:B,$A44,'Teacher Rankings'!A:A,"&gt;="&amp;$B$4,'Teacher Rankings'!A:A,"&lt;="&amp;$B$5),0)))</f>
        <v/>
      </c>
      <c r="E44">
        <f>IF($A44="","",IF($C44=0,"",MAXIFS('Teacher Rankings'!I:I,'Teacher Rankings'!B:B,$A44,'Teacher Rankings'!A:A,"&gt;="&amp;$B$4,'Teacher Rankings'!A:A,"&lt;="&amp;$B$5)))</f>
        <v/>
      </c>
      <c r="F44">
        <f>IF($A44="","",IF($C44=0,"",MINIFS('Teacher Rankings'!I:I,'Teacher Rankings'!B:B,$A44,'Teacher Rankings'!A:A,"&gt;="&amp;$B$4,'Teacher Rankings'!A:A,"&lt;="&amp;$B$5)))</f>
        <v/>
      </c>
      <c r="G44">
        <f>IF($D44="","",RANK($D44,$D$8:$D$207,0))</f>
        <v/>
      </c>
      <c r="H44">
        <f>IF($D44="","",IF($D44&gt;=90,"Outstanding",IF($D44&gt;=75,"Very Good",IF($D44&gt;=60,"Good","Needs Support"))))</f>
        <v/>
      </c>
    </row>
    <row r="45">
      <c r="A45">
        <f>IF(Teachers!A39="","",Teachers!A39)</f>
        <v/>
      </c>
      <c r="B45">
        <f>IF(Teachers!A39="","",Teachers!B39)</f>
        <v/>
      </c>
      <c r="C45">
        <f>IF($A45="","",COUNTIFS('Teacher Rankings'!B:B,$A45,'Teacher Rankings'!A:A,"&gt;="&amp;$B$4,'Teacher Rankings'!A:A,"&lt;="&amp;$B$5))</f>
        <v/>
      </c>
      <c r="D45">
        <f>IF($A45="","",IF($C45=0,"",ROUND(AVERAGEIFS('Teacher Rankings'!I:I,'Teacher Rankings'!B:B,$A45,'Teacher Rankings'!A:A,"&gt;="&amp;$B$4,'Teacher Rankings'!A:A,"&lt;="&amp;$B$5),0)))</f>
        <v/>
      </c>
      <c r="E45">
        <f>IF($A45="","",IF($C45=0,"",MAXIFS('Teacher Rankings'!I:I,'Teacher Rankings'!B:B,$A45,'Teacher Rankings'!A:A,"&gt;="&amp;$B$4,'Teacher Rankings'!A:A,"&lt;="&amp;$B$5)))</f>
        <v/>
      </c>
      <c r="F45">
        <f>IF($A45="","",IF($C45=0,"",MINIFS('Teacher Rankings'!I:I,'Teacher Rankings'!B:B,$A45,'Teacher Rankings'!A:A,"&gt;="&amp;$B$4,'Teacher Rankings'!A:A,"&lt;="&amp;$B$5)))</f>
        <v/>
      </c>
      <c r="G45">
        <f>IF($D45="","",RANK($D45,$D$8:$D$207,0))</f>
        <v/>
      </c>
      <c r="H45">
        <f>IF($D45="","",IF($D45&gt;=90,"Outstanding",IF($D45&gt;=75,"Very Good",IF($D45&gt;=60,"Good","Needs Support"))))</f>
        <v/>
      </c>
    </row>
    <row r="46">
      <c r="A46">
        <f>IF(Teachers!A40="","",Teachers!A40)</f>
        <v/>
      </c>
      <c r="B46">
        <f>IF(Teachers!A40="","",Teachers!B40)</f>
        <v/>
      </c>
      <c r="C46">
        <f>IF($A46="","",COUNTIFS('Teacher Rankings'!B:B,$A46,'Teacher Rankings'!A:A,"&gt;="&amp;$B$4,'Teacher Rankings'!A:A,"&lt;="&amp;$B$5))</f>
        <v/>
      </c>
      <c r="D46">
        <f>IF($A46="","",IF($C46=0,"",ROUND(AVERAGEIFS('Teacher Rankings'!I:I,'Teacher Rankings'!B:B,$A46,'Teacher Rankings'!A:A,"&gt;="&amp;$B$4,'Teacher Rankings'!A:A,"&lt;="&amp;$B$5),0)))</f>
        <v/>
      </c>
      <c r="E46">
        <f>IF($A46="","",IF($C46=0,"",MAXIFS('Teacher Rankings'!I:I,'Teacher Rankings'!B:B,$A46,'Teacher Rankings'!A:A,"&gt;="&amp;$B$4,'Teacher Rankings'!A:A,"&lt;="&amp;$B$5)))</f>
        <v/>
      </c>
      <c r="F46">
        <f>IF($A46="","",IF($C46=0,"",MINIFS('Teacher Rankings'!I:I,'Teacher Rankings'!B:B,$A46,'Teacher Rankings'!A:A,"&gt;="&amp;$B$4,'Teacher Rankings'!A:A,"&lt;="&amp;$B$5)))</f>
        <v/>
      </c>
      <c r="G46">
        <f>IF($D46="","",RANK($D46,$D$8:$D$207,0))</f>
        <v/>
      </c>
      <c r="H46">
        <f>IF($D46="","",IF($D46&gt;=90,"Outstanding",IF($D46&gt;=75,"Very Good",IF($D46&gt;=60,"Good","Needs Support"))))</f>
        <v/>
      </c>
    </row>
    <row r="47">
      <c r="A47">
        <f>IF(Teachers!A41="","",Teachers!A41)</f>
        <v/>
      </c>
      <c r="B47">
        <f>IF(Teachers!A41="","",Teachers!B41)</f>
        <v/>
      </c>
      <c r="C47">
        <f>IF($A47="","",COUNTIFS('Teacher Rankings'!B:B,$A47,'Teacher Rankings'!A:A,"&gt;="&amp;$B$4,'Teacher Rankings'!A:A,"&lt;="&amp;$B$5))</f>
        <v/>
      </c>
      <c r="D47">
        <f>IF($A47="","",IF($C47=0,"",ROUND(AVERAGEIFS('Teacher Rankings'!I:I,'Teacher Rankings'!B:B,$A47,'Teacher Rankings'!A:A,"&gt;="&amp;$B$4,'Teacher Rankings'!A:A,"&lt;="&amp;$B$5),0)))</f>
        <v/>
      </c>
      <c r="E47">
        <f>IF($A47="","",IF($C47=0,"",MAXIFS('Teacher Rankings'!I:I,'Teacher Rankings'!B:B,$A47,'Teacher Rankings'!A:A,"&gt;="&amp;$B$4,'Teacher Rankings'!A:A,"&lt;="&amp;$B$5)))</f>
        <v/>
      </c>
      <c r="F47">
        <f>IF($A47="","",IF($C47=0,"",MINIFS('Teacher Rankings'!I:I,'Teacher Rankings'!B:B,$A47,'Teacher Rankings'!A:A,"&gt;="&amp;$B$4,'Teacher Rankings'!A:A,"&lt;="&amp;$B$5)))</f>
        <v/>
      </c>
      <c r="G47">
        <f>IF($D47="","",RANK($D47,$D$8:$D$207,0))</f>
        <v/>
      </c>
      <c r="H47">
        <f>IF($D47="","",IF($D47&gt;=90,"Outstanding",IF($D47&gt;=75,"Very Good",IF($D47&gt;=60,"Good","Needs Support"))))</f>
        <v/>
      </c>
    </row>
    <row r="48">
      <c r="A48">
        <f>IF(Teachers!A42="","",Teachers!A42)</f>
        <v/>
      </c>
      <c r="B48">
        <f>IF(Teachers!A42="","",Teachers!B42)</f>
        <v/>
      </c>
      <c r="C48">
        <f>IF($A48="","",COUNTIFS('Teacher Rankings'!B:B,$A48,'Teacher Rankings'!A:A,"&gt;="&amp;$B$4,'Teacher Rankings'!A:A,"&lt;="&amp;$B$5))</f>
        <v/>
      </c>
      <c r="D48">
        <f>IF($A48="","",IF($C48=0,"",ROUND(AVERAGEIFS('Teacher Rankings'!I:I,'Teacher Rankings'!B:B,$A48,'Teacher Rankings'!A:A,"&gt;="&amp;$B$4,'Teacher Rankings'!A:A,"&lt;="&amp;$B$5),0)))</f>
        <v/>
      </c>
      <c r="E48">
        <f>IF($A48="","",IF($C48=0,"",MAXIFS('Teacher Rankings'!I:I,'Teacher Rankings'!B:B,$A48,'Teacher Rankings'!A:A,"&gt;="&amp;$B$4,'Teacher Rankings'!A:A,"&lt;="&amp;$B$5)))</f>
        <v/>
      </c>
      <c r="F48">
        <f>IF($A48="","",IF($C48=0,"",MINIFS('Teacher Rankings'!I:I,'Teacher Rankings'!B:B,$A48,'Teacher Rankings'!A:A,"&gt;="&amp;$B$4,'Teacher Rankings'!A:A,"&lt;="&amp;$B$5)))</f>
        <v/>
      </c>
      <c r="G48">
        <f>IF($D48="","",RANK($D48,$D$8:$D$207,0))</f>
        <v/>
      </c>
      <c r="H48">
        <f>IF($D48="","",IF($D48&gt;=90,"Outstanding",IF($D48&gt;=75,"Very Good",IF($D48&gt;=60,"Good","Needs Support"))))</f>
        <v/>
      </c>
    </row>
    <row r="49">
      <c r="A49">
        <f>IF(Teachers!A43="","",Teachers!A43)</f>
        <v/>
      </c>
      <c r="B49">
        <f>IF(Teachers!A43="","",Teachers!B43)</f>
        <v/>
      </c>
      <c r="C49">
        <f>IF($A49="","",COUNTIFS('Teacher Rankings'!B:B,$A49,'Teacher Rankings'!A:A,"&gt;="&amp;$B$4,'Teacher Rankings'!A:A,"&lt;="&amp;$B$5))</f>
        <v/>
      </c>
      <c r="D49">
        <f>IF($A49="","",IF($C49=0,"",ROUND(AVERAGEIFS('Teacher Rankings'!I:I,'Teacher Rankings'!B:B,$A49,'Teacher Rankings'!A:A,"&gt;="&amp;$B$4,'Teacher Rankings'!A:A,"&lt;="&amp;$B$5),0)))</f>
        <v/>
      </c>
      <c r="E49">
        <f>IF($A49="","",IF($C49=0,"",MAXIFS('Teacher Rankings'!I:I,'Teacher Rankings'!B:B,$A49,'Teacher Rankings'!A:A,"&gt;="&amp;$B$4,'Teacher Rankings'!A:A,"&lt;="&amp;$B$5)))</f>
        <v/>
      </c>
      <c r="F49">
        <f>IF($A49="","",IF($C49=0,"",MINIFS('Teacher Rankings'!I:I,'Teacher Rankings'!B:B,$A49,'Teacher Rankings'!A:A,"&gt;="&amp;$B$4,'Teacher Rankings'!A:A,"&lt;="&amp;$B$5)))</f>
        <v/>
      </c>
      <c r="G49">
        <f>IF($D49="","",RANK($D49,$D$8:$D$207,0))</f>
        <v/>
      </c>
      <c r="H49">
        <f>IF($D49="","",IF($D49&gt;=90,"Outstanding",IF($D49&gt;=75,"Very Good",IF($D49&gt;=60,"Good","Needs Support"))))</f>
        <v/>
      </c>
    </row>
    <row r="50">
      <c r="A50">
        <f>IF(Teachers!A44="","",Teachers!A44)</f>
        <v/>
      </c>
      <c r="B50">
        <f>IF(Teachers!A44="","",Teachers!B44)</f>
        <v/>
      </c>
      <c r="C50">
        <f>IF($A50="","",COUNTIFS('Teacher Rankings'!B:B,$A50,'Teacher Rankings'!A:A,"&gt;="&amp;$B$4,'Teacher Rankings'!A:A,"&lt;="&amp;$B$5))</f>
        <v/>
      </c>
      <c r="D50">
        <f>IF($A50="","",IF($C50=0,"",ROUND(AVERAGEIFS('Teacher Rankings'!I:I,'Teacher Rankings'!B:B,$A50,'Teacher Rankings'!A:A,"&gt;="&amp;$B$4,'Teacher Rankings'!A:A,"&lt;="&amp;$B$5),0)))</f>
        <v/>
      </c>
      <c r="E50">
        <f>IF($A50="","",IF($C50=0,"",MAXIFS('Teacher Rankings'!I:I,'Teacher Rankings'!B:B,$A50,'Teacher Rankings'!A:A,"&gt;="&amp;$B$4,'Teacher Rankings'!A:A,"&lt;="&amp;$B$5)))</f>
        <v/>
      </c>
      <c r="F50">
        <f>IF($A50="","",IF($C50=0,"",MINIFS('Teacher Rankings'!I:I,'Teacher Rankings'!B:B,$A50,'Teacher Rankings'!A:A,"&gt;="&amp;$B$4,'Teacher Rankings'!A:A,"&lt;="&amp;$B$5)))</f>
        <v/>
      </c>
      <c r="G50">
        <f>IF($D50="","",RANK($D50,$D$8:$D$207,0))</f>
        <v/>
      </c>
      <c r="H50">
        <f>IF($D50="","",IF($D50&gt;=90,"Outstanding",IF($D50&gt;=75,"Very Good",IF($D50&gt;=60,"Good","Needs Support"))))</f>
        <v/>
      </c>
    </row>
    <row r="51">
      <c r="A51">
        <f>IF(Teachers!A45="","",Teachers!A45)</f>
        <v/>
      </c>
      <c r="B51">
        <f>IF(Teachers!A45="","",Teachers!B45)</f>
        <v/>
      </c>
      <c r="C51">
        <f>IF($A51="","",COUNTIFS('Teacher Rankings'!B:B,$A51,'Teacher Rankings'!A:A,"&gt;="&amp;$B$4,'Teacher Rankings'!A:A,"&lt;="&amp;$B$5))</f>
        <v/>
      </c>
      <c r="D51">
        <f>IF($A51="","",IF($C51=0,"",ROUND(AVERAGEIFS('Teacher Rankings'!I:I,'Teacher Rankings'!B:B,$A51,'Teacher Rankings'!A:A,"&gt;="&amp;$B$4,'Teacher Rankings'!A:A,"&lt;="&amp;$B$5),0)))</f>
        <v/>
      </c>
      <c r="E51">
        <f>IF($A51="","",IF($C51=0,"",MAXIFS('Teacher Rankings'!I:I,'Teacher Rankings'!B:B,$A51,'Teacher Rankings'!A:A,"&gt;="&amp;$B$4,'Teacher Rankings'!A:A,"&lt;="&amp;$B$5)))</f>
        <v/>
      </c>
      <c r="F51">
        <f>IF($A51="","",IF($C51=0,"",MINIFS('Teacher Rankings'!I:I,'Teacher Rankings'!B:B,$A51,'Teacher Rankings'!A:A,"&gt;="&amp;$B$4,'Teacher Rankings'!A:A,"&lt;="&amp;$B$5)))</f>
        <v/>
      </c>
      <c r="G51">
        <f>IF($D51="","",RANK($D51,$D$8:$D$207,0))</f>
        <v/>
      </c>
      <c r="H51">
        <f>IF($D51="","",IF($D51&gt;=90,"Outstanding",IF($D51&gt;=75,"Very Good",IF($D51&gt;=60,"Good","Needs Support"))))</f>
        <v/>
      </c>
    </row>
    <row r="52">
      <c r="A52">
        <f>IF(Teachers!A46="","",Teachers!A46)</f>
        <v/>
      </c>
      <c r="B52">
        <f>IF(Teachers!A46="","",Teachers!B46)</f>
        <v/>
      </c>
      <c r="C52">
        <f>IF($A52="","",COUNTIFS('Teacher Rankings'!B:B,$A52,'Teacher Rankings'!A:A,"&gt;="&amp;$B$4,'Teacher Rankings'!A:A,"&lt;="&amp;$B$5))</f>
        <v/>
      </c>
      <c r="D52">
        <f>IF($A52="","",IF($C52=0,"",ROUND(AVERAGEIFS('Teacher Rankings'!I:I,'Teacher Rankings'!B:B,$A52,'Teacher Rankings'!A:A,"&gt;="&amp;$B$4,'Teacher Rankings'!A:A,"&lt;="&amp;$B$5),0)))</f>
        <v/>
      </c>
      <c r="E52">
        <f>IF($A52="","",IF($C52=0,"",MAXIFS('Teacher Rankings'!I:I,'Teacher Rankings'!B:B,$A52,'Teacher Rankings'!A:A,"&gt;="&amp;$B$4,'Teacher Rankings'!A:A,"&lt;="&amp;$B$5)))</f>
        <v/>
      </c>
      <c r="F52">
        <f>IF($A52="","",IF($C52=0,"",MINIFS('Teacher Rankings'!I:I,'Teacher Rankings'!B:B,$A52,'Teacher Rankings'!A:A,"&gt;="&amp;$B$4,'Teacher Rankings'!A:A,"&lt;="&amp;$B$5)))</f>
        <v/>
      </c>
      <c r="G52">
        <f>IF($D52="","",RANK($D52,$D$8:$D$207,0))</f>
        <v/>
      </c>
      <c r="H52">
        <f>IF($D52="","",IF($D52&gt;=90,"Outstanding",IF($D52&gt;=75,"Very Good",IF($D52&gt;=60,"Good","Needs Support"))))</f>
        <v/>
      </c>
    </row>
    <row r="53">
      <c r="A53">
        <f>IF(Teachers!A47="","",Teachers!A47)</f>
        <v/>
      </c>
      <c r="B53">
        <f>IF(Teachers!A47="","",Teachers!B47)</f>
        <v/>
      </c>
      <c r="C53">
        <f>IF($A53="","",COUNTIFS('Teacher Rankings'!B:B,$A53,'Teacher Rankings'!A:A,"&gt;="&amp;$B$4,'Teacher Rankings'!A:A,"&lt;="&amp;$B$5))</f>
        <v/>
      </c>
      <c r="D53">
        <f>IF($A53="","",IF($C53=0,"",ROUND(AVERAGEIFS('Teacher Rankings'!I:I,'Teacher Rankings'!B:B,$A53,'Teacher Rankings'!A:A,"&gt;="&amp;$B$4,'Teacher Rankings'!A:A,"&lt;="&amp;$B$5),0)))</f>
        <v/>
      </c>
      <c r="E53">
        <f>IF($A53="","",IF($C53=0,"",MAXIFS('Teacher Rankings'!I:I,'Teacher Rankings'!B:B,$A53,'Teacher Rankings'!A:A,"&gt;="&amp;$B$4,'Teacher Rankings'!A:A,"&lt;="&amp;$B$5)))</f>
        <v/>
      </c>
      <c r="F53">
        <f>IF($A53="","",IF($C53=0,"",MINIFS('Teacher Rankings'!I:I,'Teacher Rankings'!B:B,$A53,'Teacher Rankings'!A:A,"&gt;="&amp;$B$4,'Teacher Rankings'!A:A,"&lt;="&amp;$B$5)))</f>
        <v/>
      </c>
      <c r="G53">
        <f>IF($D53="","",RANK($D53,$D$8:$D$207,0))</f>
        <v/>
      </c>
      <c r="H53">
        <f>IF($D53="","",IF($D53&gt;=90,"Outstanding",IF($D53&gt;=75,"Very Good",IF($D53&gt;=60,"Good","Needs Support"))))</f>
        <v/>
      </c>
    </row>
    <row r="54">
      <c r="A54">
        <f>IF(Teachers!A48="","",Teachers!A48)</f>
        <v/>
      </c>
      <c r="B54">
        <f>IF(Teachers!A48="","",Teachers!B48)</f>
        <v/>
      </c>
      <c r="C54">
        <f>IF($A54="","",COUNTIFS('Teacher Rankings'!B:B,$A54,'Teacher Rankings'!A:A,"&gt;="&amp;$B$4,'Teacher Rankings'!A:A,"&lt;="&amp;$B$5))</f>
        <v/>
      </c>
      <c r="D54">
        <f>IF($A54="","",IF($C54=0,"",ROUND(AVERAGEIFS('Teacher Rankings'!I:I,'Teacher Rankings'!B:B,$A54,'Teacher Rankings'!A:A,"&gt;="&amp;$B$4,'Teacher Rankings'!A:A,"&lt;="&amp;$B$5),0)))</f>
        <v/>
      </c>
      <c r="E54">
        <f>IF($A54="","",IF($C54=0,"",MAXIFS('Teacher Rankings'!I:I,'Teacher Rankings'!B:B,$A54,'Teacher Rankings'!A:A,"&gt;="&amp;$B$4,'Teacher Rankings'!A:A,"&lt;="&amp;$B$5)))</f>
        <v/>
      </c>
      <c r="F54">
        <f>IF($A54="","",IF($C54=0,"",MINIFS('Teacher Rankings'!I:I,'Teacher Rankings'!B:B,$A54,'Teacher Rankings'!A:A,"&gt;="&amp;$B$4,'Teacher Rankings'!A:A,"&lt;="&amp;$B$5)))</f>
        <v/>
      </c>
      <c r="G54">
        <f>IF($D54="","",RANK($D54,$D$8:$D$207,0))</f>
        <v/>
      </c>
      <c r="H54">
        <f>IF($D54="","",IF($D54&gt;=90,"Outstanding",IF($D54&gt;=75,"Very Good",IF($D54&gt;=60,"Good","Needs Support"))))</f>
        <v/>
      </c>
    </row>
    <row r="55">
      <c r="A55">
        <f>IF(Teachers!A49="","",Teachers!A49)</f>
        <v/>
      </c>
      <c r="B55">
        <f>IF(Teachers!A49="","",Teachers!B49)</f>
        <v/>
      </c>
      <c r="C55">
        <f>IF($A55="","",COUNTIFS('Teacher Rankings'!B:B,$A55,'Teacher Rankings'!A:A,"&gt;="&amp;$B$4,'Teacher Rankings'!A:A,"&lt;="&amp;$B$5))</f>
        <v/>
      </c>
      <c r="D55">
        <f>IF($A55="","",IF($C55=0,"",ROUND(AVERAGEIFS('Teacher Rankings'!I:I,'Teacher Rankings'!B:B,$A55,'Teacher Rankings'!A:A,"&gt;="&amp;$B$4,'Teacher Rankings'!A:A,"&lt;="&amp;$B$5),0)))</f>
        <v/>
      </c>
      <c r="E55">
        <f>IF($A55="","",IF($C55=0,"",MAXIFS('Teacher Rankings'!I:I,'Teacher Rankings'!B:B,$A55,'Teacher Rankings'!A:A,"&gt;="&amp;$B$4,'Teacher Rankings'!A:A,"&lt;="&amp;$B$5)))</f>
        <v/>
      </c>
      <c r="F55">
        <f>IF($A55="","",IF($C55=0,"",MINIFS('Teacher Rankings'!I:I,'Teacher Rankings'!B:B,$A55,'Teacher Rankings'!A:A,"&gt;="&amp;$B$4,'Teacher Rankings'!A:A,"&lt;="&amp;$B$5)))</f>
        <v/>
      </c>
      <c r="G55">
        <f>IF($D55="","",RANK($D55,$D$8:$D$207,0))</f>
        <v/>
      </c>
      <c r="H55">
        <f>IF($D55="","",IF($D55&gt;=90,"Outstanding",IF($D55&gt;=75,"Very Good",IF($D55&gt;=60,"Good","Needs Support"))))</f>
        <v/>
      </c>
    </row>
    <row r="56">
      <c r="A56">
        <f>IF(Teachers!A50="","",Teachers!A50)</f>
        <v/>
      </c>
      <c r="B56">
        <f>IF(Teachers!A50="","",Teachers!B50)</f>
        <v/>
      </c>
      <c r="C56">
        <f>IF($A56="","",COUNTIFS('Teacher Rankings'!B:B,$A56,'Teacher Rankings'!A:A,"&gt;="&amp;$B$4,'Teacher Rankings'!A:A,"&lt;="&amp;$B$5))</f>
        <v/>
      </c>
      <c r="D56">
        <f>IF($A56="","",IF($C56=0,"",ROUND(AVERAGEIFS('Teacher Rankings'!I:I,'Teacher Rankings'!B:B,$A56,'Teacher Rankings'!A:A,"&gt;="&amp;$B$4,'Teacher Rankings'!A:A,"&lt;="&amp;$B$5),0)))</f>
        <v/>
      </c>
      <c r="E56">
        <f>IF($A56="","",IF($C56=0,"",MAXIFS('Teacher Rankings'!I:I,'Teacher Rankings'!B:B,$A56,'Teacher Rankings'!A:A,"&gt;="&amp;$B$4,'Teacher Rankings'!A:A,"&lt;="&amp;$B$5)))</f>
        <v/>
      </c>
      <c r="F56">
        <f>IF($A56="","",IF($C56=0,"",MINIFS('Teacher Rankings'!I:I,'Teacher Rankings'!B:B,$A56,'Teacher Rankings'!A:A,"&gt;="&amp;$B$4,'Teacher Rankings'!A:A,"&lt;="&amp;$B$5)))</f>
        <v/>
      </c>
      <c r="G56">
        <f>IF($D56="","",RANK($D56,$D$8:$D$207,0))</f>
        <v/>
      </c>
      <c r="H56">
        <f>IF($D56="","",IF($D56&gt;=90,"Outstanding",IF($D56&gt;=75,"Very Good",IF($D56&gt;=60,"Good","Needs Support"))))</f>
        <v/>
      </c>
    </row>
    <row r="57">
      <c r="A57">
        <f>IF(Teachers!A51="","",Teachers!A51)</f>
        <v/>
      </c>
      <c r="B57">
        <f>IF(Teachers!A51="","",Teachers!B51)</f>
        <v/>
      </c>
      <c r="C57">
        <f>IF($A57="","",COUNTIFS('Teacher Rankings'!B:B,$A57,'Teacher Rankings'!A:A,"&gt;="&amp;$B$4,'Teacher Rankings'!A:A,"&lt;="&amp;$B$5))</f>
        <v/>
      </c>
      <c r="D57">
        <f>IF($A57="","",IF($C57=0,"",ROUND(AVERAGEIFS('Teacher Rankings'!I:I,'Teacher Rankings'!B:B,$A57,'Teacher Rankings'!A:A,"&gt;="&amp;$B$4,'Teacher Rankings'!A:A,"&lt;="&amp;$B$5),0)))</f>
        <v/>
      </c>
      <c r="E57">
        <f>IF($A57="","",IF($C57=0,"",MAXIFS('Teacher Rankings'!I:I,'Teacher Rankings'!B:B,$A57,'Teacher Rankings'!A:A,"&gt;="&amp;$B$4,'Teacher Rankings'!A:A,"&lt;="&amp;$B$5)))</f>
        <v/>
      </c>
      <c r="F57">
        <f>IF($A57="","",IF($C57=0,"",MINIFS('Teacher Rankings'!I:I,'Teacher Rankings'!B:B,$A57,'Teacher Rankings'!A:A,"&gt;="&amp;$B$4,'Teacher Rankings'!A:A,"&lt;="&amp;$B$5)))</f>
        <v/>
      </c>
      <c r="G57">
        <f>IF($D57="","",RANK($D57,$D$8:$D$207,0))</f>
        <v/>
      </c>
      <c r="H57">
        <f>IF($D57="","",IF($D57&gt;=90,"Outstanding",IF($D57&gt;=75,"Very Good",IF($D57&gt;=60,"Good","Needs Support"))))</f>
        <v/>
      </c>
    </row>
    <row r="58">
      <c r="A58">
        <f>IF(Teachers!A52="","",Teachers!A52)</f>
        <v/>
      </c>
      <c r="B58">
        <f>IF(Teachers!A52="","",Teachers!B52)</f>
        <v/>
      </c>
      <c r="C58">
        <f>IF($A58="","",COUNTIFS('Teacher Rankings'!B:B,$A58,'Teacher Rankings'!A:A,"&gt;="&amp;$B$4,'Teacher Rankings'!A:A,"&lt;="&amp;$B$5))</f>
        <v/>
      </c>
      <c r="D58">
        <f>IF($A58="","",IF($C58=0,"",ROUND(AVERAGEIFS('Teacher Rankings'!I:I,'Teacher Rankings'!B:B,$A58,'Teacher Rankings'!A:A,"&gt;="&amp;$B$4,'Teacher Rankings'!A:A,"&lt;="&amp;$B$5),0)))</f>
        <v/>
      </c>
      <c r="E58">
        <f>IF($A58="","",IF($C58=0,"",MAXIFS('Teacher Rankings'!I:I,'Teacher Rankings'!B:B,$A58,'Teacher Rankings'!A:A,"&gt;="&amp;$B$4,'Teacher Rankings'!A:A,"&lt;="&amp;$B$5)))</f>
        <v/>
      </c>
      <c r="F58">
        <f>IF($A58="","",IF($C58=0,"",MINIFS('Teacher Rankings'!I:I,'Teacher Rankings'!B:B,$A58,'Teacher Rankings'!A:A,"&gt;="&amp;$B$4,'Teacher Rankings'!A:A,"&lt;="&amp;$B$5)))</f>
        <v/>
      </c>
      <c r="G58">
        <f>IF($D58="","",RANK($D58,$D$8:$D$207,0))</f>
        <v/>
      </c>
      <c r="H58">
        <f>IF($D58="","",IF($D58&gt;=90,"Outstanding",IF($D58&gt;=75,"Very Good",IF($D58&gt;=60,"Good","Needs Support"))))</f>
        <v/>
      </c>
    </row>
    <row r="59">
      <c r="A59">
        <f>IF(Teachers!A53="","",Teachers!A53)</f>
        <v/>
      </c>
      <c r="B59">
        <f>IF(Teachers!A53="","",Teachers!B53)</f>
        <v/>
      </c>
      <c r="C59">
        <f>IF($A59="","",COUNTIFS('Teacher Rankings'!B:B,$A59,'Teacher Rankings'!A:A,"&gt;="&amp;$B$4,'Teacher Rankings'!A:A,"&lt;="&amp;$B$5))</f>
        <v/>
      </c>
      <c r="D59">
        <f>IF($A59="","",IF($C59=0,"",ROUND(AVERAGEIFS('Teacher Rankings'!I:I,'Teacher Rankings'!B:B,$A59,'Teacher Rankings'!A:A,"&gt;="&amp;$B$4,'Teacher Rankings'!A:A,"&lt;="&amp;$B$5),0)))</f>
        <v/>
      </c>
      <c r="E59">
        <f>IF($A59="","",IF($C59=0,"",MAXIFS('Teacher Rankings'!I:I,'Teacher Rankings'!B:B,$A59,'Teacher Rankings'!A:A,"&gt;="&amp;$B$4,'Teacher Rankings'!A:A,"&lt;="&amp;$B$5)))</f>
        <v/>
      </c>
      <c r="F59">
        <f>IF($A59="","",IF($C59=0,"",MINIFS('Teacher Rankings'!I:I,'Teacher Rankings'!B:B,$A59,'Teacher Rankings'!A:A,"&gt;="&amp;$B$4,'Teacher Rankings'!A:A,"&lt;="&amp;$B$5)))</f>
        <v/>
      </c>
      <c r="G59">
        <f>IF($D59="","",RANK($D59,$D$8:$D$207,0))</f>
        <v/>
      </c>
      <c r="H59">
        <f>IF($D59="","",IF($D59&gt;=90,"Outstanding",IF($D59&gt;=75,"Very Good",IF($D59&gt;=60,"Good","Needs Support"))))</f>
        <v/>
      </c>
    </row>
    <row r="60">
      <c r="A60">
        <f>IF(Teachers!A54="","",Teachers!A54)</f>
        <v/>
      </c>
      <c r="B60">
        <f>IF(Teachers!A54="","",Teachers!B54)</f>
        <v/>
      </c>
      <c r="C60">
        <f>IF($A60="","",COUNTIFS('Teacher Rankings'!B:B,$A60,'Teacher Rankings'!A:A,"&gt;="&amp;$B$4,'Teacher Rankings'!A:A,"&lt;="&amp;$B$5))</f>
        <v/>
      </c>
      <c r="D60">
        <f>IF($A60="","",IF($C60=0,"",ROUND(AVERAGEIFS('Teacher Rankings'!I:I,'Teacher Rankings'!B:B,$A60,'Teacher Rankings'!A:A,"&gt;="&amp;$B$4,'Teacher Rankings'!A:A,"&lt;="&amp;$B$5),0)))</f>
        <v/>
      </c>
      <c r="E60">
        <f>IF($A60="","",IF($C60=0,"",MAXIFS('Teacher Rankings'!I:I,'Teacher Rankings'!B:B,$A60,'Teacher Rankings'!A:A,"&gt;="&amp;$B$4,'Teacher Rankings'!A:A,"&lt;="&amp;$B$5)))</f>
        <v/>
      </c>
      <c r="F60">
        <f>IF($A60="","",IF($C60=0,"",MINIFS('Teacher Rankings'!I:I,'Teacher Rankings'!B:B,$A60,'Teacher Rankings'!A:A,"&gt;="&amp;$B$4,'Teacher Rankings'!A:A,"&lt;="&amp;$B$5)))</f>
        <v/>
      </c>
      <c r="G60">
        <f>IF($D60="","",RANK($D60,$D$8:$D$207,0))</f>
        <v/>
      </c>
      <c r="H60">
        <f>IF($D60="","",IF($D60&gt;=90,"Outstanding",IF($D60&gt;=75,"Very Good",IF($D60&gt;=60,"Good","Needs Support"))))</f>
        <v/>
      </c>
    </row>
    <row r="61">
      <c r="A61">
        <f>IF(Teachers!A55="","",Teachers!A55)</f>
        <v/>
      </c>
      <c r="B61">
        <f>IF(Teachers!A55="","",Teachers!B55)</f>
        <v/>
      </c>
      <c r="C61">
        <f>IF($A61="","",COUNTIFS('Teacher Rankings'!B:B,$A61,'Teacher Rankings'!A:A,"&gt;="&amp;$B$4,'Teacher Rankings'!A:A,"&lt;="&amp;$B$5))</f>
        <v/>
      </c>
      <c r="D61">
        <f>IF($A61="","",IF($C61=0,"",ROUND(AVERAGEIFS('Teacher Rankings'!I:I,'Teacher Rankings'!B:B,$A61,'Teacher Rankings'!A:A,"&gt;="&amp;$B$4,'Teacher Rankings'!A:A,"&lt;="&amp;$B$5),0)))</f>
        <v/>
      </c>
      <c r="E61">
        <f>IF($A61="","",IF($C61=0,"",MAXIFS('Teacher Rankings'!I:I,'Teacher Rankings'!B:B,$A61,'Teacher Rankings'!A:A,"&gt;="&amp;$B$4,'Teacher Rankings'!A:A,"&lt;="&amp;$B$5)))</f>
        <v/>
      </c>
      <c r="F61">
        <f>IF($A61="","",IF($C61=0,"",MINIFS('Teacher Rankings'!I:I,'Teacher Rankings'!B:B,$A61,'Teacher Rankings'!A:A,"&gt;="&amp;$B$4,'Teacher Rankings'!A:A,"&lt;="&amp;$B$5)))</f>
        <v/>
      </c>
      <c r="G61">
        <f>IF($D61="","",RANK($D61,$D$8:$D$207,0))</f>
        <v/>
      </c>
      <c r="H61">
        <f>IF($D61="","",IF($D61&gt;=90,"Outstanding",IF($D61&gt;=75,"Very Good",IF($D61&gt;=60,"Good","Needs Support"))))</f>
        <v/>
      </c>
    </row>
    <row r="62">
      <c r="A62">
        <f>IF(Teachers!A56="","",Teachers!A56)</f>
        <v/>
      </c>
      <c r="B62">
        <f>IF(Teachers!A56="","",Teachers!B56)</f>
        <v/>
      </c>
      <c r="C62">
        <f>IF($A62="","",COUNTIFS('Teacher Rankings'!B:B,$A62,'Teacher Rankings'!A:A,"&gt;="&amp;$B$4,'Teacher Rankings'!A:A,"&lt;="&amp;$B$5))</f>
        <v/>
      </c>
      <c r="D62">
        <f>IF($A62="","",IF($C62=0,"",ROUND(AVERAGEIFS('Teacher Rankings'!I:I,'Teacher Rankings'!B:B,$A62,'Teacher Rankings'!A:A,"&gt;="&amp;$B$4,'Teacher Rankings'!A:A,"&lt;="&amp;$B$5),0)))</f>
        <v/>
      </c>
      <c r="E62">
        <f>IF($A62="","",IF($C62=0,"",MAXIFS('Teacher Rankings'!I:I,'Teacher Rankings'!B:B,$A62,'Teacher Rankings'!A:A,"&gt;="&amp;$B$4,'Teacher Rankings'!A:A,"&lt;="&amp;$B$5)))</f>
        <v/>
      </c>
      <c r="F62">
        <f>IF($A62="","",IF($C62=0,"",MINIFS('Teacher Rankings'!I:I,'Teacher Rankings'!B:B,$A62,'Teacher Rankings'!A:A,"&gt;="&amp;$B$4,'Teacher Rankings'!A:A,"&lt;="&amp;$B$5)))</f>
        <v/>
      </c>
      <c r="G62">
        <f>IF($D62="","",RANK($D62,$D$8:$D$207,0))</f>
        <v/>
      </c>
      <c r="H62">
        <f>IF($D62="","",IF($D62&gt;=90,"Outstanding",IF($D62&gt;=75,"Very Good",IF($D62&gt;=60,"Good","Needs Support"))))</f>
        <v/>
      </c>
    </row>
    <row r="63">
      <c r="A63">
        <f>IF(Teachers!A57="","",Teachers!A57)</f>
        <v/>
      </c>
      <c r="B63">
        <f>IF(Teachers!A57="","",Teachers!B57)</f>
        <v/>
      </c>
      <c r="C63">
        <f>IF($A63="","",COUNTIFS('Teacher Rankings'!B:B,$A63,'Teacher Rankings'!A:A,"&gt;="&amp;$B$4,'Teacher Rankings'!A:A,"&lt;="&amp;$B$5))</f>
        <v/>
      </c>
      <c r="D63">
        <f>IF($A63="","",IF($C63=0,"",ROUND(AVERAGEIFS('Teacher Rankings'!I:I,'Teacher Rankings'!B:B,$A63,'Teacher Rankings'!A:A,"&gt;="&amp;$B$4,'Teacher Rankings'!A:A,"&lt;="&amp;$B$5),0)))</f>
        <v/>
      </c>
      <c r="E63">
        <f>IF($A63="","",IF($C63=0,"",MAXIFS('Teacher Rankings'!I:I,'Teacher Rankings'!B:B,$A63,'Teacher Rankings'!A:A,"&gt;="&amp;$B$4,'Teacher Rankings'!A:A,"&lt;="&amp;$B$5)))</f>
        <v/>
      </c>
      <c r="F63">
        <f>IF($A63="","",IF($C63=0,"",MINIFS('Teacher Rankings'!I:I,'Teacher Rankings'!B:B,$A63,'Teacher Rankings'!A:A,"&gt;="&amp;$B$4,'Teacher Rankings'!A:A,"&lt;="&amp;$B$5)))</f>
        <v/>
      </c>
      <c r="G63">
        <f>IF($D63="","",RANK($D63,$D$8:$D$207,0))</f>
        <v/>
      </c>
      <c r="H63">
        <f>IF($D63="","",IF($D63&gt;=90,"Outstanding",IF($D63&gt;=75,"Very Good",IF($D63&gt;=60,"Good","Needs Support"))))</f>
        <v/>
      </c>
    </row>
    <row r="64">
      <c r="A64">
        <f>IF(Teachers!A58="","",Teachers!A58)</f>
        <v/>
      </c>
      <c r="B64">
        <f>IF(Teachers!A58="","",Teachers!B58)</f>
        <v/>
      </c>
      <c r="C64">
        <f>IF($A64="","",COUNTIFS('Teacher Rankings'!B:B,$A64,'Teacher Rankings'!A:A,"&gt;="&amp;$B$4,'Teacher Rankings'!A:A,"&lt;="&amp;$B$5))</f>
        <v/>
      </c>
      <c r="D64">
        <f>IF($A64="","",IF($C64=0,"",ROUND(AVERAGEIFS('Teacher Rankings'!I:I,'Teacher Rankings'!B:B,$A64,'Teacher Rankings'!A:A,"&gt;="&amp;$B$4,'Teacher Rankings'!A:A,"&lt;="&amp;$B$5),0)))</f>
        <v/>
      </c>
      <c r="E64">
        <f>IF($A64="","",IF($C64=0,"",MAXIFS('Teacher Rankings'!I:I,'Teacher Rankings'!B:B,$A64,'Teacher Rankings'!A:A,"&gt;="&amp;$B$4,'Teacher Rankings'!A:A,"&lt;="&amp;$B$5)))</f>
        <v/>
      </c>
      <c r="F64">
        <f>IF($A64="","",IF($C64=0,"",MINIFS('Teacher Rankings'!I:I,'Teacher Rankings'!B:B,$A64,'Teacher Rankings'!A:A,"&gt;="&amp;$B$4,'Teacher Rankings'!A:A,"&lt;="&amp;$B$5)))</f>
        <v/>
      </c>
      <c r="G64">
        <f>IF($D64="","",RANK($D64,$D$8:$D$207,0))</f>
        <v/>
      </c>
      <c r="H64">
        <f>IF($D64="","",IF($D64&gt;=90,"Outstanding",IF($D64&gt;=75,"Very Good",IF($D64&gt;=60,"Good","Needs Support"))))</f>
        <v/>
      </c>
    </row>
    <row r="65">
      <c r="A65">
        <f>IF(Teachers!A59="","",Teachers!A59)</f>
        <v/>
      </c>
      <c r="B65">
        <f>IF(Teachers!A59="","",Teachers!B59)</f>
        <v/>
      </c>
      <c r="C65">
        <f>IF($A65="","",COUNTIFS('Teacher Rankings'!B:B,$A65,'Teacher Rankings'!A:A,"&gt;="&amp;$B$4,'Teacher Rankings'!A:A,"&lt;="&amp;$B$5))</f>
        <v/>
      </c>
      <c r="D65">
        <f>IF($A65="","",IF($C65=0,"",ROUND(AVERAGEIFS('Teacher Rankings'!I:I,'Teacher Rankings'!B:B,$A65,'Teacher Rankings'!A:A,"&gt;="&amp;$B$4,'Teacher Rankings'!A:A,"&lt;="&amp;$B$5),0)))</f>
        <v/>
      </c>
      <c r="E65">
        <f>IF($A65="","",IF($C65=0,"",MAXIFS('Teacher Rankings'!I:I,'Teacher Rankings'!B:B,$A65,'Teacher Rankings'!A:A,"&gt;="&amp;$B$4,'Teacher Rankings'!A:A,"&lt;="&amp;$B$5)))</f>
        <v/>
      </c>
      <c r="F65">
        <f>IF($A65="","",IF($C65=0,"",MINIFS('Teacher Rankings'!I:I,'Teacher Rankings'!B:B,$A65,'Teacher Rankings'!A:A,"&gt;="&amp;$B$4,'Teacher Rankings'!A:A,"&lt;="&amp;$B$5)))</f>
        <v/>
      </c>
      <c r="G65">
        <f>IF($D65="","",RANK($D65,$D$8:$D$207,0))</f>
        <v/>
      </c>
      <c r="H65">
        <f>IF($D65="","",IF($D65&gt;=90,"Outstanding",IF($D65&gt;=75,"Very Good",IF($D65&gt;=60,"Good","Needs Support"))))</f>
        <v/>
      </c>
    </row>
    <row r="66">
      <c r="A66">
        <f>IF(Teachers!A60="","",Teachers!A60)</f>
        <v/>
      </c>
      <c r="B66">
        <f>IF(Teachers!A60="","",Teachers!B60)</f>
        <v/>
      </c>
      <c r="C66">
        <f>IF($A66="","",COUNTIFS('Teacher Rankings'!B:B,$A66,'Teacher Rankings'!A:A,"&gt;="&amp;$B$4,'Teacher Rankings'!A:A,"&lt;="&amp;$B$5))</f>
        <v/>
      </c>
      <c r="D66">
        <f>IF($A66="","",IF($C66=0,"",ROUND(AVERAGEIFS('Teacher Rankings'!I:I,'Teacher Rankings'!B:B,$A66,'Teacher Rankings'!A:A,"&gt;="&amp;$B$4,'Teacher Rankings'!A:A,"&lt;="&amp;$B$5),0)))</f>
        <v/>
      </c>
      <c r="E66">
        <f>IF($A66="","",IF($C66=0,"",MAXIFS('Teacher Rankings'!I:I,'Teacher Rankings'!B:B,$A66,'Teacher Rankings'!A:A,"&gt;="&amp;$B$4,'Teacher Rankings'!A:A,"&lt;="&amp;$B$5)))</f>
        <v/>
      </c>
      <c r="F66">
        <f>IF($A66="","",IF($C66=0,"",MINIFS('Teacher Rankings'!I:I,'Teacher Rankings'!B:B,$A66,'Teacher Rankings'!A:A,"&gt;="&amp;$B$4,'Teacher Rankings'!A:A,"&lt;="&amp;$B$5)))</f>
        <v/>
      </c>
      <c r="G66">
        <f>IF($D66="","",RANK($D66,$D$8:$D$207,0))</f>
        <v/>
      </c>
      <c r="H66">
        <f>IF($D66="","",IF($D66&gt;=90,"Outstanding",IF($D66&gt;=75,"Very Good",IF($D66&gt;=60,"Good","Needs Support"))))</f>
        <v/>
      </c>
    </row>
    <row r="67">
      <c r="A67">
        <f>IF(Teachers!A61="","",Teachers!A61)</f>
        <v/>
      </c>
      <c r="B67">
        <f>IF(Teachers!A61="","",Teachers!B61)</f>
        <v/>
      </c>
      <c r="C67">
        <f>IF($A67="","",COUNTIFS('Teacher Rankings'!B:B,$A67,'Teacher Rankings'!A:A,"&gt;="&amp;$B$4,'Teacher Rankings'!A:A,"&lt;="&amp;$B$5))</f>
        <v/>
      </c>
      <c r="D67">
        <f>IF($A67="","",IF($C67=0,"",ROUND(AVERAGEIFS('Teacher Rankings'!I:I,'Teacher Rankings'!B:B,$A67,'Teacher Rankings'!A:A,"&gt;="&amp;$B$4,'Teacher Rankings'!A:A,"&lt;="&amp;$B$5),0)))</f>
        <v/>
      </c>
      <c r="E67">
        <f>IF($A67="","",IF($C67=0,"",MAXIFS('Teacher Rankings'!I:I,'Teacher Rankings'!B:B,$A67,'Teacher Rankings'!A:A,"&gt;="&amp;$B$4,'Teacher Rankings'!A:A,"&lt;="&amp;$B$5)))</f>
        <v/>
      </c>
      <c r="F67">
        <f>IF($A67="","",IF($C67=0,"",MINIFS('Teacher Rankings'!I:I,'Teacher Rankings'!B:B,$A67,'Teacher Rankings'!A:A,"&gt;="&amp;$B$4,'Teacher Rankings'!A:A,"&lt;="&amp;$B$5)))</f>
        <v/>
      </c>
      <c r="G67">
        <f>IF($D67="","",RANK($D67,$D$8:$D$207,0))</f>
        <v/>
      </c>
      <c r="H67">
        <f>IF($D67="","",IF($D67&gt;=90,"Outstanding",IF($D67&gt;=75,"Very Good",IF($D67&gt;=60,"Good","Needs Support"))))</f>
        <v/>
      </c>
    </row>
    <row r="68">
      <c r="A68">
        <f>IF(Teachers!A62="","",Teachers!A62)</f>
        <v/>
      </c>
      <c r="B68">
        <f>IF(Teachers!A62="","",Teachers!B62)</f>
        <v/>
      </c>
      <c r="C68">
        <f>IF($A68="","",COUNTIFS('Teacher Rankings'!B:B,$A68,'Teacher Rankings'!A:A,"&gt;="&amp;$B$4,'Teacher Rankings'!A:A,"&lt;="&amp;$B$5))</f>
        <v/>
      </c>
      <c r="D68">
        <f>IF($A68="","",IF($C68=0,"",ROUND(AVERAGEIFS('Teacher Rankings'!I:I,'Teacher Rankings'!B:B,$A68,'Teacher Rankings'!A:A,"&gt;="&amp;$B$4,'Teacher Rankings'!A:A,"&lt;="&amp;$B$5),0)))</f>
        <v/>
      </c>
      <c r="E68">
        <f>IF($A68="","",IF($C68=0,"",MAXIFS('Teacher Rankings'!I:I,'Teacher Rankings'!B:B,$A68,'Teacher Rankings'!A:A,"&gt;="&amp;$B$4,'Teacher Rankings'!A:A,"&lt;="&amp;$B$5)))</f>
        <v/>
      </c>
      <c r="F68">
        <f>IF($A68="","",IF($C68=0,"",MINIFS('Teacher Rankings'!I:I,'Teacher Rankings'!B:B,$A68,'Teacher Rankings'!A:A,"&gt;="&amp;$B$4,'Teacher Rankings'!A:A,"&lt;="&amp;$B$5)))</f>
        <v/>
      </c>
      <c r="G68">
        <f>IF($D68="","",RANK($D68,$D$8:$D$207,0))</f>
        <v/>
      </c>
      <c r="H68">
        <f>IF($D68="","",IF($D68&gt;=90,"Outstanding",IF($D68&gt;=75,"Very Good",IF($D68&gt;=60,"Good","Needs Support"))))</f>
        <v/>
      </c>
    </row>
    <row r="69">
      <c r="A69">
        <f>IF(Teachers!A63="","",Teachers!A63)</f>
        <v/>
      </c>
      <c r="B69">
        <f>IF(Teachers!A63="","",Teachers!B63)</f>
        <v/>
      </c>
      <c r="C69">
        <f>IF($A69="","",COUNTIFS('Teacher Rankings'!B:B,$A69,'Teacher Rankings'!A:A,"&gt;="&amp;$B$4,'Teacher Rankings'!A:A,"&lt;="&amp;$B$5))</f>
        <v/>
      </c>
      <c r="D69">
        <f>IF($A69="","",IF($C69=0,"",ROUND(AVERAGEIFS('Teacher Rankings'!I:I,'Teacher Rankings'!B:B,$A69,'Teacher Rankings'!A:A,"&gt;="&amp;$B$4,'Teacher Rankings'!A:A,"&lt;="&amp;$B$5),0)))</f>
        <v/>
      </c>
      <c r="E69">
        <f>IF($A69="","",IF($C69=0,"",MAXIFS('Teacher Rankings'!I:I,'Teacher Rankings'!B:B,$A69,'Teacher Rankings'!A:A,"&gt;="&amp;$B$4,'Teacher Rankings'!A:A,"&lt;="&amp;$B$5)))</f>
        <v/>
      </c>
      <c r="F69">
        <f>IF($A69="","",IF($C69=0,"",MINIFS('Teacher Rankings'!I:I,'Teacher Rankings'!B:B,$A69,'Teacher Rankings'!A:A,"&gt;="&amp;$B$4,'Teacher Rankings'!A:A,"&lt;="&amp;$B$5)))</f>
        <v/>
      </c>
      <c r="G69">
        <f>IF($D69="","",RANK($D69,$D$8:$D$207,0))</f>
        <v/>
      </c>
      <c r="H69">
        <f>IF($D69="","",IF($D69&gt;=90,"Outstanding",IF($D69&gt;=75,"Very Good",IF($D69&gt;=60,"Good","Needs Support"))))</f>
        <v/>
      </c>
    </row>
    <row r="70">
      <c r="A70">
        <f>IF(Teachers!A64="","",Teachers!A64)</f>
        <v/>
      </c>
      <c r="B70">
        <f>IF(Teachers!A64="","",Teachers!B64)</f>
        <v/>
      </c>
      <c r="C70">
        <f>IF($A70="","",COUNTIFS('Teacher Rankings'!B:B,$A70,'Teacher Rankings'!A:A,"&gt;="&amp;$B$4,'Teacher Rankings'!A:A,"&lt;="&amp;$B$5))</f>
        <v/>
      </c>
      <c r="D70">
        <f>IF($A70="","",IF($C70=0,"",ROUND(AVERAGEIFS('Teacher Rankings'!I:I,'Teacher Rankings'!B:B,$A70,'Teacher Rankings'!A:A,"&gt;="&amp;$B$4,'Teacher Rankings'!A:A,"&lt;="&amp;$B$5),0)))</f>
        <v/>
      </c>
      <c r="E70">
        <f>IF($A70="","",IF($C70=0,"",MAXIFS('Teacher Rankings'!I:I,'Teacher Rankings'!B:B,$A70,'Teacher Rankings'!A:A,"&gt;="&amp;$B$4,'Teacher Rankings'!A:A,"&lt;="&amp;$B$5)))</f>
        <v/>
      </c>
      <c r="F70">
        <f>IF($A70="","",IF($C70=0,"",MINIFS('Teacher Rankings'!I:I,'Teacher Rankings'!B:B,$A70,'Teacher Rankings'!A:A,"&gt;="&amp;$B$4,'Teacher Rankings'!A:A,"&lt;="&amp;$B$5)))</f>
        <v/>
      </c>
      <c r="G70">
        <f>IF($D70="","",RANK($D70,$D$8:$D$207,0))</f>
        <v/>
      </c>
      <c r="H70">
        <f>IF($D70="","",IF($D70&gt;=90,"Outstanding",IF($D70&gt;=75,"Very Good",IF($D70&gt;=60,"Good","Needs Support"))))</f>
        <v/>
      </c>
    </row>
    <row r="71">
      <c r="A71">
        <f>IF(Teachers!A65="","",Teachers!A65)</f>
        <v/>
      </c>
      <c r="B71">
        <f>IF(Teachers!A65="","",Teachers!B65)</f>
        <v/>
      </c>
      <c r="C71">
        <f>IF($A71="","",COUNTIFS('Teacher Rankings'!B:B,$A71,'Teacher Rankings'!A:A,"&gt;="&amp;$B$4,'Teacher Rankings'!A:A,"&lt;="&amp;$B$5))</f>
        <v/>
      </c>
      <c r="D71">
        <f>IF($A71="","",IF($C71=0,"",ROUND(AVERAGEIFS('Teacher Rankings'!I:I,'Teacher Rankings'!B:B,$A71,'Teacher Rankings'!A:A,"&gt;="&amp;$B$4,'Teacher Rankings'!A:A,"&lt;="&amp;$B$5),0)))</f>
        <v/>
      </c>
      <c r="E71">
        <f>IF($A71="","",IF($C71=0,"",MAXIFS('Teacher Rankings'!I:I,'Teacher Rankings'!B:B,$A71,'Teacher Rankings'!A:A,"&gt;="&amp;$B$4,'Teacher Rankings'!A:A,"&lt;="&amp;$B$5)))</f>
        <v/>
      </c>
      <c r="F71">
        <f>IF($A71="","",IF($C71=0,"",MINIFS('Teacher Rankings'!I:I,'Teacher Rankings'!B:B,$A71,'Teacher Rankings'!A:A,"&gt;="&amp;$B$4,'Teacher Rankings'!A:A,"&lt;="&amp;$B$5)))</f>
        <v/>
      </c>
      <c r="G71">
        <f>IF($D71="","",RANK($D71,$D$8:$D$207,0))</f>
        <v/>
      </c>
      <c r="H71">
        <f>IF($D71="","",IF($D71&gt;=90,"Outstanding",IF($D71&gt;=75,"Very Good",IF($D71&gt;=60,"Good","Needs Support"))))</f>
        <v/>
      </c>
    </row>
    <row r="72">
      <c r="A72">
        <f>IF(Teachers!A66="","",Teachers!A66)</f>
        <v/>
      </c>
      <c r="B72">
        <f>IF(Teachers!A66="","",Teachers!B66)</f>
        <v/>
      </c>
      <c r="C72">
        <f>IF($A72="","",COUNTIFS('Teacher Rankings'!B:B,$A72,'Teacher Rankings'!A:A,"&gt;="&amp;$B$4,'Teacher Rankings'!A:A,"&lt;="&amp;$B$5))</f>
        <v/>
      </c>
      <c r="D72">
        <f>IF($A72="","",IF($C72=0,"",ROUND(AVERAGEIFS('Teacher Rankings'!I:I,'Teacher Rankings'!B:B,$A72,'Teacher Rankings'!A:A,"&gt;="&amp;$B$4,'Teacher Rankings'!A:A,"&lt;="&amp;$B$5),0)))</f>
        <v/>
      </c>
      <c r="E72">
        <f>IF($A72="","",IF($C72=0,"",MAXIFS('Teacher Rankings'!I:I,'Teacher Rankings'!B:B,$A72,'Teacher Rankings'!A:A,"&gt;="&amp;$B$4,'Teacher Rankings'!A:A,"&lt;="&amp;$B$5)))</f>
        <v/>
      </c>
      <c r="F72">
        <f>IF($A72="","",IF($C72=0,"",MINIFS('Teacher Rankings'!I:I,'Teacher Rankings'!B:B,$A72,'Teacher Rankings'!A:A,"&gt;="&amp;$B$4,'Teacher Rankings'!A:A,"&lt;="&amp;$B$5)))</f>
        <v/>
      </c>
      <c r="G72">
        <f>IF($D72="","",RANK($D72,$D$8:$D$207,0))</f>
        <v/>
      </c>
      <c r="H72">
        <f>IF($D72="","",IF($D72&gt;=90,"Outstanding",IF($D72&gt;=75,"Very Good",IF($D72&gt;=60,"Good","Needs Support"))))</f>
        <v/>
      </c>
    </row>
    <row r="73">
      <c r="A73">
        <f>IF(Teachers!A67="","",Teachers!A67)</f>
        <v/>
      </c>
      <c r="B73">
        <f>IF(Teachers!A67="","",Teachers!B67)</f>
        <v/>
      </c>
      <c r="C73">
        <f>IF($A73="","",COUNTIFS('Teacher Rankings'!B:B,$A73,'Teacher Rankings'!A:A,"&gt;="&amp;$B$4,'Teacher Rankings'!A:A,"&lt;="&amp;$B$5))</f>
        <v/>
      </c>
      <c r="D73">
        <f>IF($A73="","",IF($C73=0,"",ROUND(AVERAGEIFS('Teacher Rankings'!I:I,'Teacher Rankings'!B:B,$A73,'Teacher Rankings'!A:A,"&gt;="&amp;$B$4,'Teacher Rankings'!A:A,"&lt;="&amp;$B$5),0)))</f>
        <v/>
      </c>
      <c r="E73">
        <f>IF($A73="","",IF($C73=0,"",MAXIFS('Teacher Rankings'!I:I,'Teacher Rankings'!B:B,$A73,'Teacher Rankings'!A:A,"&gt;="&amp;$B$4,'Teacher Rankings'!A:A,"&lt;="&amp;$B$5)))</f>
        <v/>
      </c>
      <c r="F73">
        <f>IF($A73="","",IF($C73=0,"",MINIFS('Teacher Rankings'!I:I,'Teacher Rankings'!B:B,$A73,'Teacher Rankings'!A:A,"&gt;="&amp;$B$4,'Teacher Rankings'!A:A,"&lt;="&amp;$B$5)))</f>
        <v/>
      </c>
      <c r="G73">
        <f>IF($D73="","",RANK($D73,$D$8:$D$207,0))</f>
        <v/>
      </c>
      <c r="H73">
        <f>IF($D73="","",IF($D73&gt;=90,"Outstanding",IF($D73&gt;=75,"Very Good",IF($D73&gt;=60,"Good","Needs Support"))))</f>
        <v/>
      </c>
    </row>
    <row r="74">
      <c r="A74">
        <f>IF(Teachers!A68="","",Teachers!A68)</f>
        <v/>
      </c>
      <c r="B74">
        <f>IF(Teachers!A68="","",Teachers!B68)</f>
        <v/>
      </c>
      <c r="C74">
        <f>IF($A74="","",COUNTIFS('Teacher Rankings'!B:B,$A74,'Teacher Rankings'!A:A,"&gt;="&amp;$B$4,'Teacher Rankings'!A:A,"&lt;="&amp;$B$5))</f>
        <v/>
      </c>
      <c r="D74">
        <f>IF($A74="","",IF($C74=0,"",ROUND(AVERAGEIFS('Teacher Rankings'!I:I,'Teacher Rankings'!B:B,$A74,'Teacher Rankings'!A:A,"&gt;="&amp;$B$4,'Teacher Rankings'!A:A,"&lt;="&amp;$B$5),0)))</f>
        <v/>
      </c>
      <c r="E74">
        <f>IF($A74="","",IF($C74=0,"",MAXIFS('Teacher Rankings'!I:I,'Teacher Rankings'!B:B,$A74,'Teacher Rankings'!A:A,"&gt;="&amp;$B$4,'Teacher Rankings'!A:A,"&lt;="&amp;$B$5)))</f>
        <v/>
      </c>
      <c r="F74">
        <f>IF($A74="","",IF($C74=0,"",MINIFS('Teacher Rankings'!I:I,'Teacher Rankings'!B:B,$A74,'Teacher Rankings'!A:A,"&gt;="&amp;$B$4,'Teacher Rankings'!A:A,"&lt;="&amp;$B$5)))</f>
        <v/>
      </c>
      <c r="G74">
        <f>IF($D74="","",RANK($D74,$D$8:$D$207,0))</f>
        <v/>
      </c>
      <c r="H74">
        <f>IF($D74="","",IF($D74&gt;=90,"Outstanding",IF($D74&gt;=75,"Very Good",IF($D74&gt;=60,"Good","Needs Support"))))</f>
        <v/>
      </c>
    </row>
    <row r="75">
      <c r="A75">
        <f>IF(Teachers!A69="","",Teachers!A69)</f>
        <v/>
      </c>
      <c r="B75">
        <f>IF(Teachers!A69="","",Teachers!B69)</f>
        <v/>
      </c>
      <c r="C75">
        <f>IF($A75="","",COUNTIFS('Teacher Rankings'!B:B,$A75,'Teacher Rankings'!A:A,"&gt;="&amp;$B$4,'Teacher Rankings'!A:A,"&lt;="&amp;$B$5))</f>
        <v/>
      </c>
      <c r="D75">
        <f>IF($A75="","",IF($C75=0,"",ROUND(AVERAGEIFS('Teacher Rankings'!I:I,'Teacher Rankings'!B:B,$A75,'Teacher Rankings'!A:A,"&gt;="&amp;$B$4,'Teacher Rankings'!A:A,"&lt;="&amp;$B$5),0)))</f>
        <v/>
      </c>
      <c r="E75">
        <f>IF($A75="","",IF($C75=0,"",MAXIFS('Teacher Rankings'!I:I,'Teacher Rankings'!B:B,$A75,'Teacher Rankings'!A:A,"&gt;="&amp;$B$4,'Teacher Rankings'!A:A,"&lt;="&amp;$B$5)))</f>
        <v/>
      </c>
      <c r="F75">
        <f>IF($A75="","",IF($C75=0,"",MINIFS('Teacher Rankings'!I:I,'Teacher Rankings'!B:B,$A75,'Teacher Rankings'!A:A,"&gt;="&amp;$B$4,'Teacher Rankings'!A:A,"&lt;="&amp;$B$5)))</f>
        <v/>
      </c>
      <c r="G75">
        <f>IF($D75="","",RANK($D75,$D$8:$D$207,0))</f>
        <v/>
      </c>
      <c r="H75">
        <f>IF($D75="","",IF($D75&gt;=90,"Outstanding",IF($D75&gt;=75,"Very Good",IF($D75&gt;=60,"Good","Needs Support"))))</f>
        <v/>
      </c>
    </row>
    <row r="76">
      <c r="A76">
        <f>IF(Teachers!A70="","",Teachers!A70)</f>
        <v/>
      </c>
      <c r="B76">
        <f>IF(Teachers!A70="","",Teachers!B70)</f>
        <v/>
      </c>
      <c r="C76">
        <f>IF($A76="","",COUNTIFS('Teacher Rankings'!B:B,$A76,'Teacher Rankings'!A:A,"&gt;="&amp;$B$4,'Teacher Rankings'!A:A,"&lt;="&amp;$B$5))</f>
        <v/>
      </c>
      <c r="D76">
        <f>IF($A76="","",IF($C76=0,"",ROUND(AVERAGEIFS('Teacher Rankings'!I:I,'Teacher Rankings'!B:B,$A76,'Teacher Rankings'!A:A,"&gt;="&amp;$B$4,'Teacher Rankings'!A:A,"&lt;="&amp;$B$5),0)))</f>
        <v/>
      </c>
      <c r="E76">
        <f>IF($A76="","",IF($C76=0,"",MAXIFS('Teacher Rankings'!I:I,'Teacher Rankings'!B:B,$A76,'Teacher Rankings'!A:A,"&gt;="&amp;$B$4,'Teacher Rankings'!A:A,"&lt;="&amp;$B$5)))</f>
        <v/>
      </c>
      <c r="F76">
        <f>IF($A76="","",IF($C76=0,"",MINIFS('Teacher Rankings'!I:I,'Teacher Rankings'!B:B,$A76,'Teacher Rankings'!A:A,"&gt;="&amp;$B$4,'Teacher Rankings'!A:A,"&lt;="&amp;$B$5)))</f>
        <v/>
      </c>
      <c r="G76">
        <f>IF($D76="","",RANK($D76,$D$8:$D$207,0))</f>
        <v/>
      </c>
      <c r="H76">
        <f>IF($D76="","",IF($D76&gt;=90,"Outstanding",IF($D76&gt;=75,"Very Good",IF($D76&gt;=60,"Good","Needs Support"))))</f>
        <v/>
      </c>
    </row>
    <row r="77">
      <c r="A77">
        <f>IF(Teachers!A71="","",Teachers!A71)</f>
        <v/>
      </c>
      <c r="B77">
        <f>IF(Teachers!A71="","",Teachers!B71)</f>
        <v/>
      </c>
      <c r="C77">
        <f>IF($A77="","",COUNTIFS('Teacher Rankings'!B:B,$A77,'Teacher Rankings'!A:A,"&gt;="&amp;$B$4,'Teacher Rankings'!A:A,"&lt;="&amp;$B$5))</f>
        <v/>
      </c>
      <c r="D77">
        <f>IF($A77="","",IF($C77=0,"",ROUND(AVERAGEIFS('Teacher Rankings'!I:I,'Teacher Rankings'!B:B,$A77,'Teacher Rankings'!A:A,"&gt;="&amp;$B$4,'Teacher Rankings'!A:A,"&lt;="&amp;$B$5),0)))</f>
        <v/>
      </c>
      <c r="E77">
        <f>IF($A77="","",IF($C77=0,"",MAXIFS('Teacher Rankings'!I:I,'Teacher Rankings'!B:B,$A77,'Teacher Rankings'!A:A,"&gt;="&amp;$B$4,'Teacher Rankings'!A:A,"&lt;="&amp;$B$5)))</f>
        <v/>
      </c>
      <c r="F77">
        <f>IF($A77="","",IF($C77=0,"",MINIFS('Teacher Rankings'!I:I,'Teacher Rankings'!B:B,$A77,'Teacher Rankings'!A:A,"&gt;="&amp;$B$4,'Teacher Rankings'!A:A,"&lt;="&amp;$B$5)))</f>
        <v/>
      </c>
      <c r="G77">
        <f>IF($D77="","",RANK($D77,$D$8:$D$207,0))</f>
        <v/>
      </c>
      <c r="H77">
        <f>IF($D77="","",IF($D77&gt;=90,"Outstanding",IF($D77&gt;=75,"Very Good",IF($D77&gt;=60,"Good","Needs Support"))))</f>
        <v/>
      </c>
    </row>
    <row r="78">
      <c r="A78">
        <f>IF(Teachers!A72="","",Teachers!A72)</f>
        <v/>
      </c>
      <c r="B78">
        <f>IF(Teachers!A72="","",Teachers!B72)</f>
        <v/>
      </c>
      <c r="C78">
        <f>IF($A78="","",COUNTIFS('Teacher Rankings'!B:B,$A78,'Teacher Rankings'!A:A,"&gt;="&amp;$B$4,'Teacher Rankings'!A:A,"&lt;="&amp;$B$5))</f>
        <v/>
      </c>
      <c r="D78">
        <f>IF($A78="","",IF($C78=0,"",ROUND(AVERAGEIFS('Teacher Rankings'!I:I,'Teacher Rankings'!B:B,$A78,'Teacher Rankings'!A:A,"&gt;="&amp;$B$4,'Teacher Rankings'!A:A,"&lt;="&amp;$B$5),0)))</f>
        <v/>
      </c>
      <c r="E78">
        <f>IF($A78="","",IF($C78=0,"",MAXIFS('Teacher Rankings'!I:I,'Teacher Rankings'!B:B,$A78,'Teacher Rankings'!A:A,"&gt;="&amp;$B$4,'Teacher Rankings'!A:A,"&lt;="&amp;$B$5)))</f>
        <v/>
      </c>
      <c r="F78">
        <f>IF($A78="","",IF($C78=0,"",MINIFS('Teacher Rankings'!I:I,'Teacher Rankings'!B:B,$A78,'Teacher Rankings'!A:A,"&gt;="&amp;$B$4,'Teacher Rankings'!A:A,"&lt;="&amp;$B$5)))</f>
        <v/>
      </c>
      <c r="G78">
        <f>IF($D78="","",RANK($D78,$D$8:$D$207,0))</f>
        <v/>
      </c>
      <c r="H78">
        <f>IF($D78="","",IF($D78&gt;=90,"Outstanding",IF($D78&gt;=75,"Very Good",IF($D78&gt;=60,"Good","Needs Support"))))</f>
        <v/>
      </c>
    </row>
    <row r="79">
      <c r="A79">
        <f>IF(Teachers!A73="","",Teachers!A73)</f>
        <v/>
      </c>
      <c r="B79">
        <f>IF(Teachers!A73="","",Teachers!B73)</f>
        <v/>
      </c>
      <c r="C79">
        <f>IF($A79="","",COUNTIFS('Teacher Rankings'!B:B,$A79,'Teacher Rankings'!A:A,"&gt;="&amp;$B$4,'Teacher Rankings'!A:A,"&lt;="&amp;$B$5))</f>
        <v/>
      </c>
      <c r="D79">
        <f>IF($A79="","",IF($C79=0,"",ROUND(AVERAGEIFS('Teacher Rankings'!I:I,'Teacher Rankings'!B:B,$A79,'Teacher Rankings'!A:A,"&gt;="&amp;$B$4,'Teacher Rankings'!A:A,"&lt;="&amp;$B$5),0)))</f>
        <v/>
      </c>
      <c r="E79">
        <f>IF($A79="","",IF($C79=0,"",MAXIFS('Teacher Rankings'!I:I,'Teacher Rankings'!B:B,$A79,'Teacher Rankings'!A:A,"&gt;="&amp;$B$4,'Teacher Rankings'!A:A,"&lt;="&amp;$B$5)))</f>
        <v/>
      </c>
      <c r="F79">
        <f>IF($A79="","",IF($C79=0,"",MINIFS('Teacher Rankings'!I:I,'Teacher Rankings'!B:B,$A79,'Teacher Rankings'!A:A,"&gt;="&amp;$B$4,'Teacher Rankings'!A:A,"&lt;="&amp;$B$5)))</f>
        <v/>
      </c>
      <c r="G79">
        <f>IF($D79="","",RANK($D79,$D$8:$D$207,0))</f>
        <v/>
      </c>
      <c r="H79">
        <f>IF($D79="","",IF($D79&gt;=90,"Outstanding",IF($D79&gt;=75,"Very Good",IF($D79&gt;=60,"Good","Needs Support"))))</f>
        <v/>
      </c>
    </row>
    <row r="80">
      <c r="A80">
        <f>IF(Teachers!A74="","",Teachers!A74)</f>
        <v/>
      </c>
      <c r="B80">
        <f>IF(Teachers!A74="","",Teachers!B74)</f>
        <v/>
      </c>
      <c r="C80">
        <f>IF($A80="","",COUNTIFS('Teacher Rankings'!B:B,$A80,'Teacher Rankings'!A:A,"&gt;="&amp;$B$4,'Teacher Rankings'!A:A,"&lt;="&amp;$B$5))</f>
        <v/>
      </c>
      <c r="D80">
        <f>IF($A80="","",IF($C80=0,"",ROUND(AVERAGEIFS('Teacher Rankings'!I:I,'Teacher Rankings'!B:B,$A80,'Teacher Rankings'!A:A,"&gt;="&amp;$B$4,'Teacher Rankings'!A:A,"&lt;="&amp;$B$5),0)))</f>
        <v/>
      </c>
      <c r="E80">
        <f>IF($A80="","",IF($C80=0,"",MAXIFS('Teacher Rankings'!I:I,'Teacher Rankings'!B:B,$A80,'Teacher Rankings'!A:A,"&gt;="&amp;$B$4,'Teacher Rankings'!A:A,"&lt;="&amp;$B$5)))</f>
        <v/>
      </c>
      <c r="F80">
        <f>IF($A80="","",IF($C80=0,"",MINIFS('Teacher Rankings'!I:I,'Teacher Rankings'!B:B,$A80,'Teacher Rankings'!A:A,"&gt;="&amp;$B$4,'Teacher Rankings'!A:A,"&lt;="&amp;$B$5)))</f>
        <v/>
      </c>
      <c r="G80">
        <f>IF($D80="","",RANK($D80,$D$8:$D$207,0))</f>
        <v/>
      </c>
      <c r="H80">
        <f>IF($D80="","",IF($D80&gt;=90,"Outstanding",IF($D80&gt;=75,"Very Good",IF($D80&gt;=60,"Good","Needs Support"))))</f>
        <v/>
      </c>
    </row>
    <row r="81">
      <c r="A81">
        <f>IF(Teachers!A75="","",Teachers!A75)</f>
        <v/>
      </c>
      <c r="B81">
        <f>IF(Teachers!A75="","",Teachers!B75)</f>
        <v/>
      </c>
      <c r="C81">
        <f>IF($A81="","",COUNTIFS('Teacher Rankings'!B:B,$A81,'Teacher Rankings'!A:A,"&gt;="&amp;$B$4,'Teacher Rankings'!A:A,"&lt;="&amp;$B$5))</f>
        <v/>
      </c>
      <c r="D81">
        <f>IF($A81="","",IF($C81=0,"",ROUND(AVERAGEIFS('Teacher Rankings'!I:I,'Teacher Rankings'!B:B,$A81,'Teacher Rankings'!A:A,"&gt;="&amp;$B$4,'Teacher Rankings'!A:A,"&lt;="&amp;$B$5),0)))</f>
        <v/>
      </c>
      <c r="E81">
        <f>IF($A81="","",IF($C81=0,"",MAXIFS('Teacher Rankings'!I:I,'Teacher Rankings'!B:B,$A81,'Teacher Rankings'!A:A,"&gt;="&amp;$B$4,'Teacher Rankings'!A:A,"&lt;="&amp;$B$5)))</f>
        <v/>
      </c>
      <c r="F81">
        <f>IF($A81="","",IF($C81=0,"",MINIFS('Teacher Rankings'!I:I,'Teacher Rankings'!B:B,$A81,'Teacher Rankings'!A:A,"&gt;="&amp;$B$4,'Teacher Rankings'!A:A,"&lt;="&amp;$B$5)))</f>
        <v/>
      </c>
      <c r="G81">
        <f>IF($D81="","",RANK($D81,$D$8:$D$207,0))</f>
        <v/>
      </c>
      <c r="H81">
        <f>IF($D81="","",IF($D81&gt;=90,"Outstanding",IF($D81&gt;=75,"Very Good",IF($D81&gt;=60,"Good","Needs Support"))))</f>
        <v/>
      </c>
    </row>
    <row r="82">
      <c r="A82">
        <f>IF(Teachers!A76="","",Teachers!A76)</f>
        <v/>
      </c>
      <c r="B82">
        <f>IF(Teachers!A76="","",Teachers!B76)</f>
        <v/>
      </c>
      <c r="C82">
        <f>IF($A82="","",COUNTIFS('Teacher Rankings'!B:B,$A82,'Teacher Rankings'!A:A,"&gt;="&amp;$B$4,'Teacher Rankings'!A:A,"&lt;="&amp;$B$5))</f>
        <v/>
      </c>
      <c r="D82">
        <f>IF($A82="","",IF($C82=0,"",ROUND(AVERAGEIFS('Teacher Rankings'!I:I,'Teacher Rankings'!B:B,$A82,'Teacher Rankings'!A:A,"&gt;="&amp;$B$4,'Teacher Rankings'!A:A,"&lt;="&amp;$B$5),0)))</f>
        <v/>
      </c>
      <c r="E82">
        <f>IF($A82="","",IF($C82=0,"",MAXIFS('Teacher Rankings'!I:I,'Teacher Rankings'!B:B,$A82,'Teacher Rankings'!A:A,"&gt;="&amp;$B$4,'Teacher Rankings'!A:A,"&lt;="&amp;$B$5)))</f>
        <v/>
      </c>
      <c r="F82">
        <f>IF($A82="","",IF($C82=0,"",MINIFS('Teacher Rankings'!I:I,'Teacher Rankings'!B:B,$A82,'Teacher Rankings'!A:A,"&gt;="&amp;$B$4,'Teacher Rankings'!A:A,"&lt;="&amp;$B$5)))</f>
        <v/>
      </c>
      <c r="G82">
        <f>IF($D82="","",RANK($D82,$D$8:$D$207,0))</f>
        <v/>
      </c>
      <c r="H82">
        <f>IF($D82="","",IF($D82&gt;=90,"Outstanding",IF($D82&gt;=75,"Very Good",IF($D82&gt;=60,"Good","Needs Support"))))</f>
        <v/>
      </c>
    </row>
    <row r="83">
      <c r="A83">
        <f>IF(Teachers!A77="","",Teachers!A77)</f>
        <v/>
      </c>
      <c r="B83">
        <f>IF(Teachers!A77="","",Teachers!B77)</f>
        <v/>
      </c>
      <c r="C83">
        <f>IF($A83="","",COUNTIFS('Teacher Rankings'!B:B,$A83,'Teacher Rankings'!A:A,"&gt;="&amp;$B$4,'Teacher Rankings'!A:A,"&lt;="&amp;$B$5))</f>
        <v/>
      </c>
      <c r="D83">
        <f>IF($A83="","",IF($C83=0,"",ROUND(AVERAGEIFS('Teacher Rankings'!I:I,'Teacher Rankings'!B:B,$A83,'Teacher Rankings'!A:A,"&gt;="&amp;$B$4,'Teacher Rankings'!A:A,"&lt;="&amp;$B$5),0)))</f>
        <v/>
      </c>
      <c r="E83">
        <f>IF($A83="","",IF($C83=0,"",MAXIFS('Teacher Rankings'!I:I,'Teacher Rankings'!B:B,$A83,'Teacher Rankings'!A:A,"&gt;="&amp;$B$4,'Teacher Rankings'!A:A,"&lt;="&amp;$B$5)))</f>
        <v/>
      </c>
      <c r="F83">
        <f>IF($A83="","",IF($C83=0,"",MINIFS('Teacher Rankings'!I:I,'Teacher Rankings'!B:B,$A83,'Teacher Rankings'!A:A,"&gt;="&amp;$B$4,'Teacher Rankings'!A:A,"&lt;="&amp;$B$5)))</f>
        <v/>
      </c>
      <c r="G83">
        <f>IF($D83="","",RANK($D83,$D$8:$D$207,0))</f>
        <v/>
      </c>
      <c r="H83">
        <f>IF($D83="","",IF($D83&gt;=90,"Outstanding",IF($D83&gt;=75,"Very Good",IF($D83&gt;=60,"Good","Needs Support"))))</f>
        <v/>
      </c>
    </row>
    <row r="84">
      <c r="A84">
        <f>IF(Teachers!A78="","",Teachers!A78)</f>
        <v/>
      </c>
      <c r="B84">
        <f>IF(Teachers!A78="","",Teachers!B78)</f>
        <v/>
      </c>
      <c r="C84">
        <f>IF($A84="","",COUNTIFS('Teacher Rankings'!B:B,$A84,'Teacher Rankings'!A:A,"&gt;="&amp;$B$4,'Teacher Rankings'!A:A,"&lt;="&amp;$B$5))</f>
        <v/>
      </c>
      <c r="D84">
        <f>IF($A84="","",IF($C84=0,"",ROUND(AVERAGEIFS('Teacher Rankings'!I:I,'Teacher Rankings'!B:B,$A84,'Teacher Rankings'!A:A,"&gt;="&amp;$B$4,'Teacher Rankings'!A:A,"&lt;="&amp;$B$5),0)))</f>
        <v/>
      </c>
      <c r="E84">
        <f>IF($A84="","",IF($C84=0,"",MAXIFS('Teacher Rankings'!I:I,'Teacher Rankings'!B:B,$A84,'Teacher Rankings'!A:A,"&gt;="&amp;$B$4,'Teacher Rankings'!A:A,"&lt;="&amp;$B$5)))</f>
        <v/>
      </c>
      <c r="F84">
        <f>IF($A84="","",IF($C84=0,"",MINIFS('Teacher Rankings'!I:I,'Teacher Rankings'!B:B,$A84,'Teacher Rankings'!A:A,"&gt;="&amp;$B$4,'Teacher Rankings'!A:A,"&lt;="&amp;$B$5)))</f>
        <v/>
      </c>
      <c r="G84">
        <f>IF($D84="","",RANK($D84,$D$8:$D$207,0))</f>
        <v/>
      </c>
      <c r="H84">
        <f>IF($D84="","",IF($D84&gt;=90,"Outstanding",IF($D84&gt;=75,"Very Good",IF($D84&gt;=60,"Good","Needs Support"))))</f>
        <v/>
      </c>
    </row>
    <row r="85">
      <c r="A85">
        <f>IF(Teachers!A79="","",Teachers!A79)</f>
        <v/>
      </c>
      <c r="B85">
        <f>IF(Teachers!A79="","",Teachers!B79)</f>
        <v/>
      </c>
      <c r="C85">
        <f>IF($A85="","",COUNTIFS('Teacher Rankings'!B:B,$A85,'Teacher Rankings'!A:A,"&gt;="&amp;$B$4,'Teacher Rankings'!A:A,"&lt;="&amp;$B$5))</f>
        <v/>
      </c>
      <c r="D85">
        <f>IF($A85="","",IF($C85=0,"",ROUND(AVERAGEIFS('Teacher Rankings'!I:I,'Teacher Rankings'!B:B,$A85,'Teacher Rankings'!A:A,"&gt;="&amp;$B$4,'Teacher Rankings'!A:A,"&lt;="&amp;$B$5),0)))</f>
        <v/>
      </c>
      <c r="E85">
        <f>IF($A85="","",IF($C85=0,"",MAXIFS('Teacher Rankings'!I:I,'Teacher Rankings'!B:B,$A85,'Teacher Rankings'!A:A,"&gt;="&amp;$B$4,'Teacher Rankings'!A:A,"&lt;="&amp;$B$5)))</f>
        <v/>
      </c>
      <c r="F85">
        <f>IF($A85="","",IF($C85=0,"",MINIFS('Teacher Rankings'!I:I,'Teacher Rankings'!B:B,$A85,'Teacher Rankings'!A:A,"&gt;="&amp;$B$4,'Teacher Rankings'!A:A,"&lt;="&amp;$B$5)))</f>
        <v/>
      </c>
      <c r="G85">
        <f>IF($D85="","",RANK($D85,$D$8:$D$207,0))</f>
        <v/>
      </c>
      <c r="H85">
        <f>IF($D85="","",IF($D85&gt;=90,"Outstanding",IF($D85&gt;=75,"Very Good",IF($D85&gt;=60,"Good","Needs Support"))))</f>
        <v/>
      </c>
    </row>
    <row r="86">
      <c r="A86">
        <f>IF(Teachers!A80="","",Teachers!A80)</f>
        <v/>
      </c>
      <c r="B86">
        <f>IF(Teachers!A80="","",Teachers!B80)</f>
        <v/>
      </c>
      <c r="C86">
        <f>IF($A86="","",COUNTIFS('Teacher Rankings'!B:B,$A86,'Teacher Rankings'!A:A,"&gt;="&amp;$B$4,'Teacher Rankings'!A:A,"&lt;="&amp;$B$5))</f>
        <v/>
      </c>
      <c r="D86">
        <f>IF($A86="","",IF($C86=0,"",ROUND(AVERAGEIFS('Teacher Rankings'!I:I,'Teacher Rankings'!B:B,$A86,'Teacher Rankings'!A:A,"&gt;="&amp;$B$4,'Teacher Rankings'!A:A,"&lt;="&amp;$B$5),0)))</f>
        <v/>
      </c>
      <c r="E86">
        <f>IF($A86="","",IF($C86=0,"",MAXIFS('Teacher Rankings'!I:I,'Teacher Rankings'!B:B,$A86,'Teacher Rankings'!A:A,"&gt;="&amp;$B$4,'Teacher Rankings'!A:A,"&lt;="&amp;$B$5)))</f>
        <v/>
      </c>
      <c r="F86">
        <f>IF($A86="","",IF($C86=0,"",MINIFS('Teacher Rankings'!I:I,'Teacher Rankings'!B:B,$A86,'Teacher Rankings'!A:A,"&gt;="&amp;$B$4,'Teacher Rankings'!A:A,"&lt;="&amp;$B$5)))</f>
        <v/>
      </c>
      <c r="G86">
        <f>IF($D86="","",RANK($D86,$D$8:$D$207,0))</f>
        <v/>
      </c>
      <c r="H86">
        <f>IF($D86="","",IF($D86&gt;=90,"Outstanding",IF($D86&gt;=75,"Very Good",IF($D86&gt;=60,"Good","Needs Support"))))</f>
        <v/>
      </c>
    </row>
    <row r="87">
      <c r="A87">
        <f>IF(Teachers!A81="","",Teachers!A81)</f>
        <v/>
      </c>
      <c r="B87">
        <f>IF(Teachers!A81="","",Teachers!B81)</f>
        <v/>
      </c>
      <c r="C87">
        <f>IF($A87="","",COUNTIFS('Teacher Rankings'!B:B,$A87,'Teacher Rankings'!A:A,"&gt;="&amp;$B$4,'Teacher Rankings'!A:A,"&lt;="&amp;$B$5))</f>
        <v/>
      </c>
      <c r="D87">
        <f>IF($A87="","",IF($C87=0,"",ROUND(AVERAGEIFS('Teacher Rankings'!I:I,'Teacher Rankings'!B:B,$A87,'Teacher Rankings'!A:A,"&gt;="&amp;$B$4,'Teacher Rankings'!A:A,"&lt;="&amp;$B$5),0)))</f>
        <v/>
      </c>
      <c r="E87">
        <f>IF($A87="","",IF($C87=0,"",MAXIFS('Teacher Rankings'!I:I,'Teacher Rankings'!B:B,$A87,'Teacher Rankings'!A:A,"&gt;="&amp;$B$4,'Teacher Rankings'!A:A,"&lt;="&amp;$B$5)))</f>
        <v/>
      </c>
      <c r="F87">
        <f>IF($A87="","",IF($C87=0,"",MINIFS('Teacher Rankings'!I:I,'Teacher Rankings'!B:B,$A87,'Teacher Rankings'!A:A,"&gt;="&amp;$B$4,'Teacher Rankings'!A:A,"&lt;="&amp;$B$5)))</f>
        <v/>
      </c>
      <c r="G87">
        <f>IF($D87="","",RANK($D87,$D$8:$D$207,0))</f>
        <v/>
      </c>
      <c r="H87">
        <f>IF($D87="","",IF($D87&gt;=90,"Outstanding",IF($D87&gt;=75,"Very Good",IF($D87&gt;=60,"Good","Needs Support"))))</f>
        <v/>
      </c>
    </row>
    <row r="88">
      <c r="A88">
        <f>IF(Teachers!A82="","",Teachers!A82)</f>
        <v/>
      </c>
      <c r="B88">
        <f>IF(Teachers!A82="","",Teachers!B82)</f>
        <v/>
      </c>
      <c r="C88">
        <f>IF($A88="","",COUNTIFS('Teacher Rankings'!B:B,$A88,'Teacher Rankings'!A:A,"&gt;="&amp;$B$4,'Teacher Rankings'!A:A,"&lt;="&amp;$B$5))</f>
        <v/>
      </c>
      <c r="D88">
        <f>IF($A88="","",IF($C88=0,"",ROUND(AVERAGEIFS('Teacher Rankings'!I:I,'Teacher Rankings'!B:B,$A88,'Teacher Rankings'!A:A,"&gt;="&amp;$B$4,'Teacher Rankings'!A:A,"&lt;="&amp;$B$5),0)))</f>
        <v/>
      </c>
      <c r="E88">
        <f>IF($A88="","",IF($C88=0,"",MAXIFS('Teacher Rankings'!I:I,'Teacher Rankings'!B:B,$A88,'Teacher Rankings'!A:A,"&gt;="&amp;$B$4,'Teacher Rankings'!A:A,"&lt;="&amp;$B$5)))</f>
        <v/>
      </c>
      <c r="F88">
        <f>IF($A88="","",IF($C88=0,"",MINIFS('Teacher Rankings'!I:I,'Teacher Rankings'!B:B,$A88,'Teacher Rankings'!A:A,"&gt;="&amp;$B$4,'Teacher Rankings'!A:A,"&lt;="&amp;$B$5)))</f>
        <v/>
      </c>
      <c r="G88">
        <f>IF($D88="","",RANK($D88,$D$8:$D$207,0))</f>
        <v/>
      </c>
      <c r="H88">
        <f>IF($D88="","",IF($D88&gt;=90,"Outstanding",IF($D88&gt;=75,"Very Good",IF($D88&gt;=60,"Good","Needs Support"))))</f>
        <v/>
      </c>
    </row>
    <row r="89">
      <c r="A89">
        <f>IF(Teachers!A83="","",Teachers!A83)</f>
        <v/>
      </c>
      <c r="B89">
        <f>IF(Teachers!A83="","",Teachers!B83)</f>
        <v/>
      </c>
      <c r="C89">
        <f>IF($A89="","",COUNTIFS('Teacher Rankings'!B:B,$A89,'Teacher Rankings'!A:A,"&gt;="&amp;$B$4,'Teacher Rankings'!A:A,"&lt;="&amp;$B$5))</f>
        <v/>
      </c>
      <c r="D89">
        <f>IF($A89="","",IF($C89=0,"",ROUND(AVERAGEIFS('Teacher Rankings'!I:I,'Teacher Rankings'!B:B,$A89,'Teacher Rankings'!A:A,"&gt;="&amp;$B$4,'Teacher Rankings'!A:A,"&lt;="&amp;$B$5),0)))</f>
        <v/>
      </c>
      <c r="E89">
        <f>IF($A89="","",IF($C89=0,"",MAXIFS('Teacher Rankings'!I:I,'Teacher Rankings'!B:B,$A89,'Teacher Rankings'!A:A,"&gt;="&amp;$B$4,'Teacher Rankings'!A:A,"&lt;="&amp;$B$5)))</f>
        <v/>
      </c>
      <c r="F89">
        <f>IF($A89="","",IF($C89=0,"",MINIFS('Teacher Rankings'!I:I,'Teacher Rankings'!B:B,$A89,'Teacher Rankings'!A:A,"&gt;="&amp;$B$4,'Teacher Rankings'!A:A,"&lt;="&amp;$B$5)))</f>
        <v/>
      </c>
      <c r="G89">
        <f>IF($D89="","",RANK($D89,$D$8:$D$207,0))</f>
        <v/>
      </c>
      <c r="H89">
        <f>IF($D89="","",IF($D89&gt;=90,"Outstanding",IF($D89&gt;=75,"Very Good",IF($D89&gt;=60,"Good","Needs Support"))))</f>
        <v/>
      </c>
    </row>
    <row r="90">
      <c r="A90">
        <f>IF(Teachers!A84="","",Teachers!A84)</f>
        <v/>
      </c>
      <c r="B90">
        <f>IF(Teachers!A84="","",Teachers!B84)</f>
        <v/>
      </c>
      <c r="C90">
        <f>IF($A90="","",COUNTIFS('Teacher Rankings'!B:B,$A90,'Teacher Rankings'!A:A,"&gt;="&amp;$B$4,'Teacher Rankings'!A:A,"&lt;="&amp;$B$5))</f>
        <v/>
      </c>
      <c r="D90">
        <f>IF($A90="","",IF($C90=0,"",ROUND(AVERAGEIFS('Teacher Rankings'!I:I,'Teacher Rankings'!B:B,$A90,'Teacher Rankings'!A:A,"&gt;="&amp;$B$4,'Teacher Rankings'!A:A,"&lt;="&amp;$B$5),0)))</f>
        <v/>
      </c>
      <c r="E90">
        <f>IF($A90="","",IF($C90=0,"",MAXIFS('Teacher Rankings'!I:I,'Teacher Rankings'!B:B,$A90,'Teacher Rankings'!A:A,"&gt;="&amp;$B$4,'Teacher Rankings'!A:A,"&lt;="&amp;$B$5)))</f>
        <v/>
      </c>
      <c r="F90">
        <f>IF($A90="","",IF($C90=0,"",MINIFS('Teacher Rankings'!I:I,'Teacher Rankings'!B:B,$A90,'Teacher Rankings'!A:A,"&gt;="&amp;$B$4,'Teacher Rankings'!A:A,"&lt;="&amp;$B$5)))</f>
        <v/>
      </c>
      <c r="G90">
        <f>IF($D90="","",RANK($D90,$D$8:$D$207,0))</f>
        <v/>
      </c>
      <c r="H90">
        <f>IF($D90="","",IF($D90&gt;=90,"Outstanding",IF($D90&gt;=75,"Very Good",IF($D90&gt;=60,"Good","Needs Support"))))</f>
        <v/>
      </c>
    </row>
    <row r="91">
      <c r="A91">
        <f>IF(Teachers!A85="","",Teachers!A85)</f>
        <v/>
      </c>
      <c r="B91">
        <f>IF(Teachers!A85="","",Teachers!B85)</f>
        <v/>
      </c>
      <c r="C91">
        <f>IF($A91="","",COUNTIFS('Teacher Rankings'!B:B,$A91,'Teacher Rankings'!A:A,"&gt;="&amp;$B$4,'Teacher Rankings'!A:A,"&lt;="&amp;$B$5))</f>
        <v/>
      </c>
      <c r="D91">
        <f>IF($A91="","",IF($C91=0,"",ROUND(AVERAGEIFS('Teacher Rankings'!I:I,'Teacher Rankings'!B:B,$A91,'Teacher Rankings'!A:A,"&gt;="&amp;$B$4,'Teacher Rankings'!A:A,"&lt;="&amp;$B$5),0)))</f>
        <v/>
      </c>
      <c r="E91">
        <f>IF($A91="","",IF($C91=0,"",MAXIFS('Teacher Rankings'!I:I,'Teacher Rankings'!B:B,$A91,'Teacher Rankings'!A:A,"&gt;="&amp;$B$4,'Teacher Rankings'!A:A,"&lt;="&amp;$B$5)))</f>
        <v/>
      </c>
      <c r="F91">
        <f>IF($A91="","",IF($C91=0,"",MINIFS('Teacher Rankings'!I:I,'Teacher Rankings'!B:B,$A91,'Teacher Rankings'!A:A,"&gt;="&amp;$B$4,'Teacher Rankings'!A:A,"&lt;="&amp;$B$5)))</f>
        <v/>
      </c>
      <c r="G91">
        <f>IF($D91="","",RANK($D91,$D$8:$D$207,0))</f>
        <v/>
      </c>
      <c r="H91">
        <f>IF($D91="","",IF($D91&gt;=90,"Outstanding",IF($D91&gt;=75,"Very Good",IF($D91&gt;=60,"Good","Needs Support"))))</f>
        <v/>
      </c>
    </row>
    <row r="92">
      <c r="A92">
        <f>IF(Teachers!A86="","",Teachers!A86)</f>
        <v/>
      </c>
      <c r="B92">
        <f>IF(Teachers!A86="","",Teachers!B86)</f>
        <v/>
      </c>
      <c r="C92">
        <f>IF($A92="","",COUNTIFS('Teacher Rankings'!B:B,$A92,'Teacher Rankings'!A:A,"&gt;="&amp;$B$4,'Teacher Rankings'!A:A,"&lt;="&amp;$B$5))</f>
        <v/>
      </c>
      <c r="D92">
        <f>IF($A92="","",IF($C92=0,"",ROUND(AVERAGEIFS('Teacher Rankings'!I:I,'Teacher Rankings'!B:B,$A92,'Teacher Rankings'!A:A,"&gt;="&amp;$B$4,'Teacher Rankings'!A:A,"&lt;="&amp;$B$5),0)))</f>
        <v/>
      </c>
      <c r="E92">
        <f>IF($A92="","",IF($C92=0,"",MAXIFS('Teacher Rankings'!I:I,'Teacher Rankings'!B:B,$A92,'Teacher Rankings'!A:A,"&gt;="&amp;$B$4,'Teacher Rankings'!A:A,"&lt;="&amp;$B$5)))</f>
        <v/>
      </c>
      <c r="F92">
        <f>IF($A92="","",IF($C92=0,"",MINIFS('Teacher Rankings'!I:I,'Teacher Rankings'!B:B,$A92,'Teacher Rankings'!A:A,"&gt;="&amp;$B$4,'Teacher Rankings'!A:A,"&lt;="&amp;$B$5)))</f>
        <v/>
      </c>
      <c r="G92">
        <f>IF($D92="","",RANK($D92,$D$8:$D$207,0))</f>
        <v/>
      </c>
      <c r="H92">
        <f>IF($D92="","",IF($D92&gt;=90,"Outstanding",IF($D92&gt;=75,"Very Good",IF($D92&gt;=60,"Good","Needs Support"))))</f>
        <v/>
      </c>
    </row>
    <row r="93">
      <c r="A93">
        <f>IF(Teachers!A87="","",Teachers!A87)</f>
        <v/>
      </c>
      <c r="B93">
        <f>IF(Teachers!A87="","",Teachers!B87)</f>
        <v/>
      </c>
      <c r="C93">
        <f>IF($A93="","",COUNTIFS('Teacher Rankings'!B:B,$A93,'Teacher Rankings'!A:A,"&gt;="&amp;$B$4,'Teacher Rankings'!A:A,"&lt;="&amp;$B$5))</f>
        <v/>
      </c>
      <c r="D93">
        <f>IF($A93="","",IF($C93=0,"",ROUND(AVERAGEIFS('Teacher Rankings'!I:I,'Teacher Rankings'!B:B,$A93,'Teacher Rankings'!A:A,"&gt;="&amp;$B$4,'Teacher Rankings'!A:A,"&lt;="&amp;$B$5),0)))</f>
        <v/>
      </c>
      <c r="E93">
        <f>IF($A93="","",IF($C93=0,"",MAXIFS('Teacher Rankings'!I:I,'Teacher Rankings'!B:B,$A93,'Teacher Rankings'!A:A,"&gt;="&amp;$B$4,'Teacher Rankings'!A:A,"&lt;="&amp;$B$5)))</f>
        <v/>
      </c>
      <c r="F93">
        <f>IF($A93="","",IF($C93=0,"",MINIFS('Teacher Rankings'!I:I,'Teacher Rankings'!B:B,$A93,'Teacher Rankings'!A:A,"&gt;="&amp;$B$4,'Teacher Rankings'!A:A,"&lt;="&amp;$B$5)))</f>
        <v/>
      </c>
      <c r="G93">
        <f>IF($D93="","",RANK($D93,$D$8:$D$207,0))</f>
        <v/>
      </c>
      <c r="H93">
        <f>IF($D93="","",IF($D93&gt;=90,"Outstanding",IF($D93&gt;=75,"Very Good",IF($D93&gt;=60,"Good","Needs Support"))))</f>
        <v/>
      </c>
    </row>
    <row r="94">
      <c r="A94">
        <f>IF(Teachers!A88="","",Teachers!A88)</f>
        <v/>
      </c>
      <c r="B94">
        <f>IF(Teachers!A88="","",Teachers!B88)</f>
        <v/>
      </c>
      <c r="C94">
        <f>IF($A94="","",COUNTIFS('Teacher Rankings'!B:B,$A94,'Teacher Rankings'!A:A,"&gt;="&amp;$B$4,'Teacher Rankings'!A:A,"&lt;="&amp;$B$5))</f>
        <v/>
      </c>
      <c r="D94">
        <f>IF($A94="","",IF($C94=0,"",ROUND(AVERAGEIFS('Teacher Rankings'!I:I,'Teacher Rankings'!B:B,$A94,'Teacher Rankings'!A:A,"&gt;="&amp;$B$4,'Teacher Rankings'!A:A,"&lt;="&amp;$B$5),0)))</f>
        <v/>
      </c>
      <c r="E94">
        <f>IF($A94="","",IF($C94=0,"",MAXIFS('Teacher Rankings'!I:I,'Teacher Rankings'!B:B,$A94,'Teacher Rankings'!A:A,"&gt;="&amp;$B$4,'Teacher Rankings'!A:A,"&lt;="&amp;$B$5)))</f>
        <v/>
      </c>
      <c r="F94">
        <f>IF($A94="","",IF($C94=0,"",MINIFS('Teacher Rankings'!I:I,'Teacher Rankings'!B:B,$A94,'Teacher Rankings'!A:A,"&gt;="&amp;$B$4,'Teacher Rankings'!A:A,"&lt;="&amp;$B$5)))</f>
        <v/>
      </c>
      <c r="G94">
        <f>IF($D94="","",RANK($D94,$D$8:$D$207,0))</f>
        <v/>
      </c>
      <c r="H94">
        <f>IF($D94="","",IF($D94&gt;=90,"Outstanding",IF($D94&gt;=75,"Very Good",IF($D94&gt;=60,"Good","Needs Support"))))</f>
        <v/>
      </c>
    </row>
    <row r="95">
      <c r="A95">
        <f>IF(Teachers!A89="","",Teachers!A89)</f>
        <v/>
      </c>
      <c r="B95">
        <f>IF(Teachers!A89="","",Teachers!B89)</f>
        <v/>
      </c>
      <c r="C95">
        <f>IF($A95="","",COUNTIFS('Teacher Rankings'!B:B,$A95,'Teacher Rankings'!A:A,"&gt;="&amp;$B$4,'Teacher Rankings'!A:A,"&lt;="&amp;$B$5))</f>
        <v/>
      </c>
      <c r="D95">
        <f>IF($A95="","",IF($C95=0,"",ROUND(AVERAGEIFS('Teacher Rankings'!I:I,'Teacher Rankings'!B:B,$A95,'Teacher Rankings'!A:A,"&gt;="&amp;$B$4,'Teacher Rankings'!A:A,"&lt;="&amp;$B$5),0)))</f>
        <v/>
      </c>
      <c r="E95">
        <f>IF($A95="","",IF($C95=0,"",MAXIFS('Teacher Rankings'!I:I,'Teacher Rankings'!B:B,$A95,'Teacher Rankings'!A:A,"&gt;="&amp;$B$4,'Teacher Rankings'!A:A,"&lt;="&amp;$B$5)))</f>
        <v/>
      </c>
      <c r="F95">
        <f>IF($A95="","",IF($C95=0,"",MINIFS('Teacher Rankings'!I:I,'Teacher Rankings'!B:B,$A95,'Teacher Rankings'!A:A,"&gt;="&amp;$B$4,'Teacher Rankings'!A:A,"&lt;="&amp;$B$5)))</f>
        <v/>
      </c>
      <c r="G95">
        <f>IF($D95="","",RANK($D95,$D$8:$D$207,0))</f>
        <v/>
      </c>
      <c r="H95">
        <f>IF($D95="","",IF($D95&gt;=90,"Outstanding",IF($D95&gt;=75,"Very Good",IF($D95&gt;=60,"Good","Needs Support"))))</f>
        <v/>
      </c>
    </row>
    <row r="96">
      <c r="A96">
        <f>IF(Teachers!A90="","",Teachers!A90)</f>
        <v/>
      </c>
      <c r="B96">
        <f>IF(Teachers!A90="","",Teachers!B90)</f>
        <v/>
      </c>
      <c r="C96">
        <f>IF($A96="","",COUNTIFS('Teacher Rankings'!B:B,$A96,'Teacher Rankings'!A:A,"&gt;="&amp;$B$4,'Teacher Rankings'!A:A,"&lt;="&amp;$B$5))</f>
        <v/>
      </c>
      <c r="D96">
        <f>IF($A96="","",IF($C96=0,"",ROUND(AVERAGEIFS('Teacher Rankings'!I:I,'Teacher Rankings'!B:B,$A96,'Teacher Rankings'!A:A,"&gt;="&amp;$B$4,'Teacher Rankings'!A:A,"&lt;="&amp;$B$5),0)))</f>
        <v/>
      </c>
      <c r="E96">
        <f>IF($A96="","",IF($C96=0,"",MAXIFS('Teacher Rankings'!I:I,'Teacher Rankings'!B:B,$A96,'Teacher Rankings'!A:A,"&gt;="&amp;$B$4,'Teacher Rankings'!A:A,"&lt;="&amp;$B$5)))</f>
        <v/>
      </c>
      <c r="F96">
        <f>IF($A96="","",IF($C96=0,"",MINIFS('Teacher Rankings'!I:I,'Teacher Rankings'!B:B,$A96,'Teacher Rankings'!A:A,"&gt;="&amp;$B$4,'Teacher Rankings'!A:A,"&lt;="&amp;$B$5)))</f>
        <v/>
      </c>
      <c r="G96">
        <f>IF($D96="","",RANK($D96,$D$8:$D$207,0))</f>
        <v/>
      </c>
      <c r="H96">
        <f>IF($D96="","",IF($D96&gt;=90,"Outstanding",IF($D96&gt;=75,"Very Good",IF($D96&gt;=60,"Good","Needs Support"))))</f>
        <v/>
      </c>
    </row>
    <row r="97">
      <c r="A97">
        <f>IF(Teachers!A91="","",Teachers!A91)</f>
        <v/>
      </c>
      <c r="B97">
        <f>IF(Teachers!A91="","",Teachers!B91)</f>
        <v/>
      </c>
      <c r="C97">
        <f>IF($A97="","",COUNTIFS('Teacher Rankings'!B:B,$A97,'Teacher Rankings'!A:A,"&gt;="&amp;$B$4,'Teacher Rankings'!A:A,"&lt;="&amp;$B$5))</f>
        <v/>
      </c>
      <c r="D97">
        <f>IF($A97="","",IF($C97=0,"",ROUND(AVERAGEIFS('Teacher Rankings'!I:I,'Teacher Rankings'!B:B,$A97,'Teacher Rankings'!A:A,"&gt;="&amp;$B$4,'Teacher Rankings'!A:A,"&lt;="&amp;$B$5),0)))</f>
        <v/>
      </c>
      <c r="E97">
        <f>IF($A97="","",IF($C97=0,"",MAXIFS('Teacher Rankings'!I:I,'Teacher Rankings'!B:B,$A97,'Teacher Rankings'!A:A,"&gt;="&amp;$B$4,'Teacher Rankings'!A:A,"&lt;="&amp;$B$5)))</f>
        <v/>
      </c>
      <c r="F97">
        <f>IF($A97="","",IF($C97=0,"",MINIFS('Teacher Rankings'!I:I,'Teacher Rankings'!B:B,$A97,'Teacher Rankings'!A:A,"&gt;="&amp;$B$4,'Teacher Rankings'!A:A,"&lt;="&amp;$B$5)))</f>
        <v/>
      </c>
      <c r="G97">
        <f>IF($D97="","",RANK($D97,$D$8:$D$207,0))</f>
        <v/>
      </c>
      <c r="H97">
        <f>IF($D97="","",IF($D97&gt;=90,"Outstanding",IF($D97&gt;=75,"Very Good",IF($D97&gt;=60,"Good","Needs Support"))))</f>
        <v/>
      </c>
    </row>
    <row r="98">
      <c r="A98">
        <f>IF(Teachers!A92="","",Teachers!A92)</f>
        <v/>
      </c>
      <c r="B98">
        <f>IF(Teachers!A92="","",Teachers!B92)</f>
        <v/>
      </c>
      <c r="C98">
        <f>IF($A98="","",COUNTIFS('Teacher Rankings'!B:B,$A98,'Teacher Rankings'!A:A,"&gt;="&amp;$B$4,'Teacher Rankings'!A:A,"&lt;="&amp;$B$5))</f>
        <v/>
      </c>
      <c r="D98">
        <f>IF($A98="","",IF($C98=0,"",ROUND(AVERAGEIFS('Teacher Rankings'!I:I,'Teacher Rankings'!B:B,$A98,'Teacher Rankings'!A:A,"&gt;="&amp;$B$4,'Teacher Rankings'!A:A,"&lt;="&amp;$B$5),0)))</f>
        <v/>
      </c>
      <c r="E98">
        <f>IF($A98="","",IF($C98=0,"",MAXIFS('Teacher Rankings'!I:I,'Teacher Rankings'!B:B,$A98,'Teacher Rankings'!A:A,"&gt;="&amp;$B$4,'Teacher Rankings'!A:A,"&lt;="&amp;$B$5)))</f>
        <v/>
      </c>
      <c r="F98">
        <f>IF($A98="","",IF($C98=0,"",MINIFS('Teacher Rankings'!I:I,'Teacher Rankings'!B:B,$A98,'Teacher Rankings'!A:A,"&gt;="&amp;$B$4,'Teacher Rankings'!A:A,"&lt;="&amp;$B$5)))</f>
        <v/>
      </c>
      <c r="G98">
        <f>IF($D98="","",RANK($D98,$D$8:$D$207,0))</f>
        <v/>
      </c>
      <c r="H98">
        <f>IF($D98="","",IF($D98&gt;=90,"Outstanding",IF($D98&gt;=75,"Very Good",IF($D98&gt;=60,"Good","Needs Support"))))</f>
        <v/>
      </c>
    </row>
    <row r="99">
      <c r="A99">
        <f>IF(Teachers!A93="","",Teachers!A93)</f>
        <v/>
      </c>
      <c r="B99">
        <f>IF(Teachers!A93="","",Teachers!B93)</f>
        <v/>
      </c>
      <c r="C99">
        <f>IF($A99="","",COUNTIFS('Teacher Rankings'!B:B,$A99,'Teacher Rankings'!A:A,"&gt;="&amp;$B$4,'Teacher Rankings'!A:A,"&lt;="&amp;$B$5))</f>
        <v/>
      </c>
      <c r="D99">
        <f>IF($A99="","",IF($C99=0,"",ROUND(AVERAGEIFS('Teacher Rankings'!I:I,'Teacher Rankings'!B:B,$A99,'Teacher Rankings'!A:A,"&gt;="&amp;$B$4,'Teacher Rankings'!A:A,"&lt;="&amp;$B$5),0)))</f>
        <v/>
      </c>
      <c r="E99">
        <f>IF($A99="","",IF($C99=0,"",MAXIFS('Teacher Rankings'!I:I,'Teacher Rankings'!B:B,$A99,'Teacher Rankings'!A:A,"&gt;="&amp;$B$4,'Teacher Rankings'!A:A,"&lt;="&amp;$B$5)))</f>
        <v/>
      </c>
      <c r="F99">
        <f>IF($A99="","",IF($C99=0,"",MINIFS('Teacher Rankings'!I:I,'Teacher Rankings'!B:B,$A99,'Teacher Rankings'!A:A,"&gt;="&amp;$B$4,'Teacher Rankings'!A:A,"&lt;="&amp;$B$5)))</f>
        <v/>
      </c>
      <c r="G99">
        <f>IF($D99="","",RANK($D99,$D$8:$D$207,0))</f>
        <v/>
      </c>
      <c r="H99">
        <f>IF($D99="","",IF($D99&gt;=90,"Outstanding",IF($D99&gt;=75,"Very Good",IF($D99&gt;=60,"Good","Needs Support"))))</f>
        <v/>
      </c>
    </row>
    <row r="100">
      <c r="A100">
        <f>IF(Teachers!A94="","",Teachers!A94)</f>
        <v/>
      </c>
      <c r="B100">
        <f>IF(Teachers!A94="","",Teachers!B94)</f>
        <v/>
      </c>
      <c r="C100">
        <f>IF($A100="","",COUNTIFS('Teacher Rankings'!B:B,$A100,'Teacher Rankings'!A:A,"&gt;="&amp;$B$4,'Teacher Rankings'!A:A,"&lt;="&amp;$B$5))</f>
        <v/>
      </c>
      <c r="D100">
        <f>IF($A100="","",IF($C100=0,"",ROUND(AVERAGEIFS('Teacher Rankings'!I:I,'Teacher Rankings'!B:B,$A100,'Teacher Rankings'!A:A,"&gt;="&amp;$B$4,'Teacher Rankings'!A:A,"&lt;="&amp;$B$5),0)))</f>
        <v/>
      </c>
      <c r="E100">
        <f>IF($A100="","",IF($C100=0,"",MAXIFS('Teacher Rankings'!I:I,'Teacher Rankings'!B:B,$A100,'Teacher Rankings'!A:A,"&gt;="&amp;$B$4,'Teacher Rankings'!A:A,"&lt;="&amp;$B$5)))</f>
        <v/>
      </c>
      <c r="F100">
        <f>IF($A100="","",IF($C100=0,"",MINIFS('Teacher Rankings'!I:I,'Teacher Rankings'!B:B,$A100,'Teacher Rankings'!A:A,"&gt;="&amp;$B$4,'Teacher Rankings'!A:A,"&lt;="&amp;$B$5)))</f>
        <v/>
      </c>
      <c r="G100">
        <f>IF($D100="","",RANK($D100,$D$8:$D$207,0))</f>
        <v/>
      </c>
      <c r="H100">
        <f>IF($D100="","",IF($D100&gt;=90,"Outstanding",IF($D100&gt;=75,"Very Good",IF($D100&gt;=60,"Good","Needs Support"))))</f>
        <v/>
      </c>
    </row>
    <row r="101">
      <c r="A101">
        <f>IF(Teachers!A95="","",Teachers!A95)</f>
        <v/>
      </c>
      <c r="B101">
        <f>IF(Teachers!A95="","",Teachers!B95)</f>
        <v/>
      </c>
      <c r="C101">
        <f>IF($A101="","",COUNTIFS('Teacher Rankings'!B:B,$A101,'Teacher Rankings'!A:A,"&gt;="&amp;$B$4,'Teacher Rankings'!A:A,"&lt;="&amp;$B$5))</f>
        <v/>
      </c>
      <c r="D101">
        <f>IF($A101="","",IF($C101=0,"",ROUND(AVERAGEIFS('Teacher Rankings'!I:I,'Teacher Rankings'!B:B,$A101,'Teacher Rankings'!A:A,"&gt;="&amp;$B$4,'Teacher Rankings'!A:A,"&lt;="&amp;$B$5),0)))</f>
        <v/>
      </c>
      <c r="E101">
        <f>IF($A101="","",IF($C101=0,"",MAXIFS('Teacher Rankings'!I:I,'Teacher Rankings'!B:B,$A101,'Teacher Rankings'!A:A,"&gt;="&amp;$B$4,'Teacher Rankings'!A:A,"&lt;="&amp;$B$5)))</f>
        <v/>
      </c>
      <c r="F101">
        <f>IF($A101="","",IF($C101=0,"",MINIFS('Teacher Rankings'!I:I,'Teacher Rankings'!B:B,$A101,'Teacher Rankings'!A:A,"&gt;="&amp;$B$4,'Teacher Rankings'!A:A,"&lt;="&amp;$B$5)))</f>
        <v/>
      </c>
      <c r="G101">
        <f>IF($D101="","",RANK($D101,$D$8:$D$207,0))</f>
        <v/>
      </c>
      <c r="H101">
        <f>IF($D101="","",IF($D101&gt;=90,"Outstanding",IF($D101&gt;=75,"Very Good",IF($D101&gt;=60,"Good","Needs Support"))))</f>
        <v/>
      </c>
    </row>
    <row r="102">
      <c r="A102">
        <f>IF(Teachers!A96="","",Teachers!A96)</f>
        <v/>
      </c>
      <c r="B102">
        <f>IF(Teachers!A96="","",Teachers!B96)</f>
        <v/>
      </c>
      <c r="C102">
        <f>IF($A102="","",COUNTIFS('Teacher Rankings'!B:B,$A102,'Teacher Rankings'!A:A,"&gt;="&amp;$B$4,'Teacher Rankings'!A:A,"&lt;="&amp;$B$5))</f>
        <v/>
      </c>
      <c r="D102">
        <f>IF($A102="","",IF($C102=0,"",ROUND(AVERAGEIFS('Teacher Rankings'!I:I,'Teacher Rankings'!B:B,$A102,'Teacher Rankings'!A:A,"&gt;="&amp;$B$4,'Teacher Rankings'!A:A,"&lt;="&amp;$B$5),0)))</f>
        <v/>
      </c>
      <c r="E102">
        <f>IF($A102="","",IF($C102=0,"",MAXIFS('Teacher Rankings'!I:I,'Teacher Rankings'!B:B,$A102,'Teacher Rankings'!A:A,"&gt;="&amp;$B$4,'Teacher Rankings'!A:A,"&lt;="&amp;$B$5)))</f>
        <v/>
      </c>
      <c r="F102">
        <f>IF($A102="","",IF($C102=0,"",MINIFS('Teacher Rankings'!I:I,'Teacher Rankings'!B:B,$A102,'Teacher Rankings'!A:A,"&gt;="&amp;$B$4,'Teacher Rankings'!A:A,"&lt;="&amp;$B$5)))</f>
        <v/>
      </c>
      <c r="G102">
        <f>IF($D102="","",RANK($D102,$D$8:$D$207,0))</f>
        <v/>
      </c>
      <c r="H102">
        <f>IF($D102="","",IF($D102&gt;=90,"Outstanding",IF($D102&gt;=75,"Very Good",IF($D102&gt;=60,"Good","Needs Support"))))</f>
        <v/>
      </c>
    </row>
    <row r="103">
      <c r="A103">
        <f>IF(Teachers!A97="","",Teachers!A97)</f>
        <v/>
      </c>
      <c r="B103">
        <f>IF(Teachers!A97="","",Teachers!B97)</f>
        <v/>
      </c>
      <c r="C103">
        <f>IF($A103="","",COUNTIFS('Teacher Rankings'!B:B,$A103,'Teacher Rankings'!A:A,"&gt;="&amp;$B$4,'Teacher Rankings'!A:A,"&lt;="&amp;$B$5))</f>
        <v/>
      </c>
      <c r="D103">
        <f>IF($A103="","",IF($C103=0,"",ROUND(AVERAGEIFS('Teacher Rankings'!I:I,'Teacher Rankings'!B:B,$A103,'Teacher Rankings'!A:A,"&gt;="&amp;$B$4,'Teacher Rankings'!A:A,"&lt;="&amp;$B$5),0)))</f>
        <v/>
      </c>
      <c r="E103">
        <f>IF($A103="","",IF($C103=0,"",MAXIFS('Teacher Rankings'!I:I,'Teacher Rankings'!B:B,$A103,'Teacher Rankings'!A:A,"&gt;="&amp;$B$4,'Teacher Rankings'!A:A,"&lt;="&amp;$B$5)))</f>
        <v/>
      </c>
      <c r="F103">
        <f>IF($A103="","",IF($C103=0,"",MINIFS('Teacher Rankings'!I:I,'Teacher Rankings'!B:B,$A103,'Teacher Rankings'!A:A,"&gt;="&amp;$B$4,'Teacher Rankings'!A:A,"&lt;="&amp;$B$5)))</f>
        <v/>
      </c>
      <c r="G103">
        <f>IF($D103="","",RANK($D103,$D$8:$D$207,0))</f>
        <v/>
      </c>
      <c r="H103">
        <f>IF($D103="","",IF($D103&gt;=90,"Outstanding",IF($D103&gt;=75,"Very Good",IF($D103&gt;=60,"Good","Needs Support"))))</f>
        <v/>
      </c>
    </row>
    <row r="104">
      <c r="A104">
        <f>IF(Teachers!A98="","",Teachers!A98)</f>
        <v/>
      </c>
      <c r="B104">
        <f>IF(Teachers!A98="","",Teachers!B98)</f>
        <v/>
      </c>
      <c r="C104">
        <f>IF($A104="","",COUNTIFS('Teacher Rankings'!B:B,$A104,'Teacher Rankings'!A:A,"&gt;="&amp;$B$4,'Teacher Rankings'!A:A,"&lt;="&amp;$B$5))</f>
        <v/>
      </c>
      <c r="D104">
        <f>IF($A104="","",IF($C104=0,"",ROUND(AVERAGEIFS('Teacher Rankings'!I:I,'Teacher Rankings'!B:B,$A104,'Teacher Rankings'!A:A,"&gt;="&amp;$B$4,'Teacher Rankings'!A:A,"&lt;="&amp;$B$5),0)))</f>
        <v/>
      </c>
      <c r="E104">
        <f>IF($A104="","",IF($C104=0,"",MAXIFS('Teacher Rankings'!I:I,'Teacher Rankings'!B:B,$A104,'Teacher Rankings'!A:A,"&gt;="&amp;$B$4,'Teacher Rankings'!A:A,"&lt;="&amp;$B$5)))</f>
        <v/>
      </c>
      <c r="F104">
        <f>IF($A104="","",IF($C104=0,"",MINIFS('Teacher Rankings'!I:I,'Teacher Rankings'!B:B,$A104,'Teacher Rankings'!A:A,"&gt;="&amp;$B$4,'Teacher Rankings'!A:A,"&lt;="&amp;$B$5)))</f>
        <v/>
      </c>
      <c r="G104">
        <f>IF($D104="","",RANK($D104,$D$8:$D$207,0))</f>
        <v/>
      </c>
      <c r="H104">
        <f>IF($D104="","",IF($D104&gt;=90,"Outstanding",IF($D104&gt;=75,"Very Good",IF($D104&gt;=60,"Good","Needs Support"))))</f>
        <v/>
      </c>
    </row>
    <row r="105">
      <c r="A105">
        <f>IF(Teachers!A99="","",Teachers!A99)</f>
        <v/>
      </c>
      <c r="B105">
        <f>IF(Teachers!A99="","",Teachers!B99)</f>
        <v/>
      </c>
      <c r="C105">
        <f>IF($A105="","",COUNTIFS('Teacher Rankings'!B:B,$A105,'Teacher Rankings'!A:A,"&gt;="&amp;$B$4,'Teacher Rankings'!A:A,"&lt;="&amp;$B$5))</f>
        <v/>
      </c>
      <c r="D105">
        <f>IF($A105="","",IF($C105=0,"",ROUND(AVERAGEIFS('Teacher Rankings'!I:I,'Teacher Rankings'!B:B,$A105,'Teacher Rankings'!A:A,"&gt;="&amp;$B$4,'Teacher Rankings'!A:A,"&lt;="&amp;$B$5),0)))</f>
        <v/>
      </c>
      <c r="E105">
        <f>IF($A105="","",IF($C105=0,"",MAXIFS('Teacher Rankings'!I:I,'Teacher Rankings'!B:B,$A105,'Teacher Rankings'!A:A,"&gt;="&amp;$B$4,'Teacher Rankings'!A:A,"&lt;="&amp;$B$5)))</f>
        <v/>
      </c>
      <c r="F105">
        <f>IF($A105="","",IF($C105=0,"",MINIFS('Teacher Rankings'!I:I,'Teacher Rankings'!B:B,$A105,'Teacher Rankings'!A:A,"&gt;="&amp;$B$4,'Teacher Rankings'!A:A,"&lt;="&amp;$B$5)))</f>
        <v/>
      </c>
      <c r="G105">
        <f>IF($D105="","",RANK($D105,$D$8:$D$207,0))</f>
        <v/>
      </c>
      <c r="H105">
        <f>IF($D105="","",IF($D105&gt;=90,"Outstanding",IF($D105&gt;=75,"Very Good",IF($D105&gt;=60,"Good","Needs Support"))))</f>
        <v/>
      </c>
    </row>
    <row r="106">
      <c r="A106">
        <f>IF(Teachers!A100="","",Teachers!A100)</f>
        <v/>
      </c>
      <c r="B106">
        <f>IF(Teachers!A100="","",Teachers!B100)</f>
        <v/>
      </c>
      <c r="C106">
        <f>IF($A106="","",COUNTIFS('Teacher Rankings'!B:B,$A106,'Teacher Rankings'!A:A,"&gt;="&amp;$B$4,'Teacher Rankings'!A:A,"&lt;="&amp;$B$5))</f>
        <v/>
      </c>
      <c r="D106">
        <f>IF($A106="","",IF($C106=0,"",ROUND(AVERAGEIFS('Teacher Rankings'!I:I,'Teacher Rankings'!B:B,$A106,'Teacher Rankings'!A:A,"&gt;="&amp;$B$4,'Teacher Rankings'!A:A,"&lt;="&amp;$B$5),0)))</f>
        <v/>
      </c>
      <c r="E106">
        <f>IF($A106="","",IF($C106=0,"",MAXIFS('Teacher Rankings'!I:I,'Teacher Rankings'!B:B,$A106,'Teacher Rankings'!A:A,"&gt;="&amp;$B$4,'Teacher Rankings'!A:A,"&lt;="&amp;$B$5)))</f>
        <v/>
      </c>
      <c r="F106">
        <f>IF($A106="","",IF($C106=0,"",MINIFS('Teacher Rankings'!I:I,'Teacher Rankings'!B:B,$A106,'Teacher Rankings'!A:A,"&gt;="&amp;$B$4,'Teacher Rankings'!A:A,"&lt;="&amp;$B$5)))</f>
        <v/>
      </c>
      <c r="G106">
        <f>IF($D106="","",RANK($D106,$D$8:$D$207,0))</f>
        <v/>
      </c>
      <c r="H106">
        <f>IF($D106="","",IF($D106&gt;=90,"Outstanding",IF($D106&gt;=75,"Very Good",IF($D106&gt;=60,"Good","Needs Support"))))</f>
        <v/>
      </c>
    </row>
    <row r="107">
      <c r="A107">
        <f>IF(Teachers!A101="","",Teachers!A101)</f>
        <v/>
      </c>
      <c r="B107">
        <f>IF(Teachers!A101="","",Teachers!B101)</f>
        <v/>
      </c>
      <c r="C107">
        <f>IF($A107="","",COUNTIFS('Teacher Rankings'!B:B,$A107,'Teacher Rankings'!A:A,"&gt;="&amp;$B$4,'Teacher Rankings'!A:A,"&lt;="&amp;$B$5))</f>
        <v/>
      </c>
      <c r="D107">
        <f>IF($A107="","",IF($C107=0,"",ROUND(AVERAGEIFS('Teacher Rankings'!I:I,'Teacher Rankings'!B:B,$A107,'Teacher Rankings'!A:A,"&gt;="&amp;$B$4,'Teacher Rankings'!A:A,"&lt;="&amp;$B$5),0)))</f>
        <v/>
      </c>
      <c r="E107">
        <f>IF($A107="","",IF($C107=0,"",MAXIFS('Teacher Rankings'!I:I,'Teacher Rankings'!B:B,$A107,'Teacher Rankings'!A:A,"&gt;="&amp;$B$4,'Teacher Rankings'!A:A,"&lt;="&amp;$B$5)))</f>
        <v/>
      </c>
      <c r="F107">
        <f>IF($A107="","",IF($C107=0,"",MINIFS('Teacher Rankings'!I:I,'Teacher Rankings'!B:B,$A107,'Teacher Rankings'!A:A,"&gt;="&amp;$B$4,'Teacher Rankings'!A:A,"&lt;="&amp;$B$5)))</f>
        <v/>
      </c>
      <c r="G107">
        <f>IF($D107="","",RANK($D107,$D$8:$D$207,0))</f>
        <v/>
      </c>
      <c r="H107">
        <f>IF($D107="","",IF($D107&gt;=90,"Outstanding",IF($D107&gt;=75,"Very Good",IF($D107&gt;=60,"Good","Needs Support"))))</f>
        <v/>
      </c>
    </row>
    <row r="108">
      <c r="A108">
        <f>IF(Teachers!A102="","",Teachers!A102)</f>
        <v/>
      </c>
      <c r="B108">
        <f>IF(Teachers!A102="","",Teachers!B102)</f>
        <v/>
      </c>
      <c r="C108">
        <f>IF($A108="","",COUNTIFS('Teacher Rankings'!B:B,$A108,'Teacher Rankings'!A:A,"&gt;="&amp;$B$4,'Teacher Rankings'!A:A,"&lt;="&amp;$B$5))</f>
        <v/>
      </c>
      <c r="D108">
        <f>IF($A108="","",IF($C108=0,"",ROUND(AVERAGEIFS('Teacher Rankings'!I:I,'Teacher Rankings'!B:B,$A108,'Teacher Rankings'!A:A,"&gt;="&amp;$B$4,'Teacher Rankings'!A:A,"&lt;="&amp;$B$5),0)))</f>
        <v/>
      </c>
      <c r="E108">
        <f>IF($A108="","",IF($C108=0,"",MAXIFS('Teacher Rankings'!I:I,'Teacher Rankings'!B:B,$A108,'Teacher Rankings'!A:A,"&gt;="&amp;$B$4,'Teacher Rankings'!A:A,"&lt;="&amp;$B$5)))</f>
        <v/>
      </c>
      <c r="F108">
        <f>IF($A108="","",IF($C108=0,"",MINIFS('Teacher Rankings'!I:I,'Teacher Rankings'!B:B,$A108,'Teacher Rankings'!A:A,"&gt;="&amp;$B$4,'Teacher Rankings'!A:A,"&lt;="&amp;$B$5)))</f>
        <v/>
      </c>
      <c r="G108">
        <f>IF($D108="","",RANK($D108,$D$8:$D$207,0))</f>
        <v/>
      </c>
      <c r="H108">
        <f>IF($D108="","",IF($D108&gt;=90,"Outstanding",IF($D108&gt;=75,"Very Good",IF($D108&gt;=60,"Good","Needs Support"))))</f>
        <v/>
      </c>
    </row>
    <row r="109">
      <c r="A109">
        <f>IF(Teachers!A103="","",Teachers!A103)</f>
        <v/>
      </c>
      <c r="B109">
        <f>IF(Teachers!A103="","",Teachers!B103)</f>
        <v/>
      </c>
      <c r="C109">
        <f>IF($A109="","",COUNTIFS('Teacher Rankings'!B:B,$A109,'Teacher Rankings'!A:A,"&gt;="&amp;$B$4,'Teacher Rankings'!A:A,"&lt;="&amp;$B$5))</f>
        <v/>
      </c>
      <c r="D109">
        <f>IF($A109="","",IF($C109=0,"",ROUND(AVERAGEIFS('Teacher Rankings'!I:I,'Teacher Rankings'!B:B,$A109,'Teacher Rankings'!A:A,"&gt;="&amp;$B$4,'Teacher Rankings'!A:A,"&lt;="&amp;$B$5),0)))</f>
        <v/>
      </c>
      <c r="E109">
        <f>IF($A109="","",IF($C109=0,"",MAXIFS('Teacher Rankings'!I:I,'Teacher Rankings'!B:B,$A109,'Teacher Rankings'!A:A,"&gt;="&amp;$B$4,'Teacher Rankings'!A:A,"&lt;="&amp;$B$5)))</f>
        <v/>
      </c>
      <c r="F109">
        <f>IF($A109="","",IF($C109=0,"",MINIFS('Teacher Rankings'!I:I,'Teacher Rankings'!B:B,$A109,'Teacher Rankings'!A:A,"&gt;="&amp;$B$4,'Teacher Rankings'!A:A,"&lt;="&amp;$B$5)))</f>
        <v/>
      </c>
      <c r="G109">
        <f>IF($D109="","",RANK($D109,$D$8:$D$207,0))</f>
        <v/>
      </c>
      <c r="H109">
        <f>IF($D109="","",IF($D109&gt;=90,"Outstanding",IF($D109&gt;=75,"Very Good",IF($D109&gt;=60,"Good","Needs Support"))))</f>
        <v/>
      </c>
    </row>
    <row r="110">
      <c r="A110">
        <f>IF(Teachers!A104="","",Teachers!A104)</f>
        <v/>
      </c>
      <c r="B110">
        <f>IF(Teachers!A104="","",Teachers!B104)</f>
        <v/>
      </c>
      <c r="C110">
        <f>IF($A110="","",COUNTIFS('Teacher Rankings'!B:B,$A110,'Teacher Rankings'!A:A,"&gt;="&amp;$B$4,'Teacher Rankings'!A:A,"&lt;="&amp;$B$5))</f>
        <v/>
      </c>
      <c r="D110">
        <f>IF($A110="","",IF($C110=0,"",ROUND(AVERAGEIFS('Teacher Rankings'!I:I,'Teacher Rankings'!B:B,$A110,'Teacher Rankings'!A:A,"&gt;="&amp;$B$4,'Teacher Rankings'!A:A,"&lt;="&amp;$B$5),0)))</f>
        <v/>
      </c>
      <c r="E110">
        <f>IF($A110="","",IF($C110=0,"",MAXIFS('Teacher Rankings'!I:I,'Teacher Rankings'!B:B,$A110,'Teacher Rankings'!A:A,"&gt;="&amp;$B$4,'Teacher Rankings'!A:A,"&lt;="&amp;$B$5)))</f>
        <v/>
      </c>
      <c r="F110">
        <f>IF($A110="","",IF($C110=0,"",MINIFS('Teacher Rankings'!I:I,'Teacher Rankings'!B:B,$A110,'Teacher Rankings'!A:A,"&gt;="&amp;$B$4,'Teacher Rankings'!A:A,"&lt;="&amp;$B$5)))</f>
        <v/>
      </c>
      <c r="G110">
        <f>IF($D110="","",RANK($D110,$D$8:$D$207,0))</f>
        <v/>
      </c>
      <c r="H110">
        <f>IF($D110="","",IF($D110&gt;=90,"Outstanding",IF($D110&gt;=75,"Very Good",IF($D110&gt;=60,"Good","Needs Support"))))</f>
        <v/>
      </c>
    </row>
    <row r="111">
      <c r="A111">
        <f>IF(Teachers!A105="","",Teachers!A105)</f>
        <v/>
      </c>
      <c r="B111">
        <f>IF(Teachers!A105="","",Teachers!B105)</f>
        <v/>
      </c>
      <c r="C111">
        <f>IF($A111="","",COUNTIFS('Teacher Rankings'!B:B,$A111,'Teacher Rankings'!A:A,"&gt;="&amp;$B$4,'Teacher Rankings'!A:A,"&lt;="&amp;$B$5))</f>
        <v/>
      </c>
      <c r="D111">
        <f>IF($A111="","",IF($C111=0,"",ROUND(AVERAGEIFS('Teacher Rankings'!I:I,'Teacher Rankings'!B:B,$A111,'Teacher Rankings'!A:A,"&gt;="&amp;$B$4,'Teacher Rankings'!A:A,"&lt;="&amp;$B$5),0)))</f>
        <v/>
      </c>
      <c r="E111">
        <f>IF($A111="","",IF($C111=0,"",MAXIFS('Teacher Rankings'!I:I,'Teacher Rankings'!B:B,$A111,'Teacher Rankings'!A:A,"&gt;="&amp;$B$4,'Teacher Rankings'!A:A,"&lt;="&amp;$B$5)))</f>
        <v/>
      </c>
      <c r="F111">
        <f>IF($A111="","",IF($C111=0,"",MINIFS('Teacher Rankings'!I:I,'Teacher Rankings'!B:B,$A111,'Teacher Rankings'!A:A,"&gt;="&amp;$B$4,'Teacher Rankings'!A:A,"&lt;="&amp;$B$5)))</f>
        <v/>
      </c>
      <c r="G111">
        <f>IF($D111="","",RANK($D111,$D$8:$D$207,0))</f>
        <v/>
      </c>
      <c r="H111">
        <f>IF($D111="","",IF($D111&gt;=90,"Outstanding",IF($D111&gt;=75,"Very Good",IF($D111&gt;=60,"Good","Needs Support"))))</f>
        <v/>
      </c>
    </row>
    <row r="112">
      <c r="A112">
        <f>IF(Teachers!A106="","",Teachers!A106)</f>
        <v/>
      </c>
      <c r="B112">
        <f>IF(Teachers!A106="","",Teachers!B106)</f>
        <v/>
      </c>
      <c r="C112">
        <f>IF($A112="","",COUNTIFS('Teacher Rankings'!B:B,$A112,'Teacher Rankings'!A:A,"&gt;="&amp;$B$4,'Teacher Rankings'!A:A,"&lt;="&amp;$B$5))</f>
        <v/>
      </c>
      <c r="D112">
        <f>IF($A112="","",IF($C112=0,"",ROUND(AVERAGEIFS('Teacher Rankings'!I:I,'Teacher Rankings'!B:B,$A112,'Teacher Rankings'!A:A,"&gt;="&amp;$B$4,'Teacher Rankings'!A:A,"&lt;="&amp;$B$5),0)))</f>
        <v/>
      </c>
      <c r="E112">
        <f>IF($A112="","",IF($C112=0,"",MAXIFS('Teacher Rankings'!I:I,'Teacher Rankings'!B:B,$A112,'Teacher Rankings'!A:A,"&gt;="&amp;$B$4,'Teacher Rankings'!A:A,"&lt;="&amp;$B$5)))</f>
        <v/>
      </c>
      <c r="F112">
        <f>IF($A112="","",IF($C112=0,"",MINIFS('Teacher Rankings'!I:I,'Teacher Rankings'!B:B,$A112,'Teacher Rankings'!A:A,"&gt;="&amp;$B$4,'Teacher Rankings'!A:A,"&lt;="&amp;$B$5)))</f>
        <v/>
      </c>
      <c r="G112">
        <f>IF($D112="","",RANK($D112,$D$8:$D$207,0))</f>
        <v/>
      </c>
      <c r="H112">
        <f>IF($D112="","",IF($D112&gt;=90,"Outstanding",IF($D112&gt;=75,"Very Good",IF($D112&gt;=60,"Good","Needs Support"))))</f>
        <v/>
      </c>
    </row>
    <row r="113">
      <c r="A113">
        <f>IF(Teachers!A107="","",Teachers!A107)</f>
        <v/>
      </c>
      <c r="B113">
        <f>IF(Teachers!A107="","",Teachers!B107)</f>
        <v/>
      </c>
      <c r="C113">
        <f>IF($A113="","",COUNTIFS('Teacher Rankings'!B:B,$A113,'Teacher Rankings'!A:A,"&gt;="&amp;$B$4,'Teacher Rankings'!A:A,"&lt;="&amp;$B$5))</f>
        <v/>
      </c>
      <c r="D113">
        <f>IF($A113="","",IF($C113=0,"",ROUND(AVERAGEIFS('Teacher Rankings'!I:I,'Teacher Rankings'!B:B,$A113,'Teacher Rankings'!A:A,"&gt;="&amp;$B$4,'Teacher Rankings'!A:A,"&lt;="&amp;$B$5),0)))</f>
        <v/>
      </c>
      <c r="E113">
        <f>IF($A113="","",IF($C113=0,"",MAXIFS('Teacher Rankings'!I:I,'Teacher Rankings'!B:B,$A113,'Teacher Rankings'!A:A,"&gt;="&amp;$B$4,'Teacher Rankings'!A:A,"&lt;="&amp;$B$5)))</f>
        <v/>
      </c>
      <c r="F113">
        <f>IF($A113="","",IF($C113=0,"",MINIFS('Teacher Rankings'!I:I,'Teacher Rankings'!B:B,$A113,'Teacher Rankings'!A:A,"&gt;="&amp;$B$4,'Teacher Rankings'!A:A,"&lt;="&amp;$B$5)))</f>
        <v/>
      </c>
      <c r="G113">
        <f>IF($D113="","",RANK($D113,$D$8:$D$207,0))</f>
        <v/>
      </c>
      <c r="H113">
        <f>IF($D113="","",IF($D113&gt;=90,"Outstanding",IF($D113&gt;=75,"Very Good",IF($D113&gt;=60,"Good","Needs Support"))))</f>
        <v/>
      </c>
    </row>
    <row r="114">
      <c r="A114">
        <f>IF(Teachers!A108="","",Teachers!A108)</f>
        <v/>
      </c>
      <c r="B114">
        <f>IF(Teachers!A108="","",Teachers!B108)</f>
        <v/>
      </c>
      <c r="C114">
        <f>IF($A114="","",COUNTIFS('Teacher Rankings'!B:B,$A114,'Teacher Rankings'!A:A,"&gt;="&amp;$B$4,'Teacher Rankings'!A:A,"&lt;="&amp;$B$5))</f>
        <v/>
      </c>
      <c r="D114">
        <f>IF($A114="","",IF($C114=0,"",ROUND(AVERAGEIFS('Teacher Rankings'!I:I,'Teacher Rankings'!B:B,$A114,'Teacher Rankings'!A:A,"&gt;="&amp;$B$4,'Teacher Rankings'!A:A,"&lt;="&amp;$B$5),0)))</f>
        <v/>
      </c>
      <c r="E114">
        <f>IF($A114="","",IF($C114=0,"",MAXIFS('Teacher Rankings'!I:I,'Teacher Rankings'!B:B,$A114,'Teacher Rankings'!A:A,"&gt;="&amp;$B$4,'Teacher Rankings'!A:A,"&lt;="&amp;$B$5)))</f>
        <v/>
      </c>
      <c r="F114">
        <f>IF($A114="","",IF($C114=0,"",MINIFS('Teacher Rankings'!I:I,'Teacher Rankings'!B:B,$A114,'Teacher Rankings'!A:A,"&gt;="&amp;$B$4,'Teacher Rankings'!A:A,"&lt;="&amp;$B$5)))</f>
        <v/>
      </c>
      <c r="G114">
        <f>IF($D114="","",RANK($D114,$D$8:$D$207,0))</f>
        <v/>
      </c>
      <c r="H114">
        <f>IF($D114="","",IF($D114&gt;=90,"Outstanding",IF($D114&gt;=75,"Very Good",IF($D114&gt;=60,"Good","Needs Support"))))</f>
        <v/>
      </c>
    </row>
    <row r="115">
      <c r="A115">
        <f>IF(Teachers!A109="","",Teachers!A109)</f>
        <v/>
      </c>
      <c r="B115">
        <f>IF(Teachers!A109="","",Teachers!B109)</f>
        <v/>
      </c>
      <c r="C115">
        <f>IF($A115="","",COUNTIFS('Teacher Rankings'!B:B,$A115,'Teacher Rankings'!A:A,"&gt;="&amp;$B$4,'Teacher Rankings'!A:A,"&lt;="&amp;$B$5))</f>
        <v/>
      </c>
      <c r="D115">
        <f>IF($A115="","",IF($C115=0,"",ROUND(AVERAGEIFS('Teacher Rankings'!I:I,'Teacher Rankings'!B:B,$A115,'Teacher Rankings'!A:A,"&gt;="&amp;$B$4,'Teacher Rankings'!A:A,"&lt;="&amp;$B$5),0)))</f>
        <v/>
      </c>
      <c r="E115">
        <f>IF($A115="","",IF($C115=0,"",MAXIFS('Teacher Rankings'!I:I,'Teacher Rankings'!B:B,$A115,'Teacher Rankings'!A:A,"&gt;="&amp;$B$4,'Teacher Rankings'!A:A,"&lt;="&amp;$B$5)))</f>
        <v/>
      </c>
      <c r="F115">
        <f>IF($A115="","",IF($C115=0,"",MINIFS('Teacher Rankings'!I:I,'Teacher Rankings'!B:B,$A115,'Teacher Rankings'!A:A,"&gt;="&amp;$B$4,'Teacher Rankings'!A:A,"&lt;="&amp;$B$5)))</f>
        <v/>
      </c>
      <c r="G115">
        <f>IF($D115="","",RANK($D115,$D$8:$D$207,0))</f>
        <v/>
      </c>
      <c r="H115">
        <f>IF($D115="","",IF($D115&gt;=90,"Outstanding",IF($D115&gt;=75,"Very Good",IF($D115&gt;=60,"Good","Needs Support"))))</f>
        <v/>
      </c>
    </row>
    <row r="116">
      <c r="A116">
        <f>IF(Teachers!A110="","",Teachers!A110)</f>
        <v/>
      </c>
      <c r="B116">
        <f>IF(Teachers!A110="","",Teachers!B110)</f>
        <v/>
      </c>
      <c r="C116">
        <f>IF($A116="","",COUNTIFS('Teacher Rankings'!B:B,$A116,'Teacher Rankings'!A:A,"&gt;="&amp;$B$4,'Teacher Rankings'!A:A,"&lt;="&amp;$B$5))</f>
        <v/>
      </c>
      <c r="D116">
        <f>IF($A116="","",IF($C116=0,"",ROUND(AVERAGEIFS('Teacher Rankings'!I:I,'Teacher Rankings'!B:B,$A116,'Teacher Rankings'!A:A,"&gt;="&amp;$B$4,'Teacher Rankings'!A:A,"&lt;="&amp;$B$5),0)))</f>
        <v/>
      </c>
      <c r="E116">
        <f>IF($A116="","",IF($C116=0,"",MAXIFS('Teacher Rankings'!I:I,'Teacher Rankings'!B:B,$A116,'Teacher Rankings'!A:A,"&gt;="&amp;$B$4,'Teacher Rankings'!A:A,"&lt;="&amp;$B$5)))</f>
        <v/>
      </c>
      <c r="F116">
        <f>IF($A116="","",IF($C116=0,"",MINIFS('Teacher Rankings'!I:I,'Teacher Rankings'!B:B,$A116,'Teacher Rankings'!A:A,"&gt;="&amp;$B$4,'Teacher Rankings'!A:A,"&lt;="&amp;$B$5)))</f>
        <v/>
      </c>
      <c r="G116">
        <f>IF($D116="","",RANK($D116,$D$8:$D$207,0))</f>
        <v/>
      </c>
      <c r="H116">
        <f>IF($D116="","",IF($D116&gt;=90,"Outstanding",IF($D116&gt;=75,"Very Good",IF($D116&gt;=60,"Good","Needs Support"))))</f>
        <v/>
      </c>
    </row>
    <row r="117">
      <c r="A117">
        <f>IF(Teachers!A111="","",Teachers!A111)</f>
        <v/>
      </c>
      <c r="B117">
        <f>IF(Teachers!A111="","",Teachers!B111)</f>
        <v/>
      </c>
      <c r="C117">
        <f>IF($A117="","",COUNTIFS('Teacher Rankings'!B:B,$A117,'Teacher Rankings'!A:A,"&gt;="&amp;$B$4,'Teacher Rankings'!A:A,"&lt;="&amp;$B$5))</f>
        <v/>
      </c>
      <c r="D117">
        <f>IF($A117="","",IF($C117=0,"",ROUND(AVERAGEIFS('Teacher Rankings'!I:I,'Teacher Rankings'!B:B,$A117,'Teacher Rankings'!A:A,"&gt;="&amp;$B$4,'Teacher Rankings'!A:A,"&lt;="&amp;$B$5),0)))</f>
        <v/>
      </c>
      <c r="E117">
        <f>IF($A117="","",IF($C117=0,"",MAXIFS('Teacher Rankings'!I:I,'Teacher Rankings'!B:B,$A117,'Teacher Rankings'!A:A,"&gt;="&amp;$B$4,'Teacher Rankings'!A:A,"&lt;="&amp;$B$5)))</f>
        <v/>
      </c>
      <c r="F117">
        <f>IF($A117="","",IF($C117=0,"",MINIFS('Teacher Rankings'!I:I,'Teacher Rankings'!B:B,$A117,'Teacher Rankings'!A:A,"&gt;="&amp;$B$4,'Teacher Rankings'!A:A,"&lt;="&amp;$B$5)))</f>
        <v/>
      </c>
      <c r="G117">
        <f>IF($D117="","",RANK($D117,$D$8:$D$207,0))</f>
        <v/>
      </c>
      <c r="H117">
        <f>IF($D117="","",IF($D117&gt;=90,"Outstanding",IF($D117&gt;=75,"Very Good",IF($D117&gt;=60,"Good","Needs Support"))))</f>
        <v/>
      </c>
    </row>
    <row r="118">
      <c r="A118">
        <f>IF(Teachers!A112="","",Teachers!A112)</f>
        <v/>
      </c>
      <c r="B118">
        <f>IF(Teachers!A112="","",Teachers!B112)</f>
        <v/>
      </c>
      <c r="C118">
        <f>IF($A118="","",COUNTIFS('Teacher Rankings'!B:B,$A118,'Teacher Rankings'!A:A,"&gt;="&amp;$B$4,'Teacher Rankings'!A:A,"&lt;="&amp;$B$5))</f>
        <v/>
      </c>
      <c r="D118">
        <f>IF($A118="","",IF($C118=0,"",ROUND(AVERAGEIFS('Teacher Rankings'!I:I,'Teacher Rankings'!B:B,$A118,'Teacher Rankings'!A:A,"&gt;="&amp;$B$4,'Teacher Rankings'!A:A,"&lt;="&amp;$B$5),0)))</f>
        <v/>
      </c>
      <c r="E118">
        <f>IF($A118="","",IF($C118=0,"",MAXIFS('Teacher Rankings'!I:I,'Teacher Rankings'!B:B,$A118,'Teacher Rankings'!A:A,"&gt;="&amp;$B$4,'Teacher Rankings'!A:A,"&lt;="&amp;$B$5)))</f>
        <v/>
      </c>
      <c r="F118">
        <f>IF($A118="","",IF($C118=0,"",MINIFS('Teacher Rankings'!I:I,'Teacher Rankings'!B:B,$A118,'Teacher Rankings'!A:A,"&gt;="&amp;$B$4,'Teacher Rankings'!A:A,"&lt;="&amp;$B$5)))</f>
        <v/>
      </c>
      <c r="G118">
        <f>IF($D118="","",RANK($D118,$D$8:$D$207,0))</f>
        <v/>
      </c>
      <c r="H118">
        <f>IF($D118="","",IF($D118&gt;=90,"Outstanding",IF($D118&gt;=75,"Very Good",IF($D118&gt;=60,"Good","Needs Support"))))</f>
        <v/>
      </c>
    </row>
    <row r="119">
      <c r="A119">
        <f>IF(Teachers!A113="","",Teachers!A113)</f>
        <v/>
      </c>
      <c r="B119">
        <f>IF(Teachers!A113="","",Teachers!B113)</f>
        <v/>
      </c>
      <c r="C119">
        <f>IF($A119="","",COUNTIFS('Teacher Rankings'!B:B,$A119,'Teacher Rankings'!A:A,"&gt;="&amp;$B$4,'Teacher Rankings'!A:A,"&lt;="&amp;$B$5))</f>
        <v/>
      </c>
      <c r="D119">
        <f>IF($A119="","",IF($C119=0,"",ROUND(AVERAGEIFS('Teacher Rankings'!I:I,'Teacher Rankings'!B:B,$A119,'Teacher Rankings'!A:A,"&gt;="&amp;$B$4,'Teacher Rankings'!A:A,"&lt;="&amp;$B$5),0)))</f>
        <v/>
      </c>
      <c r="E119">
        <f>IF($A119="","",IF($C119=0,"",MAXIFS('Teacher Rankings'!I:I,'Teacher Rankings'!B:B,$A119,'Teacher Rankings'!A:A,"&gt;="&amp;$B$4,'Teacher Rankings'!A:A,"&lt;="&amp;$B$5)))</f>
        <v/>
      </c>
      <c r="F119">
        <f>IF($A119="","",IF($C119=0,"",MINIFS('Teacher Rankings'!I:I,'Teacher Rankings'!B:B,$A119,'Teacher Rankings'!A:A,"&gt;="&amp;$B$4,'Teacher Rankings'!A:A,"&lt;="&amp;$B$5)))</f>
        <v/>
      </c>
      <c r="G119">
        <f>IF($D119="","",RANK($D119,$D$8:$D$207,0))</f>
        <v/>
      </c>
      <c r="H119">
        <f>IF($D119="","",IF($D119&gt;=90,"Outstanding",IF($D119&gt;=75,"Very Good",IF($D119&gt;=60,"Good","Needs Support"))))</f>
        <v/>
      </c>
    </row>
    <row r="120">
      <c r="A120">
        <f>IF(Teachers!A114="","",Teachers!A114)</f>
        <v/>
      </c>
      <c r="B120">
        <f>IF(Teachers!A114="","",Teachers!B114)</f>
        <v/>
      </c>
      <c r="C120">
        <f>IF($A120="","",COUNTIFS('Teacher Rankings'!B:B,$A120,'Teacher Rankings'!A:A,"&gt;="&amp;$B$4,'Teacher Rankings'!A:A,"&lt;="&amp;$B$5))</f>
        <v/>
      </c>
      <c r="D120">
        <f>IF($A120="","",IF($C120=0,"",ROUND(AVERAGEIFS('Teacher Rankings'!I:I,'Teacher Rankings'!B:B,$A120,'Teacher Rankings'!A:A,"&gt;="&amp;$B$4,'Teacher Rankings'!A:A,"&lt;="&amp;$B$5),0)))</f>
        <v/>
      </c>
      <c r="E120">
        <f>IF($A120="","",IF($C120=0,"",MAXIFS('Teacher Rankings'!I:I,'Teacher Rankings'!B:B,$A120,'Teacher Rankings'!A:A,"&gt;="&amp;$B$4,'Teacher Rankings'!A:A,"&lt;="&amp;$B$5)))</f>
        <v/>
      </c>
      <c r="F120">
        <f>IF($A120="","",IF($C120=0,"",MINIFS('Teacher Rankings'!I:I,'Teacher Rankings'!B:B,$A120,'Teacher Rankings'!A:A,"&gt;="&amp;$B$4,'Teacher Rankings'!A:A,"&lt;="&amp;$B$5)))</f>
        <v/>
      </c>
      <c r="G120">
        <f>IF($D120="","",RANK($D120,$D$8:$D$207,0))</f>
        <v/>
      </c>
      <c r="H120">
        <f>IF($D120="","",IF($D120&gt;=90,"Outstanding",IF($D120&gt;=75,"Very Good",IF($D120&gt;=60,"Good","Needs Support"))))</f>
        <v/>
      </c>
    </row>
    <row r="121">
      <c r="A121">
        <f>IF(Teachers!A115="","",Teachers!A115)</f>
        <v/>
      </c>
      <c r="B121">
        <f>IF(Teachers!A115="","",Teachers!B115)</f>
        <v/>
      </c>
      <c r="C121">
        <f>IF($A121="","",COUNTIFS('Teacher Rankings'!B:B,$A121,'Teacher Rankings'!A:A,"&gt;="&amp;$B$4,'Teacher Rankings'!A:A,"&lt;="&amp;$B$5))</f>
        <v/>
      </c>
      <c r="D121">
        <f>IF($A121="","",IF($C121=0,"",ROUND(AVERAGEIFS('Teacher Rankings'!I:I,'Teacher Rankings'!B:B,$A121,'Teacher Rankings'!A:A,"&gt;="&amp;$B$4,'Teacher Rankings'!A:A,"&lt;="&amp;$B$5),0)))</f>
        <v/>
      </c>
      <c r="E121">
        <f>IF($A121="","",IF($C121=0,"",MAXIFS('Teacher Rankings'!I:I,'Teacher Rankings'!B:B,$A121,'Teacher Rankings'!A:A,"&gt;="&amp;$B$4,'Teacher Rankings'!A:A,"&lt;="&amp;$B$5)))</f>
        <v/>
      </c>
      <c r="F121">
        <f>IF($A121="","",IF($C121=0,"",MINIFS('Teacher Rankings'!I:I,'Teacher Rankings'!B:B,$A121,'Teacher Rankings'!A:A,"&gt;="&amp;$B$4,'Teacher Rankings'!A:A,"&lt;="&amp;$B$5)))</f>
        <v/>
      </c>
      <c r="G121">
        <f>IF($D121="","",RANK($D121,$D$8:$D$207,0))</f>
        <v/>
      </c>
      <c r="H121">
        <f>IF($D121="","",IF($D121&gt;=90,"Outstanding",IF($D121&gt;=75,"Very Good",IF($D121&gt;=60,"Good","Needs Support"))))</f>
        <v/>
      </c>
    </row>
    <row r="122">
      <c r="A122">
        <f>IF(Teachers!A116="","",Teachers!A116)</f>
        <v/>
      </c>
      <c r="B122">
        <f>IF(Teachers!A116="","",Teachers!B116)</f>
        <v/>
      </c>
      <c r="C122">
        <f>IF($A122="","",COUNTIFS('Teacher Rankings'!B:B,$A122,'Teacher Rankings'!A:A,"&gt;="&amp;$B$4,'Teacher Rankings'!A:A,"&lt;="&amp;$B$5))</f>
        <v/>
      </c>
      <c r="D122">
        <f>IF($A122="","",IF($C122=0,"",ROUND(AVERAGEIFS('Teacher Rankings'!I:I,'Teacher Rankings'!B:B,$A122,'Teacher Rankings'!A:A,"&gt;="&amp;$B$4,'Teacher Rankings'!A:A,"&lt;="&amp;$B$5),0)))</f>
        <v/>
      </c>
      <c r="E122">
        <f>IF($A122="","",IF($C122=0,"",MAXIFS('Teacher Rankings'!I:I,'Teacher Rankings'!B:B,$A122,'Teacher Rankings'!A:A,"&gt;="&amp;$B$4,'Teacher Rankings'!A:A,"&lt;="&amp;$B$5)))</f>
        <v/>
      </c>
      <c r="F122">
        <f>IF($A122="","",IF($C122=0,"",MINIFS('Teacher Rankings'!I:I,'Teacher Rankings'!B:B,$A122,'Teacher Rankings'!A:A,"&gt;="&amp;$B$4,'Teacher Rankings'!A:A,"&lt;="&amp;$B$5)))</f>
        <v/>
      </c>
      <c r="G122">
        <f>IF($D122="","",RANK($D122,$D$8:$D$207,0))</f>
        <v/>
      </c>
      <c r="H122">
        <f>IF($D122="","",IF($D122&gt;=90,"Outstanding",IF($D122&gt;=75,"Very Good",IF($D122&gt;=60,"Good","Needs Support"))))</f>
        <v/>
      </c>
    </row>
    <row r="123">
      <c r="A123">
        <f>IF(Teachers!A117="","",Teachers!A117)</f>
        <v/>
      </c>
      <c r="B123">
        <f>IF(Teachers!A117="","",Teachers!B117)</f>
        <v/>
      </c>
      <c r="C123">
        <f>IF($A123="","",COUNTIFS('Teacher Rankings'!B:B,$A123,'Teacher Rankings'!A:A,"&gt;="&amp;$B$4,'Teacher Rankings'!A:A,"&lt;="&amp;$B$5))</f>
        <v/>
      </c>
      <c r="D123">
        <f>IF($A123="","",IF($C123=0,"",ROUND(AVERAGEIFS('Teacher Rankings'!I:I,'Teacher Rankings'!B:B,$A123,'Teacher Rankings'!A:A,"&gt;="&amp;$B$4,'Teacher Rankings'!A:A,"&lt;="&amp;$B$5),0)))</f>
        <v/>
      </c>
      <c r="E123">
        <f>IF($A123="","",IF($C123=0,"",MAXIFS('Teacher Rankings'!I:I,'Teacher Rankings'!B:B,$A123,'Teacher Rankings'!A:A,"&gt;="&amp;$B$4,'Teacher Rankings'!A:A,"&lt;="&amp;$B$5)))</f>
        <v/>
      </c>
      <c r="F123">
        <f>IF($A123="","",IF($C123=0,"",MINIFS('Teacher Rankings'!I:I,'Teacher Rankings'!B:B,$A123,'Teacher Rankings'!A:A,"&gt;="&amp;$B$4,'Teacher Rankings'!A:A,"&lt;="&amp;$B$5)))</f>
        <v/>
      </c>
      <c r="G123">
        <f>IF($D123="","",RANK($D123,$D$8:$D$207,0))</f>
        <v/>
      </c>
      <c r="H123">
        <f>IF($D123="","",IF($D123&gt;=90,"Outstanding",IF($D123&gt;=75,"Very Good",IF($D123&gt;=60,"Good","Needs Support"))))</f>
        <v/>
      </c>
    </row>
    <row r="124">
      <c r="A124">
        <f>IF(Teachers!A118="","",Teachers!A118)</f>
        <v/>
      </c>
      <c r="B124">
        <f>IF(Teachers!A118="","",Teachers!B118)</f>
        <v/>
      </c>
      <c r="C124">
        <f>IF($A124="","",COUNTIFS('Teacher Rankings'!B:B,$A124,'Teacher Rankings'!A:A,"&gt;="&amp;$B$4,'Teacher Rankings'!A:A,"&lt;="&amp;$B$5))</f>
        <v/>
      </c>
      <c r="D124">
        <f>IF($A124="","",IF($C124=0,"",ROUND(AVERAGEIFS('Teacher Rankings'!I:I,'Teacher Rankings'!B:B,$A124,'Teacher Rankings'!A:A,"&gt;="&amp;$B$4,'Teacher Rankings'!A:A,"&lt;="&amp;$B$5),0)))</f>
        <v/>
      </c>
      <c r="E124">
        <f>IF($A124="","",IF($C124=0,"",MAXIFS('Teacher Rankings'!I:I,'Teacher Rankings'!B:B,$A124,'Teacher Rankings'!A:A,"&gt;="&amp;$B$4,'Teacher Rankings'!A:A,"&lt;="&amp;$B$5)))</f>
        <v/>
      </c>
      <c r="F124">
        <f>IF($A124="","",IF($C124=0,"",MINIFS('Teacher Rankings'!I:I,'Teacher Rankings'!B:B,$A124,'Teacher Rankings'!A:A,"&gt;="&amp;$B$4,'Teacher Rankings'!A:A,"&lt;="&amp;$B$5)))</f>
        <v/>
      </c>
      <c r="G124">
        <f>IF($D124="","",RANK($D124,$D$8:$D$207,0))</f>
        <v/>
      </c>
      <c r="H124">
        <f>IF($D124="","",IF($D124&gt;=90,"Outstanding",IF($D124&gt;=75,"Very Good",IF($D124&gt;=60,"Good","Needs Support"))))</f>
        <v/>
      </c>
    </row>
    <row r="125">
      <c r="A125">
        <f>IF(Teachers!A119="","",Teachers!A119)</f>
        <v/>
      </c>
      <c r="B125">
        <f>IF(Teachers!A119="","",Teachers!B119)</f>
        <v/>
      </c>
      <c r="C125">
        <f>IF($A125="","",COUNTIFS('Teacher Rankings'!B:B,$A125,'Teacher Rankings'!A:A,"&gt;="&amp;$B$4,'Teacher Rankings'!A:A,"&lt;="&amp;$B$5))</f>
        <v/>
      </c>
      <c r="D125">
        <f>IF($A125="","",IF($C125=0,"",ROUND(AVERAGEIFS('Teacher Rankings'!I:I,'Teacher Rankings'!B:B,$A125,'Teacher Rankings'!A:A,"&gt;="&amp;$B$4,'Teacher Rankings'!A:A,"&lt;="&amp;$B$5),0)))</f>
        <v/>
      </c>
      <c r="E125">
        <f>IF($A125="","",IF($C125=0,"",MAXIFS('Teacher Rankings'!I:I,'Teacher Rankings'!B:B,$A125,'Teacher Rankings'!A:A,"&gt;="&amp;$B$4,'Teacher Rankings'!A:A,"&lt;="&amp;$B$5)))</f>
        <v/>
      </c>
      <c r="F125">
        <f>IF($A125="","",IF($C125=0,"",MINIFS('Teacher Rankings'!I:I,'Teacher Rankings'!B:B,$A125,'Teacher Rankings'!A:A,"&gt;="&amp;$B$4,'Teacher Rankings'!A:A,"&lt;="&amp;$B$5)))</f>
        <v/>
      </c>
      <c r="G125">
        <f>IF($D125="","",RANK($D125,$D$8:$D$207,0))</f>
        <v/>
      </c>
      <c r="H125">
        <f>IF($D125="","",IF($D125&gt;=90,"Outstanding",IF($D125&gt;=75,"Very Good",IF($D125&gt;=60,"Good","Needs Support"))))</f>
        <v/>
      </c>
    </row>
    <row r="126">
      <c r="A126">
        <f>IF(Teachers!A120="","",Teachers!A120)</f>
        <v/>
      </c>
      <c r="B126">
        <f>IF(Teachers!A120="","",Teachers!B120)</f>
        <v/>
      </c>
      <c r="C126">
        <f>IF($A126="","",COUNTIFS('Teacher Rankings'!B:B,$A126,'Teacher Rankings'!A:A,"&gt;="&amp;$B$4,'Teacher Rankings'!A:A,"&lt;="&amp;$B$5))</f>
        <v/>
      </c>
      <c r="D126">
        <f>IF($A126="","",IF($C126=0,"",ROUND(AVERAGEIFS('Teacher Rankings'!I:I,'Teacher Rankings'!B:B,$A126,'Teacher Rankings'!A:A,"&gt;="&amp;$B$4,'Teacher Rankings'!A:A,"&lt;="&amp;$B$5),0)))</f>
        <v/>
      </c>
      <c r="E126">
        <f>IF($A126="","",IF($C126=0,"",MAXIFS('Teacher Rankings'!I:I,'Teacher Rankings'!B:B,$A126,'Teacher Rankings'!A:A,"&gt;="&amp;$B$4,'Teacher Rankings'!A:A,"&lt;="&amp;$B$5)))</f>
        <v/>
      </c>
      <c r="F126">
        <f>IF($A126="","",IF($C126=0,"",MINIFS('Teacher Rankings'!I:I,'Teacher Rankings'!B:B,$A126,'Teacher Rankings'!A:A,"&gt;="&amp;$B$4,'Teacher Rankings'!A:A,"&lt;="&amp;$B$5)))</f>
        <v/>
      </c>
      <c r="G126">
        <f>IF($D126="","",RANK($D126,$D$8:$D$207,0))</f>
        <v/>
      </c>
      <c r="H126">
        <f>IF($D126="","",IF($D126&gt;=90,"Outstanding",IF($D126&gt;=75,"Very Good",IF($D126&gt;=60,"Good","Needs Support"))))</f>
        <v/>
      </c>
    </row>
    <row r="127">
      <c r="A127">
        <f>IF(Teachers!A121="","",Teachers!A121)</f>
        <v/>
      </c>
      <c r="B127">
        <f>IF(Teachers!A121="","",Teachers!B121)</f>
        <v/>
      </c>
      <c r="C127">
        <f>IF($A127="","",COUNTIFS('Teacher Rankings'!B:B,$A127,'Teacher Rankings'!A:A,"&gt;="&amp;$B$4,'Teacher Rankings'!A:A,"&lt;="&amp;$B$5))</f>
        <v/>
      </c>
      <c r="D127">
        <f>IF($A127="","",IF($C127=0,"",ROUND(AVERAGEIFS('Teacher Rankings'!I:I,'Teacher Rankings'!B:B,$A127,'Teacher Rankings'!A:A,"&gt;="&amp;$B$4,'Teacher Rankings'!A:A,"&lt;="&amp;$B$5),0)))</f>
        <v/>
      </c>
      <c r="E127">
        <f>IF($A127="","",IF($C127=0,"",MAXIFS('Teacher Rankings'!I:I,'Teacher Rankings'!B:B,$A127,'Teacher Rankings'!A:A,"&gt;="&amp;$B$4,'Teacher Rankings'!A:A,"&lt;="&amp;$B$5)))</f>
        <v/>
      </c>
      <c r="F127">
        <f>IF($A127="","",IF($C127=0,"",MINIFS('Teacher Rankings'!I:I,'Teacher Rankings'!B:B,$A127,'Teacher Rankings'!A:A,"&gt;="&amp;$B$4,'Teacher Rankings'!A:A,"&lt;="&amp;$B$5)))</f>
        <v/>
      </c>
      <c r="G127">
        <f>IF($D127="","",RANK($D127,$D$8:$D$207,0))</f>
        <v/>
      </c>
      <c r="H127">
        <f>IF($D127="","",IF($D127&gt;=90,"Outstanding",IF($D127&gt;=75,"Very Good",IF($D127&gt;=60,"Good","Needs Support"))))</f>
        <v/>
      </c>
    </row>
    <row r="128">
      <c r="A128">
        <f>IF(Teachers!A122="","",Teachers!A122)</f>
        <v/>
      </c>
      <c r="B128">
        <f>IF(Teachers!A122="","",Teachers!B122)</f>
        <v/>
      </c>
      <c r="C128">
        <f>IF($A128="","",COUNTIFS('Teacher Rankings'!B:B,$A128,'Teacher Rankings'!A:A,"&gt;="&amp;$B$4,'Teacher Rankings'!A:A,"&lt;="&amp;$B$5))</f>
        <v/>
      </c>
      <c r="D128">
        <f>IF($A128="","",IF($C128=0,"",ROUND(AVERAGEIFS('Teacher Rankings'!I:I,'Teacher Rankings'!B:B,$A128,'Teacher Rankings'!A:A,"&gt;="&amp;$B$4,'Teacher Rankings'!A:A,"&lt;="&amp;$B$5),0)))</f>
        <v/>
      </c>
      <c r="E128">
        <f>IF($A128="","",IF($C128=0,"",MAXIFS('Teacher Rankings'!I:I,'Teacher Rankings'!B:B,$A128,'Teacher Rankings'!A:A,"&gt;="&amp;$B$4,'Teacher Rankings'!A:A,"&lt;="&amp;$B$5)))</f>
        <v/>
      </c>
      <c r="F128">
        <f>IF($A128="","",IF($C128=0,"",MINIFS('Teacher Rankings'!I:I,'Teacher Rankings'!B:B,$A128,'Teacher Rankings'!A:A,"&gt;="&amp;$B$4,'Teacher Rankings'!A:A,"&lt;="&amp;$B$5)))</f>
        <v/>
      </c>
      <c r="G128">
        <f>IF($D128="","",RANK($D128,$D$8:$D$207,0))</f>
        <v/>
      </c>
      <c r="H128">
        <f>IF($D128="","",IF($D128&gt;=90,"Outstanding",IF($D128&gt;=75,"Very Good",IF($D128&gt;=60,"Good","Needs Support"))))</f>
        <v/>
      </c>
    </row>
    <row r="129">
      <c r="A129">
        <f>IF(Teachers!A123="","",Teachers!A123)</f>
        <v/>
      </c>
      <c r="B129">
        <f>IF(Teachers!A123="","",Teachers!B123)</f>
        <v/>
      </c>
      <c r="C129">
        <f>IF($A129="","",COUNTIFS('Teacher Rankings'!B:B,$A129,'Teacher Rankings'!A:A,"&gt;="&amp;$B$4,'Teacher Rankings'!A:A,"&lt;="&amp;$B$5))</f>
        <v/>
      </c>
      <c r="D129">
        <f>IF($A129="","",IF($C129=0,"",ROUND(AVERAGEIFS('Teacher Rankings'!I:I,'Teacher Rankings'!B:B,$A129,'Teacher Rankings'!A:A,"&gt;="&amp;$B$4,'Teacher Rankings'!A:A,"&lt;="&amp;$B$5),0)))</f>
        <v/>
      </c>
      <c r="E129">
        <f>IF($A129="","",IF($C129=0,"",MAXIFS('Teacher Rankings'!I:I,'Teacher Rankings'!B:B,$A129,'Teacher Rankings'!A:A,"&gt;="&amp;$B$4,'Teacher Rankings'!A:A,"&lt;="&amp;$B$5)))</f>
        <v/>
      </c>
      <c r="F129">
        <f>IF($A129="","",IF($C129=0,"",MINIFS('Teacher Rankings'!I:I,'Teacher Rankings'!B:B,$A129,'Teacher Rankings'!A:A,"&gt;="&amp;$B$4,'Teacher Rankings'!A:A,"&lt;="&amp;$B$5)))</f>
        <v/>
      </c>
      <c r="G129">
        <f>IF($D129="","",RANK($D129,$D$8:$D$207,0))</f>
        <v/>
      </c>
      <c r="H129">
        <f>IF($D129="","",IF($D129&gt;=90,"Outstanding",IF($D129&gt;=75,"Very Good",IF($D129&gt;=60,"Good","Needs Support"))))</f>
        <v/>
      </c>
    </row>
    <row r="130">
      <c r="A130">
        <f>IF(Teachers!A124="","",Teachers!A124)</f>
        <v/>
      </c>
      <c r="B130">
        <f>IF(Teachers!A124="","",Teachers!B124)</f>
        <v/>
      </c>
      <c r="C130">
        <f>IF($A130="","",COUNTIFS('Teacher Rankings'!B:B,$A130,'Teacher Rankings'!A:A,"&gt;="&amp;$B$4,'Teacher Rankings'!A:A,"&lt;="&amp;$B$5))</f>
        <v/>
      </c>
      <c r="D130">
        <f>IF($A130="","",IF($C130=0,"",ROUND(AVERAGEIFS('Teacher Rankings'!I:I,'Teacher Rankings'!B:B,$A130,'Teacher Rankings'!A:A,"&gt;="&amp;$B$4,'Teacher Rankings'!A:A,"&lt;="&amp;$B$5),0)))</f>
        <v/>
      </c>
      <c r="E130">
        <f>IF($A130="","",IF($C130=0,"",MAXIFS('Teacher Rankings'!I:I,'Teacher Rankings'!B:B,$A130,'Teacher Rankings'!A:A,"&gt;="&amp;$B$4,'Teacher Rankings'!A:A,"&lt;="&amp;$B$5)))</f>
        <v/>
      </c>
      <c r="F130">
        <f>IF($A130="","",IF($C130=0,"",MINIFS('Teacher Rankings'!I:I,'Teacher Rankings'!B:B,$A130,'Teacher Rankings'!A:A,"&gt;="&amp;$B$4,'Teacher Rankings'!A:A,"&lt;="&amp;$B$5)))</f>
        <v/>
      </c>
      <c r="G130">
        <f>IF($D130="","",RANK($D130,$D$8:$D$207,0))</f>
        <v/>
      </c>
      <c r="H130">
        <f>IF($D130="","",IF($D130&gt;=90,"Outstanding",IF($D130&gt;=75,"Very Good",IF($D130&gt;=60,"Good","Needs Support"))))</f>
        <v/>
      </c>
    </row>
    <row r="131">
      <c r="A131">
        <f>IF(Teachers!A125="","",Teachers!A125)</f>
        <v/>
      </c>
      <c r="B131">
        <f>IF(Teachers!A125="","",Teachers!B125)</f>
        <v/>
      </c>
      <c r="C131">
        <f>IF($A131="","",COUNTIFS('Teacher Rankings'!B:B,$A131,'Teacher Rankings'!A:A,"&gt;="&amp;$B$4,'Teacher Rankings'!A:A,"&lt;="&amp;$B$5))</f>
        <v/>
      </c>
      <c r="D131">
        <f>IF($A131="","",IF($C131=0,"",ROUND(AVERAGEIFS('Teacher Rankings'!I:I,'Teacher Rankings'!B:B,$A131,'Teacher Rankings'!A:A,"&gt;="&amp;$B$4,'Teacher Rankings'!A:A,"&lt;="&amp;$B$5),0)))</f>
        <v/>
      </c>
      <c r="E131">
        <f>IF($A131="","",IF($C131=0,"",MAXIFS('Teacher Rankings'!I:I,'Teacher Rankings'!B:B,$A131,'Teacher Rankings'!A:A,"&gt;="&amp;$B$4,'Teacher Rankings'!A:A,"&lt;="&amp;$B$5)))</f>
        <v/>
      </c>
      <c r="F131">
        <f>IF($A131="","",IF($C131=0,"",MINIFS('Teacher Rankings'!I:I,'Teacher Rankings'!B:B,$A131,'Teacher Rankings'!A:A,"&gt;="&amp;$B$4,'Teacher Rankings'!A:A,"&lt;="&amp;$B$5)))</f>
        <v/>
      </c>
      <c r="G131">
        <f>IF($D131="","",RANK($D131,$D$8:$D$207,0))</f>
        <v/>
      </c>
      <c r="H131">
        <f>IF($D131="","",IF($D131&gt;=90,"Outstanding",IF($D131&gt;=75,"Very Good",IF($D131&gt;=60,"Good","Needs Support"))))</f>
        <v/>
      </c>
    </row>
    <row r="132">
      <c r="A132">
        <f>IF(Teachers!A126="","",Teachers!A126)</f>
        <v/>
      </c>
      <c r="B132">
        <f>IF(Teachers!A126="","",Teachers!B126)</f>
        <v/>
      </c>
      <c r="C132">
        <f>IF($A132="","",COUNTIFS('Teacher Rankings'!B:B,$A132,'Teacher Rankings'!A:A,"&gt;="&amp;$B$4,'Teacher Rankings'!A:A,"&lt;="&amp;$B$5))</f>
        <v/>
      </c>
      <c r="D132">
        <f>IF($A132="","",IF($C132=0,"",ROUND(AVERAGEIFS('Teacher Rankings'!I:I,'Teacher Rankings'!B:B,$A132,'Teacher Rankings'!A:A,"&gt;="&amp;$B$4,'Teacher Rankings'!A:A,"&lt;="&amp;$B$5),0)))</f>
        <v/>
      </c>
      <c r="E132">
        <f>IF($A132="","",IF($C132=0,"",MAXIFS('Teacher Rankings'!I:I,'Teacher Rankings'!B:B,$A132,'Teacher Rankings'!A:A,"&gt;="&amp;$B$4,'Teacher Rankings'!A:A,"&lt;="&amp;$B$5)))</f>
        <v/>
      </c>
      <c r="F132">
        <f>IF($A132="","",IF($C132=0,"",MINIFS('Teacher Rankings'!I:I,'Teacher Rankings'!B:B,$A132,'Teacher Rankings'!A:A,"&gt;="&amp;$B$4,'Teacher Rankings'!A:A,"&lt;="&amp;$B$5)))</f>
        <v/>
      </c>
      <c r="G132">
        <f>IF($D132="","",RANK($D132,$D$8:$D$207,0))</f>
        <v/>
      </c>
      <c r="H132">
        <f>IF($D132="","",IF($D132&gt;=90,"Outstanding",IF($D132&gt;=75,"Very Good",IF($D132&gt;=60,"Good","Needs Support"))))</f>
        <v/>
      </c>
    </row>
    <row r="133">
      <c r="A133">
        <f>IF(Teachers!A127="","",Teachers!A127)</f>
        <v/>
      </c>
      <c r="B133">
        <f>IF(Teachers!A127="","",Teachers!B127)</f>
        <v/>
      </c>
      <c r="C133">
        <f>IF($A133="","",COUNTIFS('Teacher Rankings'!B:B,$A133,'Teacher Rankings'!A:A,"&gt;="&amp;$B$4,'Teacher Rankings'!A:A,"&lt;="&amp;$B$5))</f>
        <v/>
      </c>
      <c r="D133">
        <f>IF($A133="","",IF($C133=0,"",ROUND(AVERAGEIFS('Teacher Rankings'!I:I,'Teacher Rankings'!B:B,$A133,'Teacher Rankings'!A:A,"&gt;="&amp;$B$4,'Teacher Rankings'!A:A,"&lt;="&amp;$B$5),0)))</f>
        <v/>
      </c>
      <c r="E133">
        <f>IF($A133="","",IF($C133=0,"",MAXIFS('Teacher Rankings'!I:I,'Teacher Rankings'!B:B,$A133,'Teacher Rankings'!A:A,"&gt;="&amp;$B$4,'Teacher Rankings'!A:A,"&lt;="&amp;$B$5)))</f>
        <v/>
      </c>
      <c r="F133">
        <f>IF($A133="","",IF($C133=0,"",MINIFS('Teacher Rankings'!I:I,'Teacher Rankings'!B:B,$A133,'Teacher Rankings'!A:A,"&gt;="&amp;$B$4,'Teacher Rankings'!A:A,"&lt;="&amp;$B$5)))</f>
        <v/>
      </c>
      <c r="G133">
        <f>IF($D133="","",RANK($D133,$D$8:$D$207,0))</f>
        <v/>
      </c>
      <c r="H133">
        <f>IF($D133="","",IF($D133&gt;=90,"Outstanding",IF($D133&gt;=75,"Very Good",IF($D133&gt;=60,"Good","Needs Support"))))</f>
        <v/>
      </c>
    </row>
    <row r="134">
      <c r="A134">
        <f>IF(Teachers!A128="","",Teachers!A128)</f>
        <v/>
      </c>
      <c r="B134">
        <f>IF(Teachers!A128="","",Teachers!B128)</f>
        <v/>
      </c>
      <c r="C134">
        <f>IF($A134="","",COUNTIFS('Teacher Rankings'!B:B,$A134,'Teacher Rankings'!A:A,"&gt;="&amp;$B$4,'Teacher Rankings'!A:A,"&lt;="&amp;$B$5))</f>
        <v/>
      </c>
      <c r="D134">
        <f>IF($A134="","",IF($C134=0,"",ROUND(AVERAGEIFS('Teacher Rankings'!I:I,'Teacher Rankings'!B:B,$A134,'Teacher Rankings'!A:A,"&gt;="&amp;$B$4,'Teacher Rankings'!A:A,"&lt;="&amp;$B$5),0)))</f>
        <v/>
      </c>
      <c r="E134">
        <f>IF($A134="","",IF($C134=0,"",MAXIFS('Teacher Rankings'!I:I,'Teacher Rankings'!B:B,$A134,'Teacher Rankings'!A:A,"&gt;="&amp;$B$4,'Teacher Rankings'!A:A,"&lt;="&amp;$B$5)))</f>
        <v/>
      </c>
      <c r="F134">
        <f>IF($A134="","",IF($C134=0,"",MINIFS('Teacher Rankings'!I:I,'Teacher Rankings'!B:B,$A134,'Teacher Rankings'!A:A,"&gt;="&amp;$B$4,'Teacher Rankings'!A:A,"&lt;="&amp;$B$5)))</f>
        <v/>
      </c>
      <c r="G134">
        <f>IF($D134="","",RANK($D134,$D$8:$D$207,0))</f>
        <v/>
      </c>
      <c r="H134">
        <f>IF($D134="","",IF($D134&gt;=90,"Outstanding",IF($D134&gt;=75,"Very Good",IF($D134&gt;=60,"Good","Needs Support"))))</f>
        <v/>
      </c>
    </row>
    <row r="135">
      <c r="A135">
        <f>IF(Teachers!A129="","",Teachers!A129)</f>
        <v/>
      </c>
      <c r="B135">
        <f>IF(Teachers!A129="","",Teachers!B129)</f>
        <v/>
      </c>
      <c r="C135">
        <f>IF($A135="","",COUNTIFS('Teacher Rankings'!B:B,$A135,'Teacher Rankings'!A:A,"&gt;="&amp;$B$4,'Teacher Rankings'!A:A,"&lt;="&amp;$B$5))</f>
        <v/>
      </c>
      <c r="D135">
        <f>IF($A135="","",IF($C135=0,"",ROUND(AVERAGEIFS('Teacher Rankings'!I:I,'Teacher Rankings'!B:B,$A135,'Teacher Rankings'!A:A,"&gt;="&amp;$B$4,'Teacher Rankings'!A:A,"&lt;="&amp;$B$5),0)))</f>
        <v/>
      </c>
      <c r="E135">
        <f>IF($A135="","",IF($C135=0,"",MAXIFS('Teacher Rankings'!I:I,'Teacher Rankings'!B:B,$A135,'Teacher Rankings'!A:A,"&gt;="&amp;$B$4,'Teacher Rankings'!A:A,"&lt;="&amp;$B$5)))</f>
        <v/>
      </c>
      <c r="F135">
        <f>IF($A135="","",IF($C135=0,"",MINIFS('Teacher Rankings'!I:I,'Teacher Rankings'!B:B,$A135,'Teacher Rankings'!A:A,"&gt;="&amp;$B$4,'Teacher Rankings'!A:A,"&lt;="&amp;$B$5)))</f>
        <v/>
      </c>
      <c r="G135">
        <f>IF($D135="","",RANK($D135,$D$8:$D$207,0))</f>
        <v/>
      </c>
      <c r="H135">
        <f>IF($D135="","",IF($D135&gt;=90,"Outstanding",IF($D135&gt;=75,"Very Good",IF($D135&gt;=60,"Good","Needs Support"))))</f>
        <v/>
      </c>
    </row>
    <row r="136">
      <c r="A136">
        <f>IF(Teachers!A130="","",Teachers!A130)</f>
        <v/>
      </c>
      <c r="B136">
        <f>IF(Teachers!A130="","",Teachers!B130)</f>
        <v/>
      </c>
      <c r="C136">
        <f>IF($A136="","",COUNTIFS('Teacher Rankings'!B:B,$A136,'Teacher Rankings'!A:A,"&gt;="&amp;$B$4,'Teacher Rankings'!A:A,"&lt;="&amp;$B$5))</f>
        <v/>
      </c>
      <c r="D136">
        <f>IF($A136="","",IF($C136=0,"",ROUND(AVERAGEIFS('Teacher Rankings'!I:I,'Teacher Rankings'!B:B,$A136,'Teacher Rankings'!A:A,"&gt;="&amp;$B$4,'Teacher Rankings'!A:A,"&lt;="&amp;$B$5),0)))</f>
        <v/>
      </c>
      <c r="E136">
        <f>IF($A136="","",IF($C136=0,"",MAXIFS('Teacher Rankings'!I:I,'Teacher Rankings'!B:B,$A136,'Teacher Rankings'!A:A,"&gt;="&amp;$B$4,'Teacher Rankings'!A:A,"&lt;="&amp;$B$5)))</f>
        <v/>
      </c>
      <c r="F136">
        <f>IF($A136="","",IF($C136=0,"",MINIFS('Teacher Rankings'!I:I,'Teacher Rankings'!B:B,$A136,'Teacher Rankings'!A:A,"&gt;="&amp;$B$4,'Teacher Rankings'!A:A,"&lt;="&amp;$B$5)))</f>
        <v/>
      </c>
      <c r="G136">
        <f>IF($D136="","",RANK($D136,$D$8:$D$207,0))</f>
        <v/>
      </c>
      <c r="H136">
        <f>IF($D136="","",IF($D136&gt;=90,"Outstanding",IF($D136&gt;=75,"Very Good",IF($D136&gt;=60,"Good","Needs Support"))))</f>
        <v/>
      </c>
    </row>
    <row r="137">
      <c r="A137">
        <f>IF(Teachers!A131="","",Teachers!A131)</f>
        <v/>
      </c>
      <c r="B137">
        <f>IF(Teachers!A131="","",Teachers!B131)</f>
        <v/>
      </c>
      <c r="C137">
        <f>IF($A137="","",COUNTIFS('Teacher Rankings'!B:B,$A137,'Teacher Rankings'!A:A,"&gt;="&amp;$B$4,'Teacher Rankings'!A:A,"&lt;="&amp;$B$5))</f>
        <v/>
      </c>
      <c r="D137">
        <f>IF($A137="","",IF($C137=0,"",ROUND(AVERAGEIFS('Teacher Rankings'!I:I,'Teacher Rankings'!B:B,$A137,'Teacher Rankings'!A:A,"&gt;="&amp;$B$4,'Teacher Rankings'!A:A,"&lt;="&amp;$B$5),0)))</f>
        <v/>
      </c>
      <c r="E137">
        <f>IF($A137="","",IF($C137=0,"",MAXIFS('Teacher Rankings'!I:I,'Teacher Rankings'!B:B,$A137,'Teacher Rankings'!A:A,"&gt;="&amp;$B$4,'Teacher Rankings'!A:A,"&lt;="&amp;$B$5)))</f>
        <v/>
      </c>
      <c r="F137">
        <f>IF($A137="","",IF($C137=0,"",MINIFS('Teacher Rankings'!I:I,'Teacher Rankings'!B:B,$A137,'Teacher Rankings'!A:A,"&gt;="&amp;$B$4,'Teacher Rankings'!A:A,"&lt;="&amp;$B$5)))</f>
        <v/>
      </c>
      <c r="G137">
        <f>IF($D137="","",RANK($D137,$D$8:$D$207,0))</f>
        <v/>
      </c>
      <c r="H137">
        <f>IF($D137="","",IF($D137&gt;=90,"Outstanding",IF($D137&gt;=75,"Very Good",IF($D137&gt;=60,"Good","Needs Support"))))</f>
        <v/>
      </c>
    </row>
    <row r="138">
      <c r="A138">
        <f>IF(Teachers!A132="","",Teachers!A132)</f>
        <v/>
      </c>
      <c r="B138">
        <f>IF(Teachers!A132="","",Teachers!B132)</f>
        <v/>
      </c>
      <c r="C138">
        <f>IF($A138="","",COUNTIFS('Teacher Rankings'!B:B,$A138,'Teacher Rankings'!A:A,"&gt;="&amp;$B$4,'Teacher Rankings'!A:A,"&lt;="&amp;$B$5))</f>
        <v/>
      </c>
      <c r="D138">
        <f>IF($A138="","",IF($C138=0,"",ROUND(AVERAGEIFS('Teacher Rankings'!I:I,'Teacher Rankings'!B:B,$A138,'Teacher Rankings'!A:A,"&gt;="&amp;$B$4,'Teacher Rankings'!A:A,"&lt;="&amp;$B$5),0)))</f>
        <v/>
      </c>
      <c r="E138">
        <f>IF($A138="","",IF($C138=0,"",MAXIFS('Teacher Rankings'!I:I,'Teacher Rankings'!B:B,$A138,'Teacher Rankings'!A:A,"&gt;="&amp;$B$4,'Teacher Rankings'!A:A,"&lt;="&amp;$B$5)))</f>
        <v/>
      </c>
      <c r="F138">
        <f>IF($A138="","",IF($C138=0,"",MINIFS('Teacher Rankings'!I:I,'Teacher Rankings'!B:B,$A138,'Teacher Rankings'!A:A,"&gt;="&amp;$B$4,'Teacher Rankings'!A:A,"&lt;="&amp;$B$5)))</f>
        <v/>
      </c>
      <c r="G138">
        <f>IF($D138="","",RANK($D138,$D$8:$D$207,0))</f>
        <v/>
      </c>
      <c r="H138">
        <f>IF($D138="","",IF($D138&gt;=90,"Outstanding",IF($D138&gt;=75,"Very Good",IF($D138&gt;=60,"Good","Needs Support"))))</f>
        <v/>
      </c>
    </row>
    <row r="139">
      <c r="A139">
        <f>IF(Teachers!A133="","",Teachers!A133)</f>
        <v/>
      </c>
      <c r="B139">
        <f>IF(Teachers!A133="","",Teachers!B133)</f>
        <v/>
      </c>
      <c r="C139">
        <f>IF($A139="","",COUNTIFS('Teacher Rankings'!B:B,$A139,'Teacher Rankings'!A:A,"&gt;="&amp;$B$4,'Teacher Rankings'!A:A,"&lt;="&amp;$B$5))</f>
        <v/>
      </c>
      <c r="D139">
        <f>IF($A139="","",IF($C139=0,"",ROUND(AVERAGEIFS('Teacher Rankings'!I:I,'Teacher Rankings'!B:B,$A139,'Teacher Rankings'!A:A,"&gt;="&amp;$B$4,'Teacher Rankings'!A:A,"&lt;="&amp;$B$5),0)))</f>
        <v/>
      </c>
      <c r="E139">
        <f>IF($A139="","",IF($C139=0,"",MAXIFS('Teacher Rankings'!I:I,'Teacher Rankings'!B:B,$A139,'Teacher Rankings'!A:A,"&gt;="&amp;$B$4,'Teacher Rankings'!A:A,"&lt;="&amp;$B$5)))</f>
        <v/>
      </c>
      <c r="F139">
        <f>IF($A139="","",IF($C139=0,"",MINIFS('Teacher Rankings'!I:I,'Teacher Rankings'!B:B,$A139,'Teacher Rankings'!A:A,"&gt;="&amp;$B$4,'Teacher Rankings'!A:A,"&lt;="&amp;$B$5)))</f>
        <v/>
      </c>
      <c r="G139">
        <f>IF($D139="","",RANK($D139,$D$8:$D$207,0))</f>
        <v/>
      </c>
      <c r="H139">
        <f>IF($D139="","",IF($D139&gt;=90,"Outstanding",IF($D139&gt;=75,"Very Good",IF($D139&gt;=60,"Good","Needs Support"))))</f>
        <v/>
      </c>
    </row>
    <row r="140">
      <c r="A140">
        <f>IF(Teachers!A134="","",Teachers!A134)</f>
        <v/>
      </c>
      <c r="B140">
        <f>IF(Teachers!A134="","",Teachers!B134)</f>
        <v/>
      </c>
      <c r="C140">
        <f>IF($A140="","",COUNTIFS('Teacher Rankings'!B:B,$A140,'Teacher Rankings'!A:A,"&gt;="&amp;$B$4,'Teacher Rankings'!A:A,"&lt;="&amp;$B$5))</f>
        <v/>
      </c>
      <c r="D140">
        <f>IF($A140="","",IF($C140=0,"",ROUND(AVERAGEIFS('Teacher Rankings'!I:I,'Teacher Rankings'!B:B,$A140,'Teacher Rankings'!A:A,"&gt;="&amp;$B$4,'Teacher Rankings'!A:A,"&lt;="&amp;$B$5),0)))</f>
        <v/>
      </c>
      <c r="E140">
        <f>IF($A140="","",IF($C140=0,"",MAXIFS('Teacher Rankings'!I:I,'Teacher Rankings'!B:B,$A140,'Teacher Rankings'!A:A,"&gt;="&amp;$B$4,'Teacher Rankings'!A:A,"&lt;="&amp;$B$5)))</f>
        <v/>
      </c>
      <c r="F140">
        <f>IF($A140="","",IF($C140=0,"",MINIFS('Teacher Rankings'!I:I,'Teacher Rankings'!B:B,$A140,'Teacher Rankings'!A:A,"&gt;="&amp;$B$4,'Teacher Rankings'!A:A,"&lt;="&amp;$B$5)))</f>
        <v/>
      </c>
      <c r="G140">
        <f>IF($D140="","",RANK($D140,$D$8:$D$207,0))</f>
        <v/>
      </c>
      <c r="H140">
        <f>IF($D140="","",IF($D140&gt;=90,"Outstanding",IF($D140&gt;=75,"Very Good",IF($D140&gt;=60,"Good","Needs Support"))))</f>
        <v/>
      </c>
    </row>
    <row r="141">
      <c r="A141">
        <f>IF(Teachers!A135="","",Teachers!A135)</f>
        <v/>
      </c>
      <c r="B141">
        <f>IF(Teachers!A135="","",Teachers!B135)</f>
        <v/>
      </c>
      <c r="C141">
        <f>IF($A141="","",COUNTIFS('Teacher Rankings'!B:B,$A141,'Teacher Rankings'!A:A,"&gt;="&amp;$B$4,'Teacher Rankings'!A:A,"&lt;="&amp;$B$5))</f>
        <v/>
      </c>
      <c r="D141">
        <f>IF($A141="","",IF($C141=0,"",ROUND(AVERAGEIFS('Teacher Rankings'!I:I,'Teacher Rankings'!B:B,$A141,'Teacher Rankings'!A:A,"&gt;="&amp;$B$4,'Teacher Rankings'!A:A,"&lt;="&amp;$B$5),0)))</f>
        <v/>
      </c>
      <c r="E141">
        <f>IF($A141="","",IF($C141=0,"",MAXIFS('Teacher Rankings'!I:I,'Teacher Rankings'!B:B,$A141,'Teacher Rankings'!A:A,"&gt;="&amp;$B$4,'Teacher Rankings'!A:A,"&lt;="&amp;$B$5)))</f>
        <v/>
      </c>
      <c r="F141">
        <f>IF($A141="","",IF($C141=0,"",MINIFS('Teacher Rankings'!I:I,'Teacher Rankings'!B:B,$A141,'Teacher Rankings'!A:A,"&gt;="&amp;$B$4,'Teacher Rankings'!A:A,"&lt;="&amp;$B$5)))</f>
        <v/>
      </c>
      <c r="G141">
        <f>IF($D141="","",RANK($D141,$D$8:$D$207,0))</f>
        <v/>
      </c>
      <c r="H141">
        <f>IF($D141="","",IF($D141&gt;=90,"Outstanding",IF($D141&gt;=75,"Very Good",IF($D141&gt;=60,"Good","Needs Support"))))</f>
        <v/>
      </c>
    </row>
    <row r="142">
      <c r="A142">
        <f>IF(Teachers!A136="","",Teachers!A136)</f>
        <v/>
      </c>
      <c r="B142">
        <f>IF(Teachers!A136="","",Teachers!B136)</f>
        <v/>
      </c>
      <c r="C142">
        <f>IF($A142="","",COUNTIFS('Teacher Rankings'!B:B,$A142,'Teacher Rankings'!A:A,"&gt;="&amp;$B$4,'Teacher Rankings'!A:A,"&lt;="&amp;$B$5))</f>
        <v/>
      </c>
      <c r="D142">
        <f>IF($A142="","",IF($C142=0,"",ROUND(AVERAGEIFS('Teacher Rankings'!I:I,'Teacher Rankings'!B:B,$A142,'Teacher Rankings'!A:A,"&gt;="&amp;$B$4,'Teacher Rankings'!A:A,"&lt;="&amp;$B$5),0)))</f>
        <v/>
      </c>
      <c r="E142">
        <f>IF($A142="","",IF($C142=0,"",MAXIFS('Teacher Rankings'!I:I,'Teacher Rankings'!B:B,$A142,'Teacher Rankings'!A:A,"&gt;="&amp;$B$4,'Teacher Rankings'!A:A,"&lt;="&amp;$B$5)))</f>
        <v/>
      </c>
      <c r="F142">
        <f>IF($A142="","",IF($C142=0,"",MINIFS('Teacher Rankings'!I:I,'Teacher Rankings'!B:B,$A142,'Teacher Rankings'!A:A,"&gt;="&amp;$B$4,'Teacher Rankings'!A:A,"&lt;="&amp;$B$5)))</f>
        <v/>
      </c>
      <c r="G142">
        <f>IF($D142="","",RANK($D142,$D$8:$D$207,0))</f>
        <v/>
      </c>
      <c r="H142">
        <f>IF($D142="","",IF($D142&gt;=90,"Outstanding",IF($D142&gt;=75,"Very Good",IF($D142&gt;=60,"Good","Needs Support"))))</f>
        <v/>
      </c>
    </row>
    <row r="143">
      <c r="A143">
        <f>IF(Teachers!A137="","",Teachers!A137)</f>
        <v/>
      </c>
      <c r="B143">
        <f>IF(Teachers!A137="","",Teachers!B137)</f>
        <v/>
      </c>
      <c r="C143">
        <f>IF($A143="","",COUNTIFS('Teacher Rankings'!B:B,$A143,'Teacher Rankings'!A:A,"&gt;="&amp;$B$4,'Teacher Rankings'!A:A,"&lt;="&amp;$B$5))</f>
        <v/>
      </c>
      <c r="D143">
        <f>IF($A143="","",IF($C143=0,"",ROUND(AVERAGEIFS('Teacher Rankings'!I:I,'Teacher Rankings'!B:B,$A143,'Teacher Rankings'!A:A,"&gt;="&amp;$B$4,'Teacher Rankings'!A:A,"&lt;="&amp;$B$5),0)))</f>
        <v/>
      </c>
      <c r="E143">
        <f>IF($A143="","",IF($C143=0,"",MAXIFS('Teacher Rankings'!I:I,'Teacher Rankings'!B:B,$A143,'Teacher Rankings'!A:A,"&gt;="&amp;$B$4,'Teacher Rankings'!A:A,"&lt;="&amp;$B$5)))</f>
        <v/>
      </c>
      <c r="F143">
        <f>IF($A143="","",IF($C143=0,"",MINIFS('Teacher Rankings'!I:I,'Teacher Rankings'!B:B,$A143,'Teacher Rankings'!A:A,"&gt;="&amp;$B$4,'Teacher Rankings'!A:A,"&lt;="&amp;$B$5)))</f>
        <v/>
      </c>
      <c r="G143">
        <f>IF($D143="","",RANK($D143,$D$8:$D$207,0))</f>
        <v/>
      </c>
      <c r="H143">
        <f>IF($D143="","",IF($D143&gt;=90,"Outstanding",IF($D143&gt;=75,"Very Good",IF($D143&gt;=60,"Good","Needs Support"))))</f>
        <v/>
      </c>
    </row>
    <row r="144">
      <c r="A144">
        <f>IF(Teachers!A138="","",Teachers!A138)</f>
        <v/>
      </c>
      <c r="B144">
        <f>IF(Teachers!A138="","",Teachers!B138)</f>
        <v/>
      </c>
      <c r="C144">
        <f>IF($A144="","",COUNTIFS('Teacher Rankings'!B:B,$A144,'Teacher Rankings'!A:A,"&gt;="&amp;$B$4,'Teacher Rankings'!A:A,"&lt;="&amp;$B$5))</f>
        <v/>
      </c>
      <c r="D144">
        <f>IF($A144="","",IF($C144=0,"",ROUND(AVERAGEIFS('Teacher Rankings'!I:I,'Teacher Rankings'!B:B,$A144,'Teacher Rankings'!A:A,"&gt;="&amp;$B$4,'Teacher Rankings'!A:A,"&lt;="&amp;$B$5),0)))</f>
        <v/>
      </c>
      <c r="E144">
        <f>IF($A144="","",IF($C144=0,"",MAXIFS('Teacher Rankings'!I:I,'Teacher Rankings'!B:B,$A144,'Teacher Rankings'!A:A,"&gt;="&amp;$B$4,'Teacher Rankings'!A:A,"&lt;="&amp;$B$5)))</f>
        <v/>
      </c>
      <c r="F144">
        <f>IF($A144="","",IF($C144=0,"",MINIFS('Teacher Rankings'!I:I,'Teacher Rankings'!B:B,$A144,'Teacher Rankings'!A:A,"&gt;="&amp;$B$4,'Teacher Rankings'!A:A,"&lt;="&amp;$B$5)))</f>
        <v/>
      </c>
      <c r="G144">
        <f>IF($D144="","",RANK($D144,$D$8:$D$207,0))</f>
        <v/>
      </c>
      <c r="H144">
        <f>IF($D144="","",IF($D144&gt;=90,"Outstanding",IF($D144&gt;=75,"Very Good",IF($D144&gt;=60,"Good","Needs Support"))))</f>
        <v/>
      </c>
    </row>
    <row r="145">
      <c r="A145">
        <f>IF(Teachers!A139="","",Teachers!A139)</f>
        <v/>
      </c>
      <c r="B145">
        <f>IF(Teachers!A139="","",Teachers!B139)</f>
        <v/>
      </c>
      <c r="C145">
        <f>IF($A145="","",COUNTIFS('Teacher Rankings'!B:B,$A145,'Teacher Rankings'!A:A,"&gt;="&amp;$B$4,'Teacher Rankings'!A:A,"&lt;="&amp;$B$5))</f>
        <v/>
      </c>
      <c r="D145">
        <f>IF($A145="","",IF($C145=0,"",ROUND(AVERAGEIFS('Teacher Rankings'!I:I,'Teacher Rankings'!B:B,$A145,'Teacher Rankings'!A:A,"&gt;="&amp;$B$4,'Teacher Rankings'!A:A,"&lt;="&amp;$B$5),0)))</f>
        <v/>
      </c>
      <c r="E145">
        <f>IF($A145="","",IF($C145=0,"",MAXIFS('Teacher Rankings'!I:I,'Teacher Rankings'!B:B,$A145,'Teacher Rankings'!A:A,"&gt;="&amp;$B$4,'Teacher Rankings'!A:A,"&lt;="&amp;$B$5)))</f>
        <v/>
      </c>
      <c r="F145">
        <f>IF($A145="","",IF($C145=0,"",MINIFS('Teacher Rankings'!I:I,'Teacher Rankings'!B:B,$A145,'Teacher Rankings'!A:A,"&gt;="&amp;$B$4,'Teacher Rankings'!A:A,"&lt;="&amp;$B$5)))</f>
        <v/>
      </c>
      <c r="G145">
        <f>IF($D145="","",RANK($D145,$D$8:$D$207,0))</f>
        <v/>
      </c>
      <c r="H145">
        <f>IF($D145="","",IF($D145&gt;=90,"Outstanding",IF($D145&gt;=75,"Very Good",IF($D145&gt;=60,"Good","Needs Support"))))</f>
        <v/>
      </c>
    </row>
    <row r="146">
      <c r="A146">
        <f>IF(Teachers!A140="","",Teachers!A140)</f>
        <v/>
      </c>
      <c r="B146">
        <f>IF(Teachers!A140="","",Teachers!B140)</f>
        <v/>
      </c>
      <c r="C146">
        <f>IF($A146="","",COUNTIFS('Teacher Rankings'!B:B,$A146,'Teacher Rankings'!A:A,"&gt;="&amp;$B$4,'Teacher Rankings'!A:A,"&lt;="&amp;$B$5))</f>
        <v/>
      </c>
      <c r="D146">
        <f>IF($A146="","",IF($C146=0,"",ROUND(AVERAGEIFS('Teacher Rankings'!I:I,'Teacher Rankings'!B:B,$A146,'Teacher Rankings'!A:A,"&gt;="&amp;$B$4,'Teacher Rankings'!A:A,"&lt;="&amp;$B$5),0)))</f>
        <v/>
      </c>
      <c r="E146">
        <f>IF($A146="","",IF($C146=0,"",MAXIFS('Teacher Rankings'!I:I,'Teacher Rankings'!B:B,$A146,'Teacher Rankings'!A:A,"&gt;="&amp;$B$4,'Teacher Rankings'!A:A,"&lt;="&amp;$B$5)))</f>
        <v/>
      </c>
      <c r="F146">
        <f>IF($A146="","",IF($C146=0,"",MINIFS('Teacher Rankings'!I:I,'Teacher Rankings'!B:B,$A146,'Teacher Rankings'!A:A,"&gt;="&amp;$B$4,'Teacher Rankings'!A:A,"&lt;="&amp;$B$5)))</f>
        <v/>
      </c>
      <c r="G146">
        <f>IF($D146="","",RANK($D146,$D$8:$D$207,0))</f>
        <v/>
      </c>
      <c r="H146">
        <f>IF($D146="","",IF($D146&gt;=90,"Outstanding",IF($D146&gt;=75,"Very Good",IF($D146&gt;=60,"Good","Needs Support"))))</f>
        <v/>
      </c>
    </row>
    <row r="147">
      <c r="A147">
        <f>IF(Teachers!A141="","",Teachers!A141)</f>
        <v/>
      </c>
      <c r="B147">
        <f>IF(Teachers!A141="","",Teachers!B141)</f>
        <v/>
      </c>
      <c r="C147">
        <f>IF($A147="","",COUNTIFS('Teacher Rankings'!B:B,$A147,'Teacher Rankings'!A:A,"&gt;="&amp;$B$4,'Teacher Rankings'!A:A,"&lt;="&amp;$B$5))</f>
        <v/>
      </c>
      <c r="D147">
        <f>IF($A147="","",IF($C147=0,"",ROUND(AVERAGEIFS('Teacher Rankings'!I:I,'Teacher Rankings'!B:B,$A147,'Teacher Rankings'!A:A,"&gt;="&amp;$B$4,'Teacher Rankings'!A:A,"&lt;="&amp;$B$5),0)))</f>
        <v/>
      </c>
      <c r="E147">
        <f>IF($A147="","",IF($C147=0,"",MAXIFS('Teacher Rankings'!I:I,'Teacher Rankings'!B:B,$A147,'Teacher Rankings'!A:A,"&gt;="&amp;$B$4,'Teacher Rankings'!A:A,"&lt;="&amp;$B$5)))</f>
        <v/>
      </c>
      <c r="F147">
        <f>IF($A147="","",IF($C147=0,"",MINIFS('Teacher Rankings'!I:I,'Teacher Rankings'!B:B,$A147,'Teacher Rankings'!A:A,"&gt;="&amp;$B$4,'Teacher Rankings'!A:A,"&lt;="&amp;$B$5)))</f>
        <v/>
      </c>
      <c r="G147">
        <f>IF($D147="","",RANK($D147,$D$8:$D$207,0))</f>
        <v/>
      </c>
      <c r="H147">
        <f>IF($D147="","",IF($D147&gt;=90,"Outstanding",IF($D147&gt;=75,"Very Good",IF($D147&gt;=60,"Good","Needs Support"))))</f>
        <v/>
      </c>
    </row>
    <row r="148">
      <c r="A148">
        <f>IF(Teachers!A142="","",Teachers!A142)</f>
        <v/>
      </c>
      <c r="B148">
        <f>IF(Teachers!A142="","",Teachers!B142)</f>
        <v/>
      </c>
      <c r="C148">
        <f>IF($A148="","",COUNTIFS('Teacher Rankings'!B:B,$A148,'Teacher Rankings'!A:A,"&gt;="&amp;$B$4,'Teacher Rankings'!A:A,"&lt;="&amp;$B$5))</f>
        <v/>
      </c>
      <c r="D148">
        <f>IF($A148="","",IF($C148=0,"",ROUND(AVERAGEIFS('Teacher Rankings'!I:I,'Teacher Rankings'!B:B,$A148,'Teacher Rankings'!A:A,"&gt;="&amp;$B$4,'Teacher Rankings'!A:A,"&lt;="&amp;$B$5),0)))</f>
        <v/>
      </c>
      <c r="E148">
        <f>IF($A148="","",IF($C148=0,"",MAXIFS('Teacher Rankings'!I:I,'Teacher Rankings'!B:B,$A148,'Teacher Rankings'!A:A,"&gt;="&amp;$B$4,'Teacher Rankings'!A:A,"&lt;="&amp;$B$5)))</f>
        <v/>
      </c>
      <c r="F148">
        <f>IF($A148="","",IF($C148=0,"",MINIFS('Teacher Rankings'!I:I,'Teacher Rankings'!B:B,$A148,'Teacher Rankings'!A:A,"&gt;="&amp;$B$4,'Teacher Rankings'!A:A,"&lt;="&amp;$B$5)))</f>
        <v/>
      </c>
      <c r="G148">
        <f>IF($D148="","",RANK($D148,$D$8:$D$207,0))</f>
        <v/>
      </c>
      <c r="H148">
        <f>IF($D148="","",IF($D148&gt;=90,"Outstanding",IF($D148&gt;=75,"Very Good",IF($D148&gt;=60,"Good","Needs Support"))))</f>
        <v/>
      </c>
    </row>
    <row r="149">
      <c r="A149">
        <f>IF(Teachers!A143="","",Teachers!A143)</f>
        <v/>
      </c>
      <c r="B149">
        <f>IF(Teachers!A143="","",Teachers!B143)</f>
        <v/>
      </c>
      <c r="C149">
        <f>IF($A149="","",COUNTIFS('Teacher Rankings'!B:B,$A149,'Teacher Rankings'!A:A,"&gt;="&amp;$B$4,'Teacher Rankings'!A:A,"&lt;="&amp;$B$5))</f>
        <v/>
      </c>
      <c r="D149">
        <f>IF($A149="","",IF($C149=0,"",ROUND(AVERAGEIFS('Teacher Rankings'!I:I,'Teacher Rankings'!B:B,$A149,'Teacher Rankings'!A:A,"&gt;="&amp;$B$4,'Teacher Rankings'!A:A,"&lt;="&amp;$B$5),0)))</f>
        <v/>
      </c>
      <c r="E149">
        <f>IF($A149="","",IF($C149=0,"",MAXIFS('Teacher Rankings'!I:I,'Teacher Rankings'!B:B,$A149,'Teacher Rankings'!A:A,"&gt;="&amp;$B$4,'Teacher Rankings'!A:A,"&lt;="&amp;$B$5)))</f>
        <v/>
      </c>
      <c r="F149">
        <f>IF($A149="","",IF($C149=0,"",MINIFS('Teacher Rankings'!I:I,'Teacher Rankings'!B:B,$A149,'Teacher Rankings'!A:A,"&gt;="&amp;$B$4,'Teacher Rankings'!A:A,"&lt;="&amp;$B$5)))</f>
        <v/>
      </c>
      <c r="G149">
        <f>IF($D149="","",RANK($D149,$D$8:$D$207,0))</f>
        <v/>
      </c>
      <c r="H149">
        <f>IF($D149="","",IF($D149&gt;=90,"Outstanding",IF($D149&gt;=75,"Very Good",IF($D149&gt;=60,"Good","Needs Support"))))</f>
        <v/>
      </c>
    </row>
    <row r="150">
      <c r="A150">
        <f>IF(Teachers!A144="","",Teachers!A144)</f>
        <v/>
      </c>
      <c r="B150">
        <f>IF(Teachers!A144="","",Teachers!B144)</f>
        <v/>
      </c>
      <c r="C150">
        <f>IF($A150="","",COUNTIFS('Teacher Rankings'!B:B,$A150,'Teacher Rankings'!A:A,"&gt;="&amp;$B$4,'Teacher Rankings'!A:A,"&lt;="&amp;$B$5))</f>
        <v/>
      </c>
      <c r="D150">
        <f>IF($A150="","",IF($C150=0,"",ROUND(AVERAGEIFS('Teacher Rankings'!I:I,'Teacher Rankings'!B:B,$A150,'Teacher Rankings'!A:A,"&gt;="&amp;$B$4,'Teacher Rankings'!A:A,"&lt;="&amp;$B$5),0)))</f>
        <v/>
      </c>
      <c r="E150">
        <f>IF($A150="","",IF($C150=0,"",MAXIFS('Teacher Rankings'!I:I,'Teacher Rankings'!B:B,$A150,'Teacher Rankings'!A:A,"&gt;="&amp;$B$4,'Teacher Rankings'!A:A,"&lt;="&amp;$B$5)))</f>
        <v/>
      </c>
      <c r="F150">
        <f>IF($A150="","",IF($C150=0,"",MINIFS('Teacher Rankings'!I:I,'Teacher Rankings'!B:B,$A150,'Teacher Rankings'!A:A,"&gt;="&amp;$B$4,'Teacher Rankings'!A:A,"&lt;="&amp;$B$5)))</f>
        <v/>
      </c>
      <c r="G150">
        <f>IF($D150="","",RANK($D150,$D$8:$D$207,0))</f>
        <v/>
      </c>
      <c r="H150">
        <f>IF($D150="","",IF($D150&gt;=90,"Outstanding",IF($D150&gt;=75,"Very Good",IF($D150&gt;=60,"Good","Needs Support"))))</f>
        <v/>
      </c>
    </row>
    <row r="151">
      <c r="A151">
        <f>IF(Teachers!A145="","",Teachers!A145)</f>
        <v/>
      </c>
      <c r="B151">
        <f>IF(Teachers!A145="","",Teachers!B145)</f>
        <v/>
      </c>
      <c r="C151">
        <f>IF($A151="","",COUNTIFS('Teacher Rankings'!B:B,$A151,'Teacher Rankings'!A:A,"&gt;="&amp;$B$4,'Teacher Rankings'!A:A,"&lt;="&amp;$B$5))</f>
        <v/>
      </c>
      <c r="D151">
        <f>IF($A151="","",IF($C151=0,"",ROUND(AVERAGEIFS('Teacher Rankings'!I:I,'Teacher Rankings'!B:B,$A151,'Teacher Rankings'!A:A,"&gt;="&amp;$B$4,'Teacher Rankings'!A:A,"&lt;="&amp;$B$5),0)))</f>
        <v/>
      </c>
      <c r="E151">
        <f>IF($A151="","",IF($C151=0,"",MAXIFS('Teacher Rankings'!I:I,'Teacher Rankings'!B:B,$A151,'Teacher Rankings'!A:A,"&gt;="&amp;$B$4,'Teacher Rankings'!A:A,"&lt;="&amp;$B$5)))</f>
        <v/>
      </c>
      <c r="F151">
        <f>IF($A151="","",IF($C151=0,"",MINIFS('Teacher Rankings'!I:I,'Teacher Rankings'!B:B,$A151,'Teacher Rankings'!A:A,"&gt;="&amp;$B$4,'Teacher Rankings'!A:A,"&lt;="&amp;$B$5)))</f>
        <v/>
      </c>
      <c r="G151">
        <f>IF($D151="","",RANK($D151,$D$8:$D$207,0))</f>
        <v/>
      </c>
      <c r="H151">
        <f>IF($D151="","",IF($D151&gt;=90,"Outstanding",IF($D151&gt;=75,"Very Good",IF($D151&gt;=60,"Good","Needs Support"))))</f>
        <v/>
      </c>
    </row>
    <row r="152">
      <c r="A152">
        <f>IF(Teachers!A146="","",Teachers!A146)</f>
        <v/>
      </c>
      <c r="B152">
        <f>IF(Teachers!A146="","",Teachers!B146)</f>
        <v/>
      </c>
      <c r="C152">
        <f>IF($A152="","",COUNTIFS('Teacher Rankings'!B:B,$A152,'Teacher Rankings'!A:A,"&gt;="&amp;$B$4,'Teacher Rankings'!A:A,"&lt;="&amp;$B$5))</f>
        <v/>
      </c>
      <c r="D152">
        <f>IF($A152="","",IF($C152=0,"",ROUND(AVERAGEIFS('Teacher Rankings'!I:I,'Teacher Rankings'!B:B,$A152,'Teacher Rankings'!A:A,"&gt;="&amp;$B$4,'Teacher Rankings'!A:A,"&lt;="&amp;$B$5),0)))</f>
        <v/>
      </c>
      <c r="E152">
        <f>IF($A152="","",IF($C152=0,"",MAXIFS('Teacher Rankings'!I:I,'Teacher Rankings'!B:B,$A152,'Teacher Rankings'!A:A,"&gt;="&amp;$B$4,'Teacher Rankings'!A:A,"&lt;="&amp;$B$5)))</f>
        <v/>
      </c>
      <c r="F152">
        <f>IF($A152="","",IF($C152=0,"",MINIFS('Teacher Rankings'!I:I,'Teacher Rankings'!B:B,$A152,'Teacher Rankings'!A:A,"&gt;="&amp;$B$4,'Teacher Rankings'!A:A,"&lt;="&amp;$B$5)))</f>
        <v/>
      </c>
      <c r="G152">
        <f>IF($D152="","",RANK($D152,$D$8:$D$207,0))</f>
        <v/>
      </c>
      <c r="H152">
        <f>IF($D152="","",IF($D152&gt;=90,"Outstanding",IF($D152&gt;=75,"Very Good",IF($D152&gt;=60,"Good","Needs Support"))))</f>
        <v/>
      </c>
    </row>
    <row r="153">
      <c r="A153">
        <f>IF(Teachers!A147="","",Teachers!A147)</f>
        <v/>
      </c>
      <c r="B153">
        <f>IF(Teachers!A147="","",Teachers!B147)</f>
        <v/>
      </c>
      <c r="C153">
        <f>IF($A153="","",COUNTIFS('Teacher Rankings'!B:B,$A153,'Teacher Rankings'!A:A,"&gt;="&amp;$B$4,'Teacher Rankings'!A:A,"&lt;="&amp;$B$5))</f>
        <v/>
      </c>
      <c r="D153">
        <f>IF($A153="","",IF($C153=0,"",ROUND(AVERAGEIFS('Teacher Rankings'!I:I,'Teacher Rankings'!B:B,$A153,'Teacher Rankings'!A:A,"&gt;="&amp;$B$4,'Teacher Rankings'!A:A,"&lt;="&amp;$B$5),0)))</f>
        <v/>
      </c>
      <c r="E153">
        <f>IF($A153="","",IF($C153=0,"",MAXIFS('Teacher Rankings'!I:I,'Teacher Rankings'!B:B,$A153,'Teacher Rankings'!A:A,"&gt;="&amp;$B$4,'Teacher Rankings'!A:A,"&lt;="&amp;$B$5)))</f>
        <v/>
      </c>
      <c r="F153">
        <f>IF($A153="","",IF($C153=0,"",MINIFS('Teacher Rankings'!I:I,'Teacher Rankings'!B:B,$A153,'Teacher Rankings'!A:A,"&gt;="&amp;$B$4,'Teacher Rankings'!A:A,"&lt;="&amp;$B$5)))</f>
        <v/>
      </c>
      <c r="G153">
        <f>IF($D153="","",RANK($D153,$D$8:$D$207,0))</f>
        <v/>
      </c>
      <c r="H153">
        <f>IF($D153="","",IF($D153&gt;=90,"Outstanding",IF($D153&gt;=75,"Very Good",IF($D153&gt;=60,"Good","Needs Support"))))</f>
        <v/>
      </c>
    </row>
    <row r="154">
      <c r="A154">
        <f>IF(Teachers!A148="","",Teachers!A148)</f>
        <v/>
      </c>
      <c r="B154">
        <f>IF(Teachers!A148="","",Teachers!B148)</f>
        <v/>
      </c>
      <c r="C154">
        <f>IF($A154="","",COUNTIFS('Teacher Rankings'!B:B,$A154,'Teacher Rankings'!A:A,"&gt;="&amp;$B$4,'Teacher Rankings'!A:A,"&lt;="&amp;$B$5))</f>
        <v/>
      </c>
      <c r="D154">
        <f>IF($A154="","",IF($C154=0,"",ROUND(AVERAGEIFS('Teacher Rankings'!I:I,'Teacher Rankings'!B:B,$A154,'Teacher Rankings'!A:A,"&gt;="&amp;$B$4,'Teacher Rankings'!A:A,"&lt;="&amp;$B$5),0)))</f>
        <v/>
      </c>
      <c r="E154">
        <f>IF($A154="","",IF($C154=0,"",MAXIFS('Teacher Rankings'!I:I,'Teacher Rankings'!B:B,$A154,'Teacher Rankings'!A:A,"&gt;="&amp;$B$4,'Teacher Rankings'!A:A,"&lt;="&amp;$B$5)))</f>
        <v/>
      </c>
      <c r="F154">
        <f>IF($A154="","",IF($C154=0,"",MINIFS('Teacher Rankings'!I:I,'Teacher Rankings'!B:B,$A154,'Teacher Rankings'!A:A,"&gt;="&amp;$B$4,'Teacher Rankings'!A:A,"&lt;="&amp;$B$5)))</f>
        <v/>
      </c>
      <c r="G154">
        <f>IF($D154="","",RANK($D154,$D$8:$D$207,0))</f>
        <v/>
      </c>
      <c r="H154">
        <f>IF($D154="","",IF($D154&gt;=90,"Outstanding",IF($D154&gt;=75,"Very Good",IF($D154&gt;=60,"Good","Needs Support"))))</f>
        <v/>
      </c>
    </row>
    <row r="155">
      <c r="A155">
        <f>IF(Teachers!A149="","",Teachers!A149)</f>
        <v/>
      </c>
      <c r="B155">
        <f>IF(Teachers!A149="","",Teachers!B149)</f>
        <v/>
      </c>
      <c r="C155">
        <f>IF($A155="","",COUNTIFS('Teacher Rankings'!B:B,$A155,'Teacher Rankings'!A:A,"&gt;="&amp;$B$4,'Teacher Rankings'!A:A,"&lt;="&amp;$B$5))</f>
        <v/>
      </c>
      <c r="D155">
        <f>IF($A155="","",IF($C155=0,"",ROUND(AVERAGEIFS('Teacher Rankings'!I:I,'Teacher Rankings'!B:B,$A155,'Teacher Rankings'!A:A,"&gt;="&amp;$B$4,'Teacher Rankings'!A:A,"&lt;="&amp;$B$5),0)))</f>
        <v/>
      </c>
      <c r="E155">
        <f>IF($A155="","",IF($C155=0,"",MAXIFS('Teacher Rankings'!I:I,'Teacher Rankings'!B:B,$A155,'Teacher Rankings'!A:A,"&gt;="&amp;$B$4,'Teacher Rankings'!A:A,"&lt;="&amp;$B$5)))</f>
        <v/>
      </c>
      <c r="F155">
        <f>IF($A155="","",IF($C155=0,"",MINIFS('Teacher Rankings'!I:I,'Teacher Rankings'!B:B,$A155,'Teacher Rankings'!A:A,"&gt;="&amp;$B$4,'Teacher Rankings'!A:A,"&lt;="&amp;$B$5)))</f>
        <v/>
      </c>
      <c r="G155">
        <f>IF($D155="","",RANK($D155,$D$8:$D$207,0))</f>
        <v/>
      </c>
      <c r="H155">
        <f>IF($D155="","",IF($D155&gt;=90,"Outstanding",IF($D155&gt;=75,"Very Good",IF($D155&gt;=60,"Good","Needs Support"))))</f>
        <v/>
      </c>
    </row>
    <row r="156">
      <c r="A156">
        <f>IF(Teachers!A150="","",Teachers!A150)</f>
        <v/>
      </c>
      <c r="B156">
        <f>IF(Teachers!A150="","",Teachers!B150)</f>
        <v/>
      </c>
      <c r="C156">
        <f>IF($A156="","",COUNTIFS('Teacher Rankings'!B:B,$A156,'Teacher Rankings'!A:A,"&gt;="&amp;$B$4,'Teacher Rankings'!A:A,"&lt;="&amp;$B$5))</f>
        <v/>
      </c>
      <c r="D156">
        <f>IF($A156="","",IF($C156=0,"",ROUND(AVERAGEIFS('Teacher Rankings'!I:I,'Teacher Rankings'!B:B,$A156,'Teacher Rankings'!A:A,"&gt;="&amp;$B$4,'Teacher Rankings'!A:A,"&lt;="&amp;$B$5),0)))</f>
        <v/>
      </c>
      <c r="E156">
        <f>IF($A156="","",IF($C156=0,"",MAXIFS('Teacher Rankings'!I:I,'Teacher Rankings'!B:B,$A156,'Teacher Rankings'!A:A,"&gt;="&amp;$B$4,'Teacher Rankings'!A:A,"&lt;="&amp;$B$5)))</f>
        <v/>
      </c>
      <c r="F156">
        <f>IF($A156="","",IF($C156=0,"",MINIFS('Teacher Rankings'!I:I,'Teacher Rankings'!B:B,$A156,'Teacher Rankings'!A:A,"&gt;="&amp;$B$4,'Teacher Rankings'!A:A,"&lt;="&amp;$B$5)))</f>
        <v/>
      </c>
      <c r="G156">
        <f>IF($D156="","",RANK($D156,$D$8:$D$207,0))</f>
        <v/>
      </c>
      <c r="H156">
        <f>IF($D156="","",IF($D156&gt;=90,"Outstanding",IF($D156&gt;=75,"Very Good",IF($D156&gt;=60,"Good","Needs Support"))))</f>
        <v/>
      </c>
    </row>
    <row r="157">
      <c r="A157">
        <f>IF(Teachers!A151="","",Teachers!A151)</f>
        <v/>
      </c>
      <c r="B157">
        <f>IF(Teachers!A151="","",Teachers!B151)</f>
        <v/>
      </c>
      <c r="C157">
        <f>IF($A157="","",COUNTIFS('Teacher Rankings'!B:B,$A157,'Teacher Rankings'!A:A,"&gt;="&amp;$B$4,'Teacher Rankings'!A:A,"&lt;="&amp;$B$5))</f>
        <v/>
      </c>
      <c r="D157">
        <f>IF($A157="","",IF($C157=0,"",ROUND(AVERAGEIFS('Teacher Rankings'!I:I,'Teacher Rankings'!B:B,$A157,'Teacher Rankings'!A:A,"&gt;="&amp;$B$4,'Teacher Rankings'!A:A,"&lt;="&amp;$B$5),0)))</f>
        <v/>
      </c>
      <c r="E157">
        <f>IF($A157="","",IF($C157=0,"",MAXIFS('Teacher Rankings'!I:I,'Teacher Rankings'!B:B,$A157,'Teacher Rankings'!A:A,"&gt;="&amp;$B$4,'Teacher Rankings'!A:A,"&lt;="&amp;$B$5)))</f>
        <v/>
      </c>
      <c r="F157">
        <f>IF($A157="","",IF($C157=0,"",MINIFS('Teacher Rankings'!I:I,'Teacher Rankings'!B:B,$A157,'Teacher Rankings'!A:A,"&gt;="&amp;$B$4,'Teacher Rankings'!A:A,"&lt;="&amp;$B$5)))</f>
        <v/>
      </c>
      <c r="G157">
        <f>IF($D157="","",RANK($D157,$D$8:$D$207,0))</f>
        <v/>
      </c>
      <c r="H157">
        <f>IF($D157="","",IF($D157&gt;=90,"Outstanding",IF($D157&gt;=75,"Very Good",IF($D157&gt;=60,"Good","Needs Support"))))</f>
        <v/>
      </c>
    </row>
    <row r="158">
      <c r="A158">
        <f>IF(Teachers!A152="","",Teachers!A152)</f>
        <v/>
      </c>
      <c r="B158">
        <f>IF(Teachers!A152="","",Teachers!B152)</f>
        <v/>
      </c>
      <c r="C158">
        <f>IF($A158="","",COUNTIFS('Teacher Rankings'!B:B,$A158,'Teacher Rankings'!A:A,"&gt;="&amp;$B$4,'Teacher Rankings'!A:A,"&lt;="&amp;$B$5))</f>
        <v/>
      </c>
      <c r="D158">
        <f>IF($A158="","",IF($C158=0,"",ROUND(AVERAGEIFS('Teacher Rankings'!I:I,'Teacher Rankings'!B:B,$A158,'Teacher Rankings'!A:A,"&gt;="&amp;$B$4,'Teacher Rankings'!A:A,"&lt;="&amp;$B$5),0)))</f>
        <v/>
      </c>
      <c r="E158">
        <f>IF($A158="","",IF($C158=0,"",MAXIFS('Teacher Rankings'!I:I,'Teacher Rankings'!B:B,$A158,'Teacher Rankings'!A:A,"&gt;="&amp;$B$4,'Teacher Rankings'!A:A,"&lt;="&amp;$B$5)))</f>
        <v/>
      </c>
      <c r="F158">
        <f>IF($A158="","",IF($C158=0,"",MINIFS('Teacher Rankings'!I:I,'Teacher Rankings'!B:B,$A158,'Teacher Rankings'!A:A,"&gt;="&amp;$B$4,'Teacher Rankings'!A:A,"&lt;="&amp;$B$5)))</f>
        <v/>
      </c>
      <c r="G158">
        <f>IF($D158="","",RANK($D158,$D$8:$D$207,0))</f>
        <v/>
      </c>
      <c r="H158">
        <f>IF($D158="","",IF($D158&gt;=90,"Outstanding",IF($D158&gt;=75,"Very Good",IF($D158&gt;=60,"Good","Needs Support"))))</f>
        <v/>
      </c>
    </row>
    <row r="159">
      <c r="A159">
        <f>IF(Teachers!A153="","",Teachers!A153)</f>
        <v/>
      </c>
      <c r="B159">
        <f>IF(Teachers!A153="","",Teachers!B153)</f>
        <v/>
      </c>
      <c r="C159">
        <f>IF($A159="","",COUNTIFS('Teacher Rankings'!B:B,$A159,'Teacher Rankings'!A:A,"&gt;="&amp;$B$4,'Teacher Rankings'!A:A,"&lt;="&amp;$B$5))</f>
        <v/>
      </c>
      <c r="D159">
        <f>IF($A159="","",IF($C159=0,"",ROUND(AVERAGEIFS('Teacher Rankings'!I:I,'Teacher Rankings'!B:B,$A159,'Teacher Rankings'!A:A,"&gt;="&amp;$B$4,'Teacher Rankings'!A:A,"&lt;="&amp;$B$5),0)))</f>
        <v/>
      </c>
      <c r="E159">
        <f>IF($A159="","",IF($C159=0,"",MAXIFS('Teacher Rankings'!I:I,'Teacher Rankings'!B:B,$A159,'Teacher Rankings'!A:A,"&gt;="&amp;$B$4,'Teacher Rankings'!A:A,"&lt;="&amp;$B$5)))</f>
        <v/>
      </c>
      <c r="F159">
        <f>IF($A159="","",IF($C159=0,"",MINIFS('Teacher Rankings'!I:I,'Teacher Rankings'!B:B,$A159,'Teacher Rankings'!A:A,"&gt;="&amp;$B$4,'Teacher Rankings'!A:A,"&lt;="&amp;$B$5)))</f>
        <v/>
      </c>
      <c r="G159">
        <f>IF($D159="","",RANK($D159,$D$8:$D$207,0))</f>
        <v/>
      </c>
      <c r="H159">
        <f>IF($D159="","",IF($D159&gt;=90,"Outstanding",IF($D159&gt;=75,"Very Good",IF($D159&gt;=60,"Good","Needs Support"))))</f>
        <v/>
      </c>
    </row>
    <row r="160">
      <c r="A160">
        <f>IF(Teachers!A154="","",Teachers!A154)</f>
        <v/>
      </c>
      <c r="B160">
        <f>IF(Teachers!A154="","",Teachers!B154)</f>
        <v/>
      </c>
      <c r="C160">
        <f>IF($A160="","",COUNTIFS('Teacher Rankings'!B:B,$A160,'Teacher Rankings'!A:A,"&gt;="&amp;$B$4,'Teacher Rankings'!A:A,"&lt;="&amp;$B$5))</f>
        <v/>
      </c>
      <c r="D160">
        <f>IF($A160="","",IF($C160=0,"",ROUND(AVERAGEIFS('Teacher Rankings'!I:I,'Teacher Rankings'!B:B,$A160,'Teacher Rankings'!A:A,"&gt;="&amp;$B$4,'Teacher Rankings'!A:A,"&lt;="&amp;$B$5),0)))</f>
        <v/>
      </c>
      <c r="E160">
        <f>IF($A160="","",IF($C160=0,"",MAXIFS('Teacher Rankings'!I:I,'Teacher Rankings'!B:B,$A160,'Teacher Rankings'!A:A,"&gt;="&amp;$B$4,'Teacher Rankings'!A:A,"&lt;="&amp;$B$5)))</f>
        <v/>
      </c>
      <c r="F160">
        <f>IF($A160="","",IF($C160=0,"",MINIFS('Teacher Rankings'!I:I,'Teacher Rankings'!B:B,$A160,'Teacher Rankings'!A:A,"&gt;="&amp;$B$4,'Teacher Rankings'!A:A,"&lt;="&amp;$B$5)))</f>
        <v/>
      </c>
      <c r="G160">
        <f>IF($D160="","",RANK($D160,$D$8:$D$207,0))</f>
        <v/>
      </c>
      <c r="H160">
        <f>IF($D160="","",IF($D160&gt;=90,"Outstanding",IF($D160&gt;=75,"Very Good",IF($D160&gt;=60,"Good","Needs Support"))))</f>
        <v/>
      </c>
    </row>
    <row r="161">
      <c r="A161">
        <f>IF(Teachers!A155="","",Teachers!A155)</f>
        <v/>
      </c>
      <c r="B161">
        <f>IF(Teachers!A155="","",Teachers!B155)</f>
        <v/>
      </c>
      <c r="C161">
        <f>IF($A161="","",COUNTIFS('Teacher Rankings'!B:B,$A161,'Teacher Rankings'!A:A,"&gt;="&amp;$B$4,'Teacher Rankings'!A:A,"&lt;="&amp;$B$5))</f>
        <v/>
      </c>
      <c r="D161">
        <f>IF($A161="","",IF($C161=0,"",ROUND(AVERAGEIFS('Teacher Rankings'!I:I,'Teacher Rankings'!B:B,$A161,'Teacher Rankings'!A:A,"&gt;="&amp;$B$4,'Teacher Rankings'!A:A,"&lt;="&amp;$B$5),0)))</f>
        <v/>
      </c>
      <c r="E161">
        <f>IF($A161="","",IF($C161=0,"",MAXIFS('Teacher Rankings'!I:I,'Teacher Rankings'!B:B,$A161,'Teacher Rankings'!A:A,"&gt;="&amp;$B$4,'Teacher Rankings'!A:A,"&lt;="&amp;$B$5)))</f>
        <v/>
      </c>
      <c r="F161">
        <f>IF($A161="","",IF($C161=0,"",MINIFS('Teacher Rankings'!I:I,'Teacher Rankings'!B:B,$A161,'Teacher Rankings'!A:A,"&gt;="&amp;$B$4,'Teacher Rankings'!A:A,"&lt;="&amp;$B$5)))</f>
        <v/>
      </c>
      <c r="G161">
        <f>IF($D161="","",RANK($D161,$D$8:$D$207,0))</f>
        <v/>
      </c>
      <c r="H161">
        <f>IF($D161="","",IF($D161&gt;=90,"Outstanding",IF($D161&gt;=75,"Very Good",IF($D161&gt;=60,"Good","Needs Support"))))</f>
        <v/>
      </c>
    </row>
    <row r="162">
      <c r="A162">
        <f>IF(Teachers!A156="","",Teachers!A156)</f>
        <v/>
      </c>
      <c r="B162">
        <f>IF(Teachers!A156="","",Teachers!B156)</f>
        <v/>
      </c>
      <c r="C162">
        <f>IF($A162="","",COUNTIFS('Teacher Rankings'!B:B,$A162,'Teacher Rankings'!A:A,"&gt;="&amp;$B$4,'Teacher Rankings'!A:A,"&lt;="&amp;$B$5))</f>
        <v/>
      </c>
      <c r="D162">
        <f>IF($A162="","",IF($C162=0,"",ROUND(AVERAGEIFS('Teacher Rankings'!I:I,'Teacher Rankings'!B:B,$A162,'Teacher Rankings'!A:A,"&gt;="&amp;$B$4,'Teacher Rankings'!A:A,"&lt;="&amp;$B$5),0)))</f>
        <v/>
      </c>
      <c r="E162">
        <f>IF($A162="","",IF($C162=0,"",MAXIFS('Teacher Rankings'!I:I,'Teacher Rankings'!B:B,$A162,'Teacher Rankings'!A:A,"&gt;="&amp;$B$4,'Teacher Rankings'!A:A,"&lt;="&amp;$B$5)))</f>
        <v/>
      </c>
      <c r="F162">
        <f>IF($A162="","",IF($C162=0,"",MINIFS('Teacher Rankings'!I:I,'Teacher Rankings'!B:B,$A162,'Teacher Rankings'!A:A,"&gt;="&amp;$B$4,'Teacher Rankings'!A:A,"&lt;="&amp;$B$5)))</f>
        <v/>
      </c>
      <c r="G162">
        <f>IF($D162="","",RANK($D162,$D$8:$D$207,0))</f>
        <v/>
      </c>
      <c r="H162">
        <f>IF($D162="","",IF($D162&gt;=90,"Outstanding",IF($D162&gt;=75,"Very Good",IF($D162&gt;=60,"Good","Needs Support"))))</f>
        <v/>
      </c>
    </row>
    <row r="163">
      <c r="A163">
        <f>IF(Teachers!A157="","",Teachers!A157)</f>
        <v/>
      </c>
      <c r="B163">
        <f>IF(Teachers!A157="","",Teachers!B157)</f>
        <v/>
      </c>
      <c r="C163">
        <f>IF($A163="","",COUNTIFS('Teacher Rankings'!B:B,$A163,'Teacher Rankings'!A:A,"&gt;="&amp;$B$4,'Teacher Rankings'!A:A,"&lt;="&amp;$B$5))</f>
        <v/>
      </c>
      <c r="D163">
        <f>IF($A163="","",IF($C163=0,"",ROUND(AVERAGEIFS('Teacher Rankings'!I:I,'Teacher Rankings'!B:B,$A163,'Teacher Rankings'!A:A,"&gt;="&amp;$B$4,'Teacher Rankings'!A:A,"&lt;="&amp;$B$5),0)))</f>
        <v/>
      </c>
      <c r="E163">
        <f>IF($A163="","",IF($C163=0,"",MAXIFS('Teacher Rankings'!I:I,'Teacher Rankings'!B:B,$A163,'Teacher Rankings'!A:A,"&gt;="&amp;$B$4,'Teacher Rankings'!A:A,"&lt;="&amp;$B$5)))</f>
        <v/>
      </c>
      <c r="F163">
        <f>IF($A163="","",IF($C163=0,"",MINIFS('Teacher Rankings'!I:I,'Teacher Rankings'!B:B,$A163,'Teacher Rankings'!A:A,"&gt;="&amp;$B$4,'Teacher Rankings'!A:A,"&lt;="&amp;$B$5)))</f>
        <v/>
      </c>
      <c r="G163">
        <f>IF($D163="","",RANK($D163,$D$8:$D$207,0))</f>
        <v/>
      </c>
      <c r="H163">
        <f>IF($D163="","",IF($D163&gt;=90,"Outstanding",IF($D163&gt;=75,"Very Good",IF($D163&gt;=60,"Good","Needs Support"))))</f>
        <v/>
      </c>
    </row>
    <row r="164">
      <c r="A164">
        <f>IF(Teachers!A158="","",Teachers!A158)</f>
        <v/>
      </c>
      <c r="B164">
        <f>IF(Teachers!A158="","",Teachers!B158)</f>
        <v/>
      </c>
      <c r="C164">
        <f>IF($A164="","",COUNTIFS('Teacher Rankings'!B:B,$A164,'Teacher Rankings'!A:A,"&gt;="&amp;$B$4,'Teacher Rankings'!A:A,"&lt;="&amp;$B$5))</f>
        <v/>
      </c>
      <c r="D164">
        <f>IF($A164="","",IF($C164=0,"",ROUND(AVERAGEIFS('Teacher Rankings'!I:I,'Teacher Rankings'!B:B,$A164,'Teacher Rankings'!A:A,"&gt;="&amp;$B$4,'Teacher Rankings'!A:A,"&lt;="&amp;$B$5),0)))</f>
        <v/>
      </c>
      <c r="E164">
        <f>IF($A164="","",IF($C164=0,"",MAXIFS('Teacher Rankings'!I:I,'Teacher Rankings'!B:B,$A164,'Teacher Rankings'!A:A,"&gt;="&amp;$B$4,'Teacher Rankings'!A:A,"&lt;="&amp;$B$5)))</f>
        <v/>
      </c>
      <c r="F164">
        <f>IF($A164="","",IF($C164=0,"",MINIFS('Teacher Rankings'!I:I,'Teacher Rankings'!B:B,$A164,'Teacher Rankings'!A:A,"&gt;="&amp;$B$4,'Teacher Rankings'!A:A,"&lt;="&amp;$B$5)))</f>
        <v/>
      </c>
      <c r="G164">
        <f>IF($D164="","",RANK($D164,$D$8:$D$207,0))</f>
        <v/>
      </c>
      <c r="H164">
        <f>IF($D164="","",IF($D164&gt;=90,"Outstanding",IF($D164&gt;=75,"Very Good",IF($D164&gt;=60,"Good","Needs Support"))))</f>
        <v/>
      </c>
    </row>
    <row r="165">
      <c r="A165">
        <f>IF(Teachers!A159="","",Teachers!A159)</f>
        <v/>
      </c>
      <c r="B165">
        <f>IF(Teachers!A159="","",Teachers!B159)</f>
        <v/>
      </c>
      <c r="C165">
        <f>IF($A165="","",COUNTIFS('Teacher Rankings'!B:B,$A165,'Teacher Rankings'!A:A,"&gt;="&amp;$B$4,'Teacher Rankings'!A:A,"&lt;="&amp;$B$5))</f>
        <v/>
      </c>
      <c r="D165">
        <f>IF($A165="","",IF($C165=0,"",ROUND(AVERAGEIFS('Teacher Rankings'!I:I,'Teacher Rankings'!B:B,$A165,'Teacher Rankings'!A:A,"&gt;="&amp;$B$4,'Teacher Rankings'!A:A,"&lt;="&amp;$B$5),0)))</f>
        <v/>
      </c>
      <c r="E165">
        <f>IF($A165="","",IF($C165=0,"",MAXIFS('Teacher Rankings'!I:I,'Teacher Rankings'!B:B,$A165,'Teacher Rankings'!A:A,"&gt;="&amp;$B$4,'Teacher Rankings'!A:A,"&lt;="&amp;$B$5)))</f>
        <v/>
      </c>
      <c r="F165">
        <f>IF($A165="","",IF($C165=0,"",MINIFS('Teacher Rankings'!I:I,'Teacher Rankings'!B:B,$A165,'Teacher Rankings'!A:A,"&gt;="&amp;$B$4,'Teacher Rankings'!A:A,"&lt;="&amp;$B$5)))</f>
        <v/>
      </c>
      <c r="G165">
        <f>IF($D165="","",RANK($D165,$D$8:$D$207,0))</f>
        <v/>
      </c>
      <c r="H165">
        <f>IF($D165="","",IF($D165&gt;=90,"Outstanding",IF($D165&gt;=75,"Very Good",IF($D165&gt;=60,"Good","Needs Support"))))</f>
        <v/>
      </c>
    </row>
    <row r="166">
      <c r="A166">
        <f>IF(Teachers!A160="","",Teachers!A160)</f>
        <v/>
      </c>
      <c r="B166">
        <f>IF(Teachers!A160="","",Teachers!B160)</f>
        <v/>
      </c>
      <c r="C166">
        <f>IF($A166="","",COUNTIFS('Teacher Rankings'!B:B,$A166,'Teacher Rankings'!A:A,"&gt;="&amp;$B$4,'Teacher Rankings'!A:A,"&lt;="&amp;$B$5))</f>
        <v/>
      </c>
      <c r="D166">
        <f>IF($A166="","",IF($C166=0,"",ROUND(AVERAGEIFS('Teacher Rankings'!I:I,'Teacher Rankings'!B:B,$A166,'Teacher Rankings'!A:A,"&gt;="&amp;$B$4,'Teacher Rankings'!A:A,"&lt;="&amp;$B$5),0)))</f>
        <v/>
      </c>
      <c r="E166">
        <f>IF($A166="","",IF($C166=0,"",MAXIFS('Teacher Rankings'!I:I,'Teacher Rankings'!B:B,$A166,'Teacher Rankings'!A:A,"&gt;="&amp;$B$4,'Teacher Rankings'!A:A,"&lt;="&amp;$B$5)))</f>
        <v/>
      </c>
      <c r="F166">
        <f>IF($A166="","",IF($C166=0,"",MINIFS('Teacher Rankings'!I:I,'Teacher Rankings'!B:B,$A166,'Teacher Rankings'!A:A,"&gt;="&amp;$B$4,'Teacher Rankings'!A:A,"&lt;="&amp;$B$5)))</f>
        <v/>
      </c>
      <c r="G166">
        <f>IF($D166="","",RANK($D166,$D$8:$D$207,0))</f>
        <v/>
      </c>
      <c r="H166">
        <f>IF($D166="","",IF($D166&gt;=90,"Outstanding",IF($D166&gt;=75,"Very Good",IF($D166&gt;=60,"Good","Needs Support"))))</f>
        <v/>
      </c>
    </row>
    <row r="167">
      <c r="A167">
        <f>IF(Teachers!A161="","",Teachers!A161)</f>
        <v/>
      </c>
      <c r="B167">
        <f>IF(Teachers!A161="","",Teachers!B161)</f>
        <v/>
      </c>
      <c r="C167">
        <f>IF($A167="","",COUNTIFS('Teacher Rankings'!B:B,$A167,'Teacher Rankings'!A:A,"&gt;="&amp;$B$4,'Teacher Rankings'!A:A,"&lt;="&amp;$B$5))</f>
        <v/>
      </c>
      <c r="D167">
        <f>IF($A167="","",IF($C167=0,"",ROUND(AVERAGEIFS('Teacher Rankings'!I:I,'Teacher Rankings'!B:B,$A167,'Teacher Rankings'!A:A,"&gt;="&amp;$B$4,'Teacher Rankings'!A:A,"&lt;="&amp;$B$5),0)))</f>
        <v/>
      </c>
      <c r="E167">
        <f>IF($A167="","",IF($C167=0,"",MAXIFS('Teacher Rankings'!I:I,'Teacher Rankings'!B:B,$A167,'Teacher Rankings'!A:A,"&gt;="&amp;$B$4,'Teacher Rankings'!A:A,"&lt;="&amp;$B$5)))</f>
        <v/>
      </c>
      <c r="F167">
        <f>IF($A167="","",IF($C167=0,"",MINIFS('Teacher Rankings'!I:I,'Teacher Rankings'!B:B,$A167,'Teacher Rankings'!A:A,"&gt;="&amp;$B$4,'Teacher Rankings'!A:A,"&lt;="&amp;$B$5)))</f>
        <v/>
      </c>
      <c r="G167">
        <f>IF($D167="","",RANK($D167,$D$8:$D$207,0))</f>
        <v/>
      </c>
      <c r="H167">
        <f>IF($D167="","",IF($D167&gt;=90,"Outstanding",IF($D167&gt;=75,"Very Good",IF($D167&gt;=60,"Good","Needs Support"))))</f>
        <v/>
      </c>
    </row>
    <row r="168">
      <c r="A168">
        <f>IF(Teachers!A162="","",Teachers!A162)</f>
        <v/>
      </c>
      <c r="B168">
        <f>IF(Teachers!A162="","",Teachers!B162)</f>
        <v/>
      </c>
      <c r="C168">
        <f>IF($A168="","",COUNTIFS('Teacher Rankings'!B:B,$A168,'Teacher Rankings'!A:A,"&gt;="&amp;$B$4,'Teacher Rankings'!A:A,"&lt;="&amp;$B$5))</f>
        <v/>
      </c>
      <c r="D168">
        <f>IF($A168="","",IF($C168=0,"",ROUND(AVERAGEIFS('Teacher Rankings'!I:I,'Teacher Rankings'!B:B,$A168,'Teacher Rankings'!A:A,"&gt;="&amp;$B$4,'Teacher Rankings'!A:A,"&lt;="&amp;$B$5),0)))</f>
        <v/>
      </c>
      <c r="E168">
        <f>IF($A168="","",IF($C168=0,"",MAXIFS('Teacher Rankings'!I:I,'Teacher Rankings'!B:B,$A168,'Teacher Rankings'!A:A,"&gt;="&amp;$B$4,'Teacher Rankings'!A:A,"&lt;="&amp;$B$5)))</f>
        <v/>
      </c>
      <c r="F168">
        <f>IF($A168="","",IF($C168=0,"",MINIFS('Teacher Rankings'!I:I,'Teacher Rankings'!B:B,$A168,'Teacher Rankings'!A:A,"&gt;="&amp;$B$4,'Teacher Rankings'!A:A,"&lt;="&amp;$B$5)))</f>
        <v/>
      </c>
      <c r="G168">
        <f>IF($D168="","",RANK($D168,$D$8:$D$207,0))</f>
        <v/>
      </c>
      <c r="H168">
        <f>IF($D168="","",IF($D168&gt;=90,"Outstanding",IF($D168&gt;=75,"Very Good",IF($D168&gt;=60,"Good","Needs Support"))))</f>
        <v/>
      </c>
    </row>
    <row r="169">
      <c r="A169">
        <f>IF(Teachers!A163="","",Teachers!A163)</f>
        <v/>
      </c>
      <c r="B169">
        <f>IF(Teachers!A163="","",Teachers!B163)</f>
        <v/>
      </c>
      <c r="C169">
        <f>IF($A169="","",COUNTIFS('Teacher Rankings'!B:B,$A169,'Teacher Rankings'!A:A,"&gt;="&amp;$B$4,'Teacher Rankings'!A:A,"&lt;="&amp;$B$5))</f>
        <v/>
      </c>
      <c r="D169">
        <f>IF($A169="","",IF($C169=0,"",ROUND(AVERAGEIFS('Teacher Rankings'!I:I,'Teacher Rankings'!B:B,$A169,'Teacher Rankings'!A:A,"&gt;="&amp;$B$4,'Teacher Rankings'!A:A,"&lt;="&amp;$B$5),0)))</f>
        <v/>
      </c>
      <c r="E169">
        <f>IF($A169="","",IF($C169=0,"",MAXIFS('Teacher Rankings'!I:I,'Teacher Rankings'!B:B,$A169,'Teacher Rankings'!A:A,"&gt;="&amp;$B$4,'Teacher Rankings'!A:A,"&lt;="&amp;$B$5)))</f>
        <v/>
      </c>
      <c r="F169">
        <f>IF($A169="","",IF($C169=0,"",MINIFS('Teacher Rankings'!I:I,'Teacher Rankings'!B:B,$A169,'Teacher Rankings'!A:A,"&gt;="&amp;$B$4,'Teacher Rankings'!A:A,"&lt;="&amp;$B$5)))</f>
        <v/>
      </c>
      <c r="G169">
        <f>IF($D169="","",RANK($D169,$D$8:$D$207,0))</f>
        <v/>
      </c>
      <c r="H169">
        <f>IF($D169="","",IF($D169&gt;=90,"Outstanding",IF($D169&gt;=75,"Very Good",IF($D169&gt;=60,"Good","Needs Support"))))</f>
        <v/>
      </c>
    </row>
    <row r="170">
      <c r="A170">
        <f>IF(Teachers!A164="","",Teachers!A164)</f>
        <v/>
      </c>
      <c r="B170">
        <f>IF(Teachers!A164="","",Teachers!B164)</f>
        <v/>
      </c>
      <c r="C170">
        <f>IF($A170="","",COUNTIFS('Teacher Rankings'!B:B,$A170,'Teacher Rankings'!A:A,"&gt;="&amp;$B$4,'Teacher Rankings'!A:A,"&lt;="&amp;$B$5))</f>
        <v/>
      </c>
      <c r="D170">
        <f>IF($A170="","",IF($C170=0,"",ROUND(AVERAGEIFS('Teacher Rankings'!I:I,'Teacher Rankings'!B:B,$A170,'Teacher Rankings'!A:A,"&gt;="&amp;$B$4,'Teacher Rankings'!A:A,"&lt;="&amp;$B$5),0)))</f>
        <v/>
      </c>
      <c r="E170">
        <f>IF($A170="","",IF($C170=0,"",MAXIFS('Teacher Rankings'!I:I,'Teacher Rankings'!B:B,$A170,'Teacher Rankings'!A:A,"&gt;="&amp;$B$4,'Teacher Rankings'!A:A,"&lt;="&amp;$B$5)))</f>
        <v/>
      </c>
      <c r="F170">
        <f>IF($A170="","",IF($C170=0,"",MINIFS('Teacher Rankings'!I:I,'Teacher Rankings'!B:B,$A170,'Teacher Rankings'!A:A,"&gt;="&amp;$B$4,'Teacher Rankings'!A:A,"&lt;="&amp;$B$5)))</f>
        <v/>
      </c>
      <c r="G170">
        <f>IF($D170="","",RANK($D170,$D$8:$D$207,0))</f>
        <v/>
      </c>
      <c r="H170">
        <f>IF($D170="","",IF($D170&gt;=90,"Outstanding",IF($D170&gt;=75,"Very Good",IF($D170&gt;=60,"Good","Needs Support"))))</f>
        <v/>
      </c>
    </row>
    <row r="171">
      <c r="A171">
        <f>IF(Teachers!A165="","",Teachers!A165)</f>
        <v/>
      </c>
      <c r="B171">
        <f>IF(Teachers!A165="","",Teachers!B165)</f>
        <v/>
      </c>
      <c r="C171">
        <f>IF($A171="","",COUNTIFS('Teacher Rankings'!B:B,$A171,'Teacher Rankings'!A:A,"&gt;="&amp;$B$4,'Teacher Rankings'!A:A,"&lt;="&amp;$B$5))</f>
        <v/>
      </c>
      <c r="D171">
        <f>IF($A171="","",IF($C171=0,"",ROUND(AVERAGEIFS('Teacher Rankings'!I:I,'Teacher Rankings'!B:B,$A171,'Teacher Rankings'!A:A,"&gt;="&amp;$B$4,'Teacher Rankings'!A:A,"&lt;="&amp;$B$5),0)))</f>
        <v/>
      </c>
      <c r="E171">
        <f>IF($A171="","",IF($C171=0,"",MAXIFS('Teacher Rankings'!I:I,'Teacher Rankings'!B:B,$A171,'Teacher Rankings'!A:A,"&gt;="&amp;$B$4,'Teacher Rankings'!A:A,"&lt;="&amp;$B$5)))</f>
        <v/>
      </c>
      <c r="F171">
        <f>IF($A171="","",IF($C171=0,"",MINIFS('Teacher Rankings'!I:I,'Teacher Rankings'!B:B,$A171,'Teacher Rankings'!A:A,"&gt;="&amp;$B$4,'Teacher Rankings'!A:A,"&lt;="&amp;$B$5)))</f>
        <v/>
      </c>
      <c r="G171">
        <f>IF($D171="","",RANK($D171,$D$8:$D$207,0))</f>
        <v/>
      </c>
      <c r="H171">
        <f>IF($D171="","",IF($D171&gt;=90,"Outstanding",IF($D171&gt;=75,"Very Good",IF($D171&gt;=60,"Good","Needs Support"))))</f>
        <v/>
      </c>
    </row>
    <row r="172">
      <c r="A172">
        <f>IF(Teachers!A166="","",Teachers!A166)</f>
        <v/>
      </c>
      <c r="B172">
        <f>IF(Teachers!A166="","",Teachers!B166)</f>
        <v/>
      </c>
      <c r="C172">
        <f>IF($A172="","",COUNTIFS('Teacher Rankings'!B:B,$A172,'Teacher Rankings'!A:A,"&gt;="&amp;$B$4,'Teacher Rankings'!A:A,"&lt;="&amp;$B$5))</f>
        <v/>
      </c>
      <c r="D172">
        <f>IF($A172="","",IF($C172=0,"",ROUND(AVERAGEIFS('Teacher Rankings'!I:I,'Teacher Rankings'!B:B,$A172,'Teacher Rankings'!A:A,"&gt;="&amp;$B$4,'Teacher Rankings'!A:A,"&lt;="&amp;$B$5),0)))</f>
        <v/>
      </c>
      <c r="E172">
        <f>IF($A172="","",IF($C172=0,"",MAXIFS('Teacher Rankings'!I:I,'Teacher Rankings'!B:B,$A172,'Teacher Rankings'!A:A,"&gt;="&amp;$B$4,'Teacher Rankings'!A:A,"&lt;="&amp;$B$5)))</f>
        <v/>
      </c>
      <c r="F172">
        <f>IF($A172="","",IF($C172=0,"",MINIFS('Teacher Rankings'!I:I,'Teacher Rankings'!B:B,$A172,'Teacher Rankings'!A:A,"&gt;="&amp;$B$4,'Teacher Rankings'!A:A,"&lt;="&amp;$B$5)))</f>
        <v/>
      </c>
      <c r="G172">
        <f>IF($D172="","",RANK($D172,$D$8:$D$207,0))</f>
        <v/>
      </c>
      <c r="H172">
        <f>IF($D172="","",IF($D172&gt;=90,"Outstanding",IF($D172&gt;=75,"Very Good",IF($D172&gt;=60,"Good","Needs Support"))))</f>
        <v/>
      </c>
    </row>
    <row r="173">
      <c r="A173">
        <f>IF(Teachers!A167="","",Teachers!A167)</f>
        <v/>
      </c>
      <c r="B173">
        <f>IF(Teachers!A167="","",Teachers!B167)</f>
        <v/>
      </c>
      <c r="C173">
        <f>IF($A173="","",COUNTIFS('Teacher Rankings'!B:B,$A173,'Teacher Rankings'!A:A,"&gt;="&amp;$B$4,'Teacher Rankings'!A:A,"&lt;="&amp;$B$5))</f>
        <v/>
      </c>
      <c r="D173">
        <f>IF($A173="","",IF($C173=0,"",ROUND(AVERAGEIFS('Teacher Rankings'!I:I,'Teacher Rankings'!B:B,$A173,'Teacher Rankings'!A:A,"&gt;="&amp;$B$4,'Teacher Rankings'!A:A,"&lt;="&amp;$B$5),0)))</f>
        <v/>
      </c>
      <c r="E173">
        <f>IF($A173="","",IF($C173=0,"",MAXIFS('Teacher Rankings'!I:I,'Teacher Rankings'!B:B,$A173,'Teacher Rankings'!A:A,"&gt;="&amp;$B$4,'Teacher Rankings'!A:A,"&lt;="&amp;$B$5)))</f>
        <v/>
      </c>
      <c r="F173">
        <f>IF($A173="","",IF($C173=0,"",MINIFS('Teacher Rankings'!I:I,'Teacher Rankings'!B:B,$A173,'Teacher Rankings'!A:A,"&gt;="&amp;$B$4,'Teacher Rankings'!A:A,"&lt;="&amp;$B$5)))</f>
        <v/>
      </c>
      <c r="G173">
        <f>IF($D173="","",RANK($D173,$D$8:$D$207,0))</f>
        <v/>
      </c>
      <c r="H173">
        <f>IF($D173="","",IF($D173&gt;=90,"Outstanding",IF($D173&gt;=75,"Very Good",IF($D173&gt;=60,"Good","Needs Support"))))</f>
        <v/>
      </c>
    </row>
    <row r="174">
      <c r="A174">
        <f>IF(Teachers!A168="","",Teachers!A168)</f>
        <v/>
      </c>
      <c r="B174">
        <f>IF(Teachers!A168="","",Teachers!B168)</f>
        <v/>
      </c>
      <c r="C174">
        <f>IF($A174="","",COUNTIFS('Teacher Rankings'!B:B,$A174,'Teacher Rankings'!A:A,"&gt;="&amp;$B$4,'Teacher Rankings'!A:A,"&lt;="&amp;$B$5))</f>
        <v/>
      </c>
      <c r="D174">
        <f>IF($A174="","",IF($C174=0,"",ROUND(AVERAGEIFS('Teacher Rankings'!I:I,'Teacher Rankings'!B:B,$A174,'Teacher Rankings'!A:A,"&gt;="&amp;$B$4,'Teacher Rankings'!A:A,"&lt;="&amp;$B$5),0)))</f>
        <v/>
      </c>
      <c r="E174">
        <f>IF($A174="","",IF($C174=0,"",MAXIFS('Teacher Rankings'!I:I,'Teacher Rankings'!B:B,$A174,'Teacher Rankings'!A:A,"&gt;="&amp;$B$4,'Teacher Rankings'!A:A,"&lt;="&amp;$B$5)))</f>
        <v/>
      </c>
      <c r="F174">
        <f>IF($A174="","",IF($C174=0,"",MINIFS('Teacher Rankings'!I:I,'Teacher Rankings'!B:B,$A174,'Teacher Rankings'!A:A,"&gt;="&amp;$B$4,'Teacher Rankings'!A:A,"&lt;="&amp;$B$5)))</f>
        <v/>
      </c>
      <c r="G174">
        <f>IF($D174="","",RANK($D174,$D$8:$D$207,0))</f>
        <v/>
      </c>
      <c r="H174">
        <f>IF($D174="","",IF($D174&gt;=90,"Outstanding",IF($D174&gt;=75,"Very Good",IF($D174&gt;=60,"Good","Needs Support"))))</f>
        <v/>
      </c>
    </row>
    <row r="175">
      <c r="A175">
        <f>IF(Teachers!A169="","",Teachers!A169)</f>
        <v/>
      </c>
      <c r="B175">
        <f>IF(Teachers!A169="","",Teachers!B169)</f>
        <v/>
      </c>
      <c r="C175">
        <f>IF($A175="","",COUNTIFS('Teacher Rankings'!B:B,$A175,'Teacher Rankings'!A:A,"&gt;="&amp;$B$4,'Teacher Rankings'!A:A,"&lt;="&amp;$B$5))</f>
        <v/>
      </c>
      <c r="D175">
        <f>IF($A175="","",IF($C175=0,"",ROUND(AVERAGEIFS('Teacher Rankings'!I:I,'Teacher Rankings'!B:B,$A175,'Teacher Rankings'!A:A,"&gt;="&amp;$B$4,'Teacher Rankings'!A:A,"&lt;="&amp;$B$5),0)))</f>
        <v/>
      </c>
      <c r="E175">
        <f>IF($A175="","",IF($C175=0,"",MAXIFS('Teacher Rankings'!I:I,'Teacher Rankings'!B:B,$A175,'Teacher Rankings'!A:A,"&gt;="&amp;$B$4,'Teacher Rankings'!A:A,"&lt;="&amp;$B$5)))</f>
        <v/>
      </c>
      <c r="F175">
        <f>IF($A175="","",IF($C175=0,"",MINIFS('Teacher Rankings'!I:I,'Teacher Rankings'!B:B,$A175,'Teacher Rankings'!A:A,"&gt;="&amp;$B$4,'Teacher Rankings'!A:A,"&lt;="&amp;$B$5)))</f>
        <v/>
      </c>
      <c r="G175">
        <f>IF($D175="","",RANK($D175,$D$8:$D$207,0))</f>
        <v/>
      </c>
      <c r="H175">
        <f>IF($D175="","",IF($D175&gt;=90,"Outstanding",IF($D175&gt;=75,"Very Good",IF($D175&gt;=60,"Good","Needs Support"))))</f>
        <v/>
      </c>
    </row>
    <row r="176">
      <c r="A176">
        <f>IF(Teachers!A170="","",Teachers!A170)</f>
        <v/>
      </c>
      <c r="B176">
        <f>IF(Teachers!A170="","",Teachers!B170)</f>
        <v/>
      </c>
      <c r="C176">
        <f>IF($A176="","",COUNTIFS('Teacher Rankings'!B:B,$A176,'Teacher Rankings'!A:A,"&gt;="&amp;$B$4,'Teacher Rankings'!A:A,"&lt;="&amp;$B$5))</f>
        <v/>
      </c>
      <c r="D176">
        <f>IF($A176="","",IF($C176=0,"",ROUND(AVERAGEIFS('Teacher Rankings'!I:I,'Teacher Rankings'!B:B,$A176,'Teacher Rankings'!A:A,"&gt;="&amp;$B$4,'Teacher Rankings'!A:A,"&lt;="&amp;$B$5),0)))</f>
        <v/>
      </c>
      <c r="E176">
        <f>IF($A176="","",IF($C176=0,"",MAXIFS('Teacher Rankings'!I:I,'Teacher Rankings'!B:B,$A176,'Teacher Rankings'!A:A,"&gt;="&amp;$B$4,'Teacher Rankings'!A:A,"&lt;="&amp;$B$5)))</f>
        <v/>
      </c>
      <c r="F176">
        <f>IF($A176="","",IF($C176=0,"",MINIFS('Teacher Rankings'!I:I,'Teacher Rankings'!B:B,$A176,'Teacher Rankings'!A:A,"&gt;="&amp;$B$4,'Teacher Rankings'!A:A,"&lt;="&amp;$B$5)))</f>
        <v/>
      </c>
      <c r="G176">
        <f>IF($D176="","",RANK($D176,$D$8:$D$207,0))</f>
        <v/>
      </c>
      <c r="H176">
        <f>IF($D176="","",IF($D176&gt;=90,"Outstanding",IF($D176&gt;=75,"Very Good",IF($D176&gt;=60,"Good","Needs Support"))))</f>
        <v/>
      </c>
    </row>
    <row r="177">
      <c r="A177">
        <f>IF(Teachers!A171="","",Teachers!A171)</f>
        <v/>
      </c>
      <c r="B177">
        <f>IF(Teachers!A171="","",Teachers!B171)</f>
        <v/>
      </c>
      <c r="C177">
        <f>IF($A177="","",COUNTIFS('Teacher Rankings'!B:B,$A177,'Teacher Rankings'!A:A,"&gt;="&amp;$B$4,'Teacher Rankings'!A:A,"&lt;="&amp;$B$5))</f>
        <v/>
      </c>
      <c r="D177">
        <f>IF($A177="","",IF($C177=0,"",ROUND(AVERAGEIFS('Teacher Rankings'!I:I,'Teacher Rankings'!B:B,$A177,'Teacher Rankings'!A:A,"&gt;="&amp;$B$4,'Teacher Rankings'!A:A,"&lt;="&amp;$B$5),0)))</f>
        <v/>
      </c>
      <c r="E177">
        <f>IF($A177="","",IF($C177=0,"",MAXIFS('Teacher Rankings'!I:I,'Teacher Rankings'!B:B,$A177,'Teacher Rankings'!A:A,"&gt;="&amp;$B$4,'Teacher Rankings'!A:A,"&lt;="&amp;$B$5)))</f>
        <v/>
      </c>
      <c r="F177">
        <f>IF($A177="","",IF($C177=0,"",MINIFS('Teacher Rankings'!I:I,'Teacher Rankings'!B:B,$A177,'Teacher Rankings'!A:A,"&gt;="&amp;$B$4,'Teacher Rankings'!A:A,"&lt;="&amp;$B$5)))</f>
        <v/>
      </c>
      <c r="G177">
        <f>IF($D177="","",RANK($D177,$D$8:$D$207,0))</f>
        <v/>
      </c>
      <c r="H177">
        <f>IF($D177="","",IF($D177&gt;=90,"Outstanding",IF($D177&gt;=75,"Very Good",IF($D177&gt;=60,"Good","Needs Support"))))</f>
        <v/>
      </c>
    </row>
    <row r="178">
      <c r="A178">
        <f>IF(Teachers!A172="","",Teachers!A172)</f>
        <v/>
      </c>
      <c r="B178">
        <f>IF(Teachers!A172="","",Teachers!B172)</f>
        <v/>
      </c>
      <c r="C178">
        <f>IF($A178="","",COUNTIFS('Teacher Rankings'!B:B,$A178,'Teacher Rankings'!A:A,"&gt;="&amp;$B$4,'Teacher Rankings'!A:A,"&lt;="&amp;$B$5))</f>
        <v/>
      </c>
      <c r="D178">
        <f>IF($A178="","",IF($C178=0,"",ROUND(AVERAGEIFS('Teacher Rankings'!I:I,'Teacher Rankings'!B:B,$A178,'Teacher Rankings'!A:A,"&gt;="&amp;$B$4,'Teacher Rankings'!A:A,"&lt;="&amp;$B$5),0)))</f>
        <v/>
      </c>
      <c r="E178">
        <f>IF($A178="","",IF($C178=0,"",MAXIFS('Teacher Rankings'!I:I,'Teacher Rankings'!B:B,$A178,'Teacher Rankings'!A:A,"&gt;="&amp;$B$4,'Teacher Rankings'!A:A,"&lt;="&amp;$B$5)))</f>
        <v/>
      </c>
      <c r="F178">
        <f>IF($A178="","",IF($C178=0,"",MINIFS('Teacher Rankings'!I:I,'Teacher Rankings'!B:B,$A178,'Teacher Rankings'!A:A,"&gt;="&amp;$B$4,'Teacher Rankings'!A:A,"&lt;="&amp;$B$5)))</f>
        <v/>
      </c>
      <c r="G178">
        <f>IF($D178="","",RANK($D178,$D$8:$D$207,0))</f>
        <v/>
      </c>
      <c r="H178">
        <f>IF($D178="","",IF($D178&gt;=90,"Outstanding",IF($D178&gt;=75,"Very Good",IF($D178&gt;=60,"Good","Needs Support"))))</f>
        <v/>
      </c>
    </row>
    <row r="179">
      <c r="A179">
        <f>IF(Teachers!A173="","",Teachers!A173)</f>
        <v/>
      </c>
      <c r="B179">
        <f>IF(Teachers!A173="","",Teachers!B173)</f>
        <v/>
      </c>
      <c r="C179">
        <f>IF($A179="","",COUNTIFS('Teacher Rankings'!B:B,$A179,'Teacher Rankings'!A:A,"&gt;="&amp;$B$4,'Teacher Rankings'!A:A,"&lt;="&amp;$B$5))</f>
        <v/>
      </c>
      <c r="D179">
        <f>IF($A179="","",IF($C179=0,"",ROUND(AVERAGEIFS('Teacher Rankings'!I:I,'Teacher Rankings'!B:B,$A179,'Teacher Rankings'!A:A,"&gt;="&amp;$B$4,'Teacher Rankings'!A:A,"&lt;="&amp;$B$5),0)))</f>
        <v/>
      </c>
      <c r="E179">
        <f>IF($A179="","",IF($C179=0,"",MAXIFS('Teacher Rankings'!I:I,'Teacher Rankings'!B:B,$A179,'Teacher Rankings'!A:A,"&gt;="&amp;$B$4,'Teacher Rankings'!A:A,"&lt;="&amp;$B$5)))</f>
        <v/>
      </c>
      <c r="F179">
        <f>IF($A179="","",IF($C179=0,"",MINIFS('Teacher Rankings'!I:I,'Teacher Rankings'!B:B,$A179,'Teacher Rankings'!A:A,"&gt;="&amp;$B$4,'Teacher Rankings'!A:A,"&lt;="&amp;$B$5)))</f>
        <v/>
      </c>
      <c r="G179">
        <f>IF($D179="","",RANK($D179,$D$8:$D$207,0))</f>
        <v/>
      </c>
      <c r="H179">
        <f>IF($D179="","",IF($D179&gt;=90,"Outstanding",IF($D179&gt;=75,"Very Good",IF($D179&gt;=60,"Good","Needs Support"))))</f>
        <v/>
      </c>
    </row>
    <row r="180">
      <c r="A180">
        <f>IF(Teachers!A174="","",Teachers!A174)</f>
        <v/>
      </c>
      <c r="B180">
        <f>IF(Teachers!A174="","",Teachers!B174)</f>
        <v/>
      </c>
      <c r="C180">
        <f>IF($A180="","",COUNTIFS('Teacher Rankings'!B:B,$A180,'Teacher Rankings'!A:A,"&gt;="&amp;$B$4,'Teacher Rankings'!A:A,"&lt;="&amp;$B$5))</f>
        <v/>
      </c>
      <c r="D180">
        <f>IF($A180="","",IF($C180=0,"",ROUND(AVERAGEIFS('Teacher Rankings'!I:I,'Teacher Rankings'!B:B,$A180,'Teacher Rankings'!A:A,"&gt;="&amp;$B$4,'Teacher Rankings'!A:A,"&lt;="&amp;$B$5),0)))</f>
        <v/>
      </c>
      <c r="E180">
        <f>IF($A180="","",IF($C180=0,"",MAXIFS('Teacher Rankings'!I:I,'Teacher Rankings'!B:B,$A180,'Teacher Rankings'!A:A,"&gt;="&amp;$B$4,'Teacher Rankings'!A:A,"&lt;="&amp;$B$5)))</f>
        <v/>
      </c>
      <c r="F180">
        <f>IF($A180="","",IF($C180=0,"",MINIFS('Teacher Rankings'!I:I,'Teacher Rankings'!B:B,$A180,'Teacher Rankings'!A:A,"&gt;="&amp;$B$4,'Teacher Rankings'!A:A,"&lt;="&amp;$B$5)))</f>
        <v/>
      </c>
      <c r="G180">
        <f>IF($D180="","",RANK($D180,$D$8:$D$207,0))</f>
        <v/>
      </c>
      <c r="H180">
        <f>IF($D180="","",IF($D180&gt;=90,"Outstanding",IF($D180&gt;=75,"Very Good",IF($D180&gt;=60,"Good","Needs Support"))))</f>
        <v/>
      </c>
    </row>
    <row r="181">
      <c r="A181">
        <f>IF(Teachers!A175="","",Teachers!A175)</f>
        <v/>
      </c>
      <c r="B181">
        <f>IF(Teachers!A175="","",Teachers!B175)</f>
        <v/>
      </c>
      <c r="C181">
        <f>IF($A181="","",COUNTIFS('Teacher Rankings'!B:B,$A181,'Teacher Rankings'!A:A,"&gt;="&amp;$B$4,'Teacher Rankings'!A:A,"&lt;="&amp;$B$5))</f>
        <v/>
      </c>
      <c r="D181">
        <f>IF($A181="","",IF($C181=0,"",ROUND(AVERAGEIFS('Teacher Rankings'!I:I,'Teacher Rankings'!B:B,$A181,'Teacher Rankings'!A:A,"&gt;="&amp;$B$4,'Teacher Rankings'!A:A,"&lt;="&amp;$B$5),0)))</f>
        <v/>
      </c>
      <c r="E181">
        <f>IF($A181="","",IF($C181=0,"",MAXIFS('Teacher Rankings'!I:I,'Teacher Rankings'!B:B,$A181,'Teacher Rankings'!A:A,"&gt;="&amp;$B$4,'Teacher Rankings'!A:A,"&lt;="&amp;$B$5)))</f>
        <v/>
      </c>
      <c r="F181">
        <f>IF($A181="","",IF($C181=0,"",MINIFS('Teacher Rankings'!I:I,'Teacher Rankings'!B:B,$A181,'Teacher Rankings'!A:A,"&gt;="&amp;$B$4,'Teacher Rankings'!A:A,"&lt;="&amp;$B$5)))</f>
        <v/>
      </c>
      <c r="G181">
        <f>IF($D181="","",RANK($D181,$D$8:$D$207,0))</f>
        <v/>
      </c>
      <c r="H181">
        <f>IF($D181="","",IF($D181&gt;=90,"Outstanding",IF($D181&gt;=75,"Very Good",IF($D181&gt;=60,"Good","Needs Support"))))</f>
        <v/>
      </c>
    </row>
    <row r="182">
      <c r="A182">
        <f>IF(Teachers!A176="","",Teachers!A176)</f>
        <v/>
      </c>
      <c r="B182">
        <f>IF(Teachers!A176="","",Teachers!B176)</f>
        <v/>
      </c>
      <c r="C182">
        <f>IF($A182="","",COUNTIFS('Teacher Rankings'!B:B,$A182,'Teacher Rankings'!A:A,"&gt;="&amp;$B$4,'Teacher Rankings'!A:A,"&lt;="&amp;$B$5))</f>
        <v/>
      </c>
      <c r="D182">
        <f>IF($A182="","",IF($C182=0,"",ROUND(AVERAGEIFS('Teacher Rankings'!I:I,'Teacher Rankings'!B:B,$A182,'Teacher Rankings'!A:A,"&gt;="&amp;$B$4,'Teacher Rankings'!A:A,"&lt;="&amp;$B$5),0)))</f>
        <v/>
      </c>
      <c r="E182">
        <f>IF($A182="","",IF($C182=0,"",MAXIFS('Teacher Rankings'!I:I,'Teacher Rankings'!B:B,$A182,'Teacher Rankings'!A:A,"&gt;="&amp;$B$4,'Teacher Rankings'!A:A,"&lt;="&amp;$B$5)))</f>
        <v/>
      </c>
      <c r="F182">
        <f>IF($A182="","",IF($C182=0,"",MINIFS('Teacher Rankings'!I:I,'Teacher Rankings'!B:B,$A182,'Teacher Rankings'!A:A,"&gt;="&amp;$B$4,'Teacher Rankings'!A:A,"&lt;="&amp;$B$5)))</f>
        <v/>
      </c>
      <c r="G182">
        <f>IF($D182="","",RANK($D182,$D$8:$D$207,0))</f>
        <v/>
      </c>
      <c r="H182">
        <f>IF($D182="","",IF($D182&gt;=90,"Outstanding",IF($D182&gt;=75,"Very Good",IF($D182&gt;=60,"Good","Needs Support"))))</f>
        <v/>
      </c>
    </row>
    <row r="183">
      <c r="A183">
        <f>IF(Teachers!A177="","",Teachers!A177)</f>
        <v/>
      </c>
      <c r="B183">
        <f>IF(Teachers!A177="","",Teachers!B177)</f>
        <v/>
      </c>
      <c r="C183">
        <f>IF($A183="","",COUNTIFS('Teacher Rankings'!B:B,$A183,'Teacher Rankings'!A:A,"&gt;="&amp;$B$4,'Teacher Rankings'!A:A,"&lt;="&amp;$B$5))</f>
        <v/>
      </c>
      <c r="D183">
        <f>IF($A183="","",IF($C183=0,"",ROUND(AVERAGEIFS('Teacher Rankings'!I:I,'Teacher Rankings'!B:B,$A183,'Teacher Rankings'!A:A,"&gt;="&amp;$B$4,'Teacher Rankings'!A:A,"&lt;="&amp;$B$5),0)))</f>
        <v/>
      </c>
      <c r="E183">
        <f>IF($A183="","",IF($C183=0,"",MAXIFS('Teacher Rankings'!I:I,'Teacher Rankings'!B:B,$A183,'Teacher Rankings'!A:A,"&gt;="&amp;$B$4,'Teacher Rankings'!A:A,"&lt;="&amp;$B$5)))</f>
        <v/>
      </c>
      <c r="F183">
        <f>IF($A183="","",IF($C183=0,"",MINIFS('Teacher Rankings'!I:I,'Teacher Rankings'!B:B,$A183,'Teacher Rankings'!A:A,"&gt;="&amp;$B$4,'Teacher Rankings'!A:A,"&lt;="&amp;$B$5)))</f>
        <v/>
      </c>
      <c r="G183">
        <f>IF($D183="","",RANK($D183,$D$8:$D$207,0))</f>
        <v/>
      </c>
      <c r="H183">
        <f>IF($D183="","",IF($D183&gt;=90,"Outstanding",IF($D183&gt;=75,"Very Good",IF($D183&gt;=60,"Good","Needs Support"))))</f>
        <v/>
      </c>
    </row>
    <row r="184">
      <c r="A184">
        <f>IF(Teachers!A178="","",Teachers!A178)</f>
        <v/>
      </c>
      <c r="B184">
        <f>IF(Teachers!A178="","",Teachers!B178)</f>
        <v/>
      </c>
      <c r="C184">
        <f>IF($A184="","",COUNTIFS('Teacher Rankings'!B:B,$A184,'Teacher Rankings'!A:A,"&gt;="&amp;$B$4,'Teacher Rankings'!A:A,"&lt;="&amp;$B$5))</f>
        <v/>
      </c>
      <c r="D184">
        <f>IF($A184="","",IF($C184=0,"",ROUND(AVERAGEIFS('Teacher Rankings'!I:I,'Teacher Rankings'!B:B,$A184,'Teacher Rankings'!A:A,"&gt;="&amp;$B$4,'Teacher Rankings'!A:A,"&lt;="&amp;$B$5),0)))</f>
        <v/>
      </c>
      <c r="E184">
        <f>IF($A184="","",IF($C184=0,"",MAXIFS('Teacher Rankings'!I:I,'Teacher Rankings'!B:B,$A184,'Teacher Rankings'!A:A,"&gt;="&amp;$B$4,'Teacher Rankings'!A:A,"&lt;="&amp;$B$5)))</f>
        <v/>
      </c>
      <c r="F184">
        <f>IF($A184="","",IF($C184=0,"",MINIFS('Teacher Rankings'!I:I,'Teacher Rankings'!B:B,$A184,'Teacher Rankings'!A:A,"&gt;="&amp;$B$4,'Teacher Rankings'!A:A,"&lt;="&amp;$B$5)))</f>
        <v/>
      </c>
      <c r="G184">
        <f>IF($D184="","",RANK($D184,$D$8:$D$207,0))</f>
        <v/>
      </c>
      <c r="H184">
        <f>IF($D184="","",IF($D184&gt;=90,"Outstanding",IF($D184&gt;=75,"Very Good",IF($D184&gt;=60,"Good","Needs Support"))))</f>
        <v/>
      </c>
    </row>
    <row r="185">
      <c r="A185">
        <f>IF(Teachers!A179="","",Teachers!A179)</f>
        <v/>
      </c>
      <c r="B185">
        <f>IF(Teachers!A179="","",Teachers!B179)</f>
        <v/>
      </c>
      <c r="C185">
        <f>IF($A185="","",COUNTIFS('Teacher Rankings'!B:B,$A185,'Teacher Rankings'!A:A,"&gt;="&amp;$B$4,'Teacher Rankings'!A:A,"&lt;="&amp;$B$5))</f>
        <v/>
      </c>
      <c r="D185">
        <f>IF($A185="","",IF($C185=0,"",ROUND(AVERAGEIFS('Teacher Rankings'!I:I,'Teacher Rankings'!B:B,$A185,'Teacher Rankings'!A:A,"&gt;="&amp;$B$4,'Teacher Rankings'!A:A,"&lt;="&amp;$B$5),0)))</f>
        <v/>
      </c>
      <c r="E185">
        <f>IF($A185="","",IF($C185=0,"",MAXIFS('Teacher Rankings'!I:I,'Teacher Rankings'!B:B,$A185,'Teacher Rankings'!A:A,"&gt;="&amp;$B$4,'Teacher Rankings'!A:A,"&lt;="&amp;$B$5)))</f>
        <v/>
      </c>
      <c r="F185">
        <f>IF($A185="","",IF($C185=0,"",MINIFS('Teacher Rankings'!I:I,'Teacher Rankings'!B:B,$A185,'Teacher Rankings'!A:A,"&gt;="&amp;$B$4,'Teacher Rankings'!A:A,"&lt;="&amp;$B$5)))</f>
        <v/>
      </c>
      <c r="G185">
        <f>IF($D185="","",RANK($D185,$D$8:$D$207,0))</f>
        <v/>
      </c>
      <c r="H185">
        <f>IF($D185="","",IF($D185&gt;=90,"Outstanding",IF($D185&gt;=75,"Very Good",IF($D185&gt;=60,"Good","Needs Support"))))</f>
        <v/>
      </c>
    </row>
    <row r="186">
      <c r="A186">
        <f>IF(Teachers!A180="","",Teachers!A180)</f>
        <v/>
      </c>
      <c r="B186">
        <f>IF(Teachers!A180="","",Teachers!B180)</f>
        <v/>
      </c>
      <c r="C186">
        <f>IF($A186="","",COUNTIFS('Teacher Rankings'!B:B,$A186,'Teacher Rankings'!A:A,"&gt;="&amp;$B$4,'Teacher Rankings'!A:A,"&lt;="&amp;$B$5))</f>
        <v/>
      </c>
      <c r="D186">
        <f>IF($A186="","",IF($C186=0,"",ROUND(AVERAGEIFS('Teacher Rankings'!I:I,'Teacher Rankings'!B:B,$A186,'Teacher Rankings'!A:A,"&gt;="&amp;$B$4,'Teacher Rankings'!A:A,"&lt;="&amp;$B$5),0)))</f>
        <v/>
      </c>
      <c r="E186">
        <f>IF($A186="","",IF($C186=0,"",MAXIFS('Teacher Rankings'!I:I,'Teacher Rankings'!B:B,$A186,'Teacher Rankings'!A:A,"&gt;="&amp;$B$4,'Teacher Rankings'!A:A,"&lt;="&amp;$B$5)))</f>
        <v/>
      </c>
      <c r="F186">
        <f>IF($A186="","",IF($C186=0,"",MINIFS('Teacher Rankings'!I:I,'Teacher Rankings'!B:B,$A186,'Teacher Rankings'!A:A,"&gt;="&amp;$B$4,'Teacher Rankings'!A:A,"&lt;="&amp;$B$5)))</f>
        <v/>
      </c>
      <c r="G186">
        <f>IF($D186="","",RANK($D186,$D$8:$D$207,0))</f>
        <v/>
      </c>
      <c r="H186">
        <f>IF($D186="","",IF($D186&gt;=90,"Outstanding",IF($D186&gt;=75,"Very Good",IF($D186&gt;=60,"Good","Needs Support"))))</f>
        <v/>
      </c>
    </row>
    <row r="187">
      <c r="A187">
        <f>IF(Teachers!A181="","",Teachers!A181)</f>
        <v/>
      </c>
      <c r="B187">
        <f>IF(Teachers!A181="","",Teachers!B181)</f>
        <v/>
      </c>
      <c r="C187">
        <f>IF($A187="","",COUNTIFS('Teacher Rankings'!B:B,$A187,'Teacher Rankings'!A:A,"&gt;="&amp;$B$4,'Teacher Rankings'!A:A,"&lt;="&amp;$B$5))</f>
        <v/>
      </c>
      <c r="D187">
        <f>IF($A187="","",IF($C187=0,"",ROUND(AVERAGEIFS('Teacher Rankings'!I:I,'Teacher Rankings'!B:B,$A187,'Teacher Rankings'!A:A,"&gt;="&amp;$B$4,'Teacher Rankings'!A:A,"&lt;="&amp;$B$5),0)))</f>
        <v/>
      </c>
      <c r="E187">
        <f>IF($A187="","",IF($C187=0,"",MAXIFS('Teacher Rankings'!I:I,'Teacher Rankings'!B:B,$A187,'Teacher Rankings'!A:A,"&gt;="&amp;$B$4,'Teacher Rankings'!A:A,"&lt;="&amp;$B$5)))</f>
        <v/>
      </c>
      <c r="F187">
        <f>IF($A187="","",IF($C187=0,"",MINIFS('Teacher Rankings'!I:I,'Teacher Rankings'!B:B,$A187,'Teacher Rankings'!A:A,"&gt;="&amp;$B$4,'Teacher Rankings'!A:A,"&lt;="&amp;$B$5)))</f>
        <v/>
      </c>
      <c r="G187">
        <f>IF($D187="","",RANK($D187,$D$8:$D$207,0))</f>
        <v/>
      </c>
      <c r="H187">
        <f>IF($D187="","",IF($D187&gt;=90,"Outstanding",IF($D187&gt;=75,"Very Good",IF($D187&gt;=60,"Good","Needs Support"))))</f>
        <v/>
      </c>
    </row>
    <row r="188">
      <c r="A188">
        <f>IF(Teachers!A182="","",Teachers!A182)</f>
        <v/>
      </c>
      <c r="B188">
        <f>IF(Teachers!A182="","",Teachers!B182)</f>
        <v/>
      </c>
      <c r="C188">
        <f>IF($A188="","",COUNTIFS('Teacher Rankings'!B:B,$A188,'Teacher Rankings'!A:A,"&gt;="&amp;$B$4,'Teacher Rankings'!A:A,"&lt;="&amp;$B$5))</f>
        <v/>
      </c>
      <c r="D188">
        <f>IF($A188="","",IF($C188=0,"",ROUND(AVERAGEIFS('Teacher Rankings'!I:I,'Teacher Rankings'!B:B,$A188,'Teacher Rankings'!A:A,"&gt;="&amp;$B$4,'Teacher Rankings'!A:A,"&lt;="&amp;$B$5),0)))</f>
        <v/>
      </c>
      <c r="E188">
        <f>IF($A188="","",IF($C188=0,"",MAXIFS('Teacher Rankings'!I:I,'Teacher Rankings'!B:B,$A188,'Teacher Rankings'!A:A,"&gt;="&amp;$B$4,'Teacher Rankings'!A:A,"&lt;="&amp;$B$5)))</f>
        <v/>
      </c>
      <c r="F188">
        <f>IF($A188="","",IF($C188=0,"",MINIFS('Teacher Rankings'!I:I,'Teacher Rankings'!B:B,$A188,'Teacher Rankings'!A:A,"&gt;="&amp;$B$4,'Teacher Rankings'!A:A,"&lt;="&amp;$B$5)))</f>
        <v/>
      </c>
      <c r="G188">
        <f>IF($D188="","",RANK($D188,$D$8:$D$207,0))</f>
        <v/>
      </c>
      <c r="H188">
        <f>IF($D188="","",IF($D188&gt;=90,"Outstanding",IF($D188&gt;=75,"Very Good",IF($D188&gt;=60,"Good","Needs Support"))))</f>
        <v/>
      </c>
    </row>
    <row r="189">
      <c r="A189">
        <f>IF(Teachers!A183="","",Teachers!A183)</f>
        <v/>
      </c>
      <c r="B189">
        <f>IF(Teachers!A183="","",Teachers!B183)</f>
        <v/>
      </c>
      <c r="C189">
        <f>IF($A189="","",COUNTIFS('Teacher Rankings'!B:B,$A189,'Teacher Rankings'!A:A,"&gt;="&amp;$B$4,'Teacher Rankings'!A:A,"&lt;="&amp;$B$5))</f>
        <v/>
      </c>
      <c r="D189">
        <f>IF($A189="","",IF($C189=0,"",ROUND(AVERAGEIFS('Teacher Rankings'!I:I,'Teacher Rankings'!B:B,$A189,'Teacher Rankings'!A:A,"&gt;="&amp;$B$4,'Teacher Rankings'!A:A,"&lt;="&amp;$B$5),0)))</f>
        <v/>
      </c>
      <c r="E189">
        <f>IF($A189="","",IF($C189=0,"",MAXIFS('Teacher Rankings'!I:I,'Teacher Rankings'!B:B,$A189,'Teacher Rankings'!A:A,"&gt;="&amp;$B$4,'Teacher Rankings'!A:A,"&lt;="&amp;$B$5)))</f>
        <v/>
      </c>
      <c r="F189">
        <f>IF($A189="","",IF($C189=0,"",MINIFS('Teacher Rankings'!I:I,'Teacher Rankings'!B:B,$A189,'Teacher Rankings'!A:A,"&gt;="&amp;$B$4,'Teacher Rankings'!A:A,"&lt;="&amp;$B$5)))</f>
        <v/>
      </c>
      <c r="G189">
        <f>IF($D189="","",RANK($D189,$D$8:$D$207,0))</f>
        <v/>
      </c>
      <c r="H189">
        <f>IF($D189="","",IF($D189&gt;=90,"Outstanding",IF($D189&gt;=75,"Very Good",IF($D189&gt;=60,"Good","Needs Support"))))</f>
        <v/>
      </c>
    </row>
    <row r="190">
      <c r="A190">
        <f>IF(Teachers!A184="","",Teachers!A184)</f>
        <v/>
      </c>
      <c r="B190">
        <f>IF(Teachers!A184="","",Teachers!B184)</f>
        <v/>
      </c>
      <c r="C190">
        <f>IF($A190="","",COUNTIFS('Teacher Rankings'!B:B,$A190,'Teacher Rankings'!A:A,"&gt;="&amp;$B$4,'Teacher Rankings'!A:A,"&lt;="&amp;$B$5))</f>
        <v/>
      </c>
      <c r="D190">
        <f>IF($A190="","",IF($C190=0,"",ROUND(AVERAGEIFS('Teacher Rankings'!I:I,'Teacher Rankings'!B:B,$A190,'Teacher Rankings'!A:A,"&gt;="&amp;$B$4,'Teacher Rankings'!A:A,"&lt;="&amp;$B$5),0)))</f>
        <v/>
      </c>
      <c r="E190">
        <f>IF($A190="","",IF($C190=0,"",MAXIFS('Teacher Rankings'!I:I,'Teacher Rankings'!B:B,$A190,'Teacher Rankings'!A:A,"&gt;="&amp;$B$4,'Teacher Rankings'!A:A,"&lt;="&amp;$B$5)))</f>
        <v/>
      </c>
      <c r="F190">
        <f>IF($A190="","",IF($C190=0,"",MINIFS('Teacher Rankings'!I:I,'Teacher Rankings'!B:B,$A190,'Teacher Rankings'!A:A,"&gt;="&amp;$B$4,'Teacher Rankings'!A:A,"&lt;="&amp;$B$5)))</f>
        <v/>
      </c>
      <c r="G190">
        <f>IF($D190="","",RANK($D190,$D$8:$D$207,0))</f>
        <v/>
      </c>
      <c r="H190">
        <f>IF($D190="","",IF($D190&gt;=90,"Outstanding",IF($D190&gt;=75,"Very Good",IF($D190&gt;=60,"Good","Needs Support"))))</f>
        <v/>
      </c>
    </row>
    <row r="191">
      <c r="A191">
        <f>IF(Teachers!A185="","",Teachers!A185)</f>
        <v/>
      </c>
      <c r="B191">
        <f>IF(Teachers!A185="","",Teachers!B185)</f>
        <v/>
      </c>
      <c r="C191">
        <f>IF($A191="","",COUNTIFS('Teacher Rankings'!B:B,$A191,'Teacher Rankings'!A:A,"&gt;="&amp;$B$4,'Teacher Rankings'!A:A,"&lt;="&amp;$B$5))</f>
        <v/>
      </c>
      <c r="D191">
        <f>IF($A191="","",IF($C191=0,"",ROUND(AVERAGEIFS('Teacher Rankings'!I:I,'Teacher Rankings'!B:B,$A191,'Teacher Rankings'!A:A,"&gt;="&amp;$B$4,'Teacher Rankings'!A:A,"&lt;="&amp;$B$5),0)))</f>
        <v/>
      </c>
      <c r="E191">
        <f>IF($A191="","",IF($C191=0,"",MAXIFS('Teacher Rankings'!I:I,'Teacher Rankings'!B:B,$A191,'Teacher Rankings'!A:A,"&gt;="&amp;$B$4,'Teacher Rankings'!A:A,"&lt;="&amp;$B$5)))</f>
        <v/>
      </c>
      <c r="F191">
        <f>IF($A191="","",IF($C191=0,"",MINIFS('Teacher Rankings'!I:I,'Teacher Rankings'!B:B,$A191,'Teacher Rankings'!A:A,"&gt;="&amp;$B$4,'Teacher Rankings'!A:A,"&lt;="&amp;$B$5)))</f>
        <v/>
      </c>
      <c r="G191">
        <f>IF($D191="","",RANK($D191,$D$8:$D$207,0))</f>
        <v/>
      </c>
      <c r="H191">
        <f>IF($D191="","",IF($D191&gt;=90,"Outstanding",IF($D191&gt;=75,"Very Good",IF($D191&gt;=60,"Good","Needs Support"))))</f>
        <v/>
      </c>
    </row>
    <row r="192">
      <c r="A192">
        <f>IF(Teachers!A186="","",Teachers!A186)</f>
        <v/>
      </c>
      <c r="B192">
        <f>IF(Teachers!A186="","",Teachers!B186)</f>
        <v/>
      </c>
      <c r="C192">
        <f>IF($A192="","",COUNTIFS('Teacher Rankings'!B:B,$A192,'Teacher Rankings'!A:A,"&gt;="&amp;$B$4,'Teacher Rankings'!A:A,"&lt;="&amp;$B$5))</f>
        <v/>
      </c>
      <c r="D192">
        <f>IF($A192="","",IF($C192=0,"",ROUND(AVERAGEIFS('Teacher Rankings'!I:I,'Teacher Rankings'!B:B,$A192,'Teacher Rankings'!A:A,"&gt;="&amp;$B$4,'Teacher Rankings'!A:A,"&lt;="&amp;$B$5),0)))</f>
        <v/>
      </c>
      <c r="E192">
        <f>IF($A192="","",IF($C192=0,"",MAXIFS('Teacher Rankings'!I:I,'Teacher Rankings'!B:B,$A192,'Teacher Rankings'!A:A,"&gt;="&amp;$B$4,'Teacher Rankings'!A:A,"&lt;="&amp;$B$5)))</f>
        <v/>
      </c>
      <c r="F192">
        <f>IF($A192="","",IF($C192=0,"",MINIFS('Teacher Rankings'!I:I,'Teacher Rankings'!B:B,$A192,'Teacher Rankings'!A:A,"&gt;="&amp;$B$4,'Teacher Rankings'!A:A,"&lt;="&amp;$B$5)))</f>
        <v/>
      </c>
      <c r="G192">
        <f>IF($D192="","",RANK($D192,$D$8:$D$207,0))</f>
        <v/>
      </c>
      <c r="H192">
        <f>IF($D192="","",IF($D192&gt;=90,"Outstanding",IF($D192&gt;=75,"Very Good",IF($D192&gt;=60,"Good","Needs Support"))))</f>
        <v/>
      </c>
    </row>
    <row r="193">
      <c r="A193">
        <f>IF(Teachers!A187="","",Teachers!A187)</f>
        <v/>
      </c>
      <c r="B193">
        <f>IF(Teachers!A187="","",Teachers!B187)</f>
        <v/>
      </c>
      <c r="C193">
        <f>IF($A193="","",COUNTIFS('Teacher Rankings'!B:B,$A193,'Teacher Rankings'!A:A,"&gt;="&amp;$B$4,'Teacher Rankings'!A:A,"&lt;="&amp;$B$5))</f>
        <v/>
      </c>
      <c r="D193">
        <f>IF($A193="","",IF($C193=0,"",ROUND(AVERAGEIFS('Teacher Rankings'!I:I,'Teacher Rankings'!B:B,$A193,'Teacher Rankings'!A:A,"&gt;="&amp;$B$4,'Teacher Rankings'!A:A,"&lt;="&amp;$B$5),0)))</f>
        <v/>
      </c>
      <c r="E193">
        <f>IF($A193="","",IF($C193=0,"",MAXIFS('Teacher Rankings'!I:I,'Teacher Rankings'!B:B,$A193,'Teacher Rankings'!A:A,"&gt;="&amp;$B$4,'Teacher Rankings'!A:A,"&lt;="&amp;$B$5)))</f>
        <v/>
      </c>
      <c r="F193">
        <f>IF($A193="","",IF($C193=0,"",MINIFS('Teacher Rankings'!I:I,'Teacher Rankings'!B:B,$A193,'Teacher Rankings'!A:A,"&gt;="&amp;$B$4,'Teacher Rankings'!A:A,"&lt;="&amp;$B$5)))</f>
        <v/>
      </c>
      <c r="G193">
        <f>IF($D193="","",RANK($D193,$D$8:$D$207,0))</f>
        <v/>
      </c>
      <c r="H193">
        <f>IF($D193="","",IF($D193&gt;=90,"Outstanding",IF($D193&gt;=75,"Very Good",IF($D193&gt;=60,"Good","Needs Support"))))</f>
        <v/>
      </c>
    </row>
    <row r="194">
      <c r="A194">
        <f>IF(Teachers!A188="","",Teachers!A188)</f>
        <v/>
      </c>
      <c r="B194">
        <f>IF(Teachers!A188="","",Teachers!B188)</f>
        <v/>
      </c>
      <c r="C194">
        <f>IF($A194="","",COUNTIFS('Teacher Rankings'!B:B,$A194,'Teacher Rankings'!A:A,"&gt;="&amp;$B$4,'Teacher Rankings'!A:A,"&lt;="&amp;$B$5))</f>
        <v/>
      </c>
      <c r="D194">
        <f>IF($A194="","",IF($C194=0,"",ROUND(AVERAGEIFS('Teacher Rankings'!I:I,'Teacher Rankings'!B:B,$A194,'Teacher Rankings'!A:A,"&gt;="&amp;$B$4,'Teacher Rankings'!A:A,"&lt;="&amp;$B$5),0)))</f>
        <v/>
      </c>
      <c r="E194">
        <f>IF($A194="","",IF($C194=0,"",MAXIFS('Teacher Rankings'!I:I,'Teacher Rankings'!B:B,$A194,'Teacher Rankings'!A:A,"&gt;="&amp;$B$4,'Teacher Rankings'!A:A,"&lt;="&amp;$B$5)))</f>
        <v/>
      </c>
      <c r="F194">
        <f>IF($A194="","",IF($C194=0,"",MINIFS('Teacher Rankings'!I:I,'Teacher Rankings'!B:B,$A194,'Teacher Rankings'!A:A,"&gt;="&amp;$B$4,'Teacher Rankings'!A:A,"&lt;="&amp;$B$5)))</f>
        <v/>
      </c>
      <c r="G194">
        <f>IF($D194="","",RANK($D194,$D$8:$D$207,0))</f>
        <v/>
      </c>
      <c r="H194">
        <f>IF($D194="","",IF($D194&gt;=90,"Outstanding",IF($D194&gt;=75,"Very Good",IF($D194&gt;=60,"Good","Needs Support"))))</f>
        <v/>
      </c>
    </row>
    <row r="195">
      <c r="A195">
        <f>IF(Teachers!A189="","",Teachers!A189)</f>
        <v/>
      </c>
      <c r="B195">
        <f>IF(Teachers!A189="","",Teachers!B189)</f>
        <v/>
      </c>
      <c r="C195">
        <f>IF($A195="","",COUNTIFS('Teacher Rankings'!B:B,$A195,'Teacher Rankings'!A:A,"&gt;="&amp;$B$4,'Teacher Rankings'!A:A,"&lt;="&amp;$B$5))</f>
        <v/>
      </c>
      <c r="D195">
        <f>IF($A195="","",IF($C195=0,"",ROUND(AVERAGEIFS('Teacher Rankings'!I:I,'Teacher Rankings'!B:B,$A195,'Teacher Rankings'!A:A,"&gt;="&amp;$B$4,'Teacher Rankings'!A:A,"&lt;="&amp;$B$5),0)))</f>
        <v/>
      </c>
      <c r="E195">
        <f>IF($A195="","",IF($C195=0,"",MAXIFS('Teacher Rankings'!I:I,'Teacher Rankings'!B:B,$A195,'Teacher Rankings'!A:A,"&gt;="&amp;$B$4,'Teacher Rankings'!A:A,"&lt;="&amp;$B$5)))</f>
        <v/>
      </c>
      <c r="F195">
        <f>IF($A195="","",IF($C195=0,"",MINIFS('Teacher Rankings'!I:I,'Teacher Rankings'!B:B,$A195,'Teacher Rankings'!A:A,"&gt;="&amp;$B$4,'Teacher Rankings'!A:A,"&lt;="&amp;$B$5)))</f>
        <v/>
      </c>
      <c r="G195">
        <f>IF($D195="","",RANK($D195,$D$8:$D$207,0))</f>
        <v/>
      </c>
      <c r="H195">
        <f>IF($D195="","",IF($D195&gt;=90,"Outstanding",IF($D195&gt;=75,"Very Good",IF($D195&gt;=60,"Good","Needs Support"))))</f>
        <v/>
      </c>
    </row>
    <row r="196">
      <c r="A196">
        <f>IF(Teachers!A190="","",Teachers!A190)</f>
        <v/>
      </c>
      <c r="B196">
        <f>IF(Teachers!A190="","",Teachers!B190)</f>
        <v/>
      </c>
      <c r="C196">
        <f>IF($A196="","",COUNTIFS('Teacher Rankings'!B:B,$A196,'Teacher Rankings'!A:A,"&gt;="&amp;$B$4,'Teacher Rankings'!A:A,"&lt;="&amp;$B$5))</f>
        <v/>
      </c>
      <c r="D196">
        <f>IF($A196="","",IF($C196=0,"",ROUND(AVERAGEIFS('Teacher Rankings'!I:I,'Teacher Rankings'!B:B,$A196,'Teacher Rankings'!A:A,"&gt;="&amp;$B$4,'Teacher Rankings'!A:A,"&lt;="&amp;$B$5),0)))</f>
        <v/>
      </c>
      <c r="E196">
        <f>IF($A196="","",IF($C196=0,"",MAXIFS('Teacher Rankings'!I:I,'Teacher Rankings'!B:B,$A196,'Teacher Rankings'!A:A,"&gt;="&amp;$B$4,'Teacher Rankings'!A:A,"&lt;="&amp;$B$5)))</f>
        <v/>
      </c>
      <c r="F196">
        <f>IF($A196="","",IF($C196=0,"",MINIFS('Teacher Rankings'!I:I,'Teacher Rankings'!B:B,$A196,'Teacher Rankings'!A:A,"&gt;="&amp;$B$4,'Teacher Rankings'!A:A,"&lt;="&amp;$B$5)))</f>
        <v/>
      </c>
      <c r="G196">
        <f>IF($D196="","",RANK($D196,$D$8:$D$207,0))</f>
        <v/>
      </c>
      <c r="H196">
        <f>IF($D196="","",IF($D196&gt;=90,"Outstanding",IF($D196&gt;=75,"Very Good",IF($D196&gt;=60,"Good","Needs Support"))))</f>
        <v/>
      </c>
    </row>
    <row r="197">
      <c r="A197">
        <f>IF(Teachers!A191="","",Teachers!A191)</f>
        <v/>
      </c>
      <c r="B197">
        <f>IF(Teachers!A191="","",Teachers!B191)</f>
        <v/>
      </c>
      <c r="C197">
        <f>IF($A197="","",COUNTIFS('Teacher Rankings'!B:B,$A197,'Teacher Rankings'!A:A,"&gt;="&amp;$B$4,'Teacher Rankings'!A:A,"&lt;="&amp;$B$5))</f>
        <v/>
      </c>
      <c r="D197">
        <f>IF($A197="","",IF($C197=0,"",ROUND(AVERAGEIFS('Teacher Rankings'!I:I,'Teacher Rankings'!B:B,$A197,'Teacher Rankings'!A:A,"&gt;="&amp;$B$4,'Teacher Rankings'!A:A,"&lt;="&amp;$B$5),0)))</f>
        <v/>
      </c>
      <c r="E197">
        <f>IF($A197="","",IF($C197=0,"",MAXIFS('Teacher Rankings'!I:I,'Teacher Rankings'!B:B,$A197,'Teacher Rankings'!A:A,"&gt;="&amp;$B$4,'Teacher Rankings'!A:A,"&lt;="&amp;$B$5)))</f>
        <v/>
      </c>
      <c r="F197">
        <f>IF($A197="","",IF($C197=0,"",MINIFS('Teacher Rankings'!I:I,'Teacher Rankings'!B:B,$A197,'Teacher Rankings'!A:A,"&gt;="&amp;$B$4,'Teacher Rankings'!A:A,"&lt;="&amp;$B$5)))</f>
        <v/>
      </c>
      <c r="G197">
        <f>IF($D197="","",RANK($D197,$D$8:$D$207,0))</f>
        <v/>
      </c>
      <c r="H197">
        <f>IF($D197="","",IF($D197&gt;=90,"Outstanding",IF($D197&gt;=75,"Very Good",IF($D197&gt;=60,"Good","Needs Support"))))</f>
        <v/>
      </c>
    </row>
    <row r="198">
      <c r="A198">
        <f>IF(Teachers!A192="","",Teachers!A192)</f>
        <v/>
      </c>
      <c r="B198">
        <f>IF(Teachers!A192="","",Teachers!B192)</f>
        <v/>
      </c>
      <c r="C198">
        <f>IF($A198="","",COUNTIFS('Teacher Rankings'!B:B,$A198,'Teacher Rankings'!A:A,"&gt;="&amp;$B$4,'Teacher Rankings'!A:A,"&lt;="&amp;$B$5))</f>
        <v/>
      </c>
      <c r="D198">
        <f>IF($A198="","",IF($C198=0,"",ROUND(AVERAGEIFS('Teacher Rankings'!I:I,'Teacher Rankings'!B:B,$A198,'Teacher Rankings'!A:A,"&gt;="&amp;$B$4,'Teacher Rankings'!A:A,"&lt;="&amp;$B$5),0)))</f>
        <v/>
      </c>
      <c r="E198">
        <f>IF($A198="","",IF($C198=0,"",MAXIFS('Teacher Rankings'!I:I,'Teacher Rankings'!B:B,$A198,'Teacher Rankings'!A:A,"&gt;="&amp;$B$4,'Teacher Rankings'!A:A,"&lt;="&amp;$B$5)))</f>
        <v/>
      </c>
      <c r="F198">
        <f>IF($A198="","",IF($C198=0,"",MINIFS('Teacher Rankings'!I:I,'Teacher Rankings'!B:B,$A198,'Teacher Rankings'!A:A,"&gt;="&amp;$B$4,'Teacher Rankings'!A:A,"&lt;="&amp;$B$5)))</f>
        <v/>
      </c>
      <c r="G198">
        <f>IF($D198="","",RANK($D198,$D$8:$D$207,0))</f>
        <v/>
      </c>
      <c r="H198">
        <f>IF($D198="","",IF($D198&gt;=90,"Outstanding",IF($D198&gt;=75,"Very Good",IF($D198&gt;=60,"Good","Needs Support"))))</f>
        <v/>
      </c>
    </row>
    <row r="199">
      <c r="A199">
        <f>IF(Teachers!A193="","",Teachers!A193)</f>
        <v/>
      </c>
      <c r="B199">
        <f>IF(Teachers!A193="","",Teachers!B193)</f>
        <v/>
      </c>
      <c r="C199">
        <f>IF($A199="","",COUNTIFS('Teacher Rankings'!B:B,$A199,'Teacher Rankings'!A:A,"&gt;="&amp;$B$4,'Teacher Rankings'!A:A,"&lt;="&amp;$B$5))</f>
        <v/>
      </c>
      <c r="D199">
        <f>IF($A199="","",IF($C199=0,"",ROUND(AVERAGEIFS('Teacher Rankings'!I:I,'Teacher Rankings'!B:B,$A199,'Teacher Rankings'!A:A,"&gt;="&amp;$B$4,'Teacher Rankings'!A:A,"&lt;="&amp;$B$5),0)))</f>
        <v/>
      </c>
      <c r="E199">
        <f>IF($A199="","",IF($C199=0,"",MAXIFS('Teacher Rankings'!I:I,'Teacher Rankings'!B:B,$A199,'Teacher Rankings'!A:A,"&gt;="&amp;$B$4,'Teacher Rankings'!A:A,"&lt;="&amp;$B$5)))</f>
        <v/>
      </c>
      <c r="F199">
        <f>IF($A199="","",IF($C199=0,"",MINIFS('Teacher Rankings'!I:I,'Teacher Rankings'!B:B,$A199,'Teacher Rankings'!A:A,"&gt;="&amp;$B$4,'Teacher Rankings'!A:A,"&lt;="&amp;$B$5)))</f>
        <v/>
      </c>
      <c r="G199">
        <f>IF($D199="","",RANK($D199,$D$8:$D$207,0))</f>
        <v/>
      </c>
      <c r="H199">
        <f>IF($D199="","",IF($D199&gt;=90,"Outstanding",IF($D199&gt;=75,"Very Good",IF($D199&gt;=60,"Good","Needs Support"))))</f>
        <v/>
      </c>
    </row>
    <row r="200">
      <c r="A200">
        <f>IF(Teachers!A194="","",Teachers!A194)</f>
        <v/>
      </c>
      <c r="B200">
        <f>IF(Teachers!A194="","",Teachers!B194)</f>
        <v/>
      </c>
      <c r="C200">
        <f>IF($A200="","",COUNTIFS('Teacher Rankings'!B:B,$A200,'Teacher Rankings'!A:A,"&gt;="&amp;$B$4,'Teacher Rankings'!A:A,"&lt;="&amp;$B$5))</f>
        <v/>
      </c>
      <c r="D200">
        <f>IF($A200="","",IF($C200=0,"",ROUND(AVERAGEIFS('Teacher Rankings'!I:I,'Teacher Rankings'!B:B,$A200,'Teacher Rankings'!A:A,"&gt;="&amp;$B$4,'Teacher Rankings'!A:A,"&lt;="&amp;$B$5),0)))</f>
        <v/>
      </c>
      <c r="E200">
        <f>IF($A200="","",IF($C200=0,"",MAXIFS('Teacher Rankings'!I:I,'Teacher Rankings'!B:B,$A200,'Teacher Rankings'!A:A,"&gt;="&amp;$B$4,'Teacher Rankings'!A:A,"&lt;="&amp;$B$5)))</f>
        <v/>
      </c>
      <c r="F200">
        <f>IF($A200="","",IF($C200=0,"",MINIFS('Teacher Rankings'!I:I,'Teacher Rankings'!B:B,$A200,'Teacher Rankings'!A:A,"&gt;="&amp;$B$4,'Teacher Rankings'!A:A,"&lt;="&amp;$B$5)))</f>
        <v/>
      </c>
      <c r="G200">
        <f>IF($D200="","",RANK($D200,$D$8:$D$207,0))</f>
        <v/>
      </c>
      <c r="H200">
        <f>IF($D200="","",IF($D200&gt;=90,"Outstanding",IF($D200&gt;=75,"Very Good",IF($D200&gt;=60,"Good","Needs Support"))))</f>
        <v/>
      </c>
    </row>
    <row r="201">
      <c r="A201">
        <f>IF(Teachers!A195="","",Teachers!A195)</f>
        <v/>
      </c>
      <c r="B201">
        <f>IF(Teachers!A195="","",Teachers!B195)</f>
        <v/>
      </c>
      <c r="C201">
        <f>IF($A201="","",COUNTIFS('Teacher Rankings'!B:B,$A201,'Teacher Rankings'!A:A,"&gt;="&amp;$B$4,'Teacher Rankings'!A:A,"&lt;="&amp;$B$5))</f>
        <v/>
      </c>
      <c r="D201">
        <f>IF($A201="","",IF($C201=0,"",ROUND(AVERAGEIFS('Teacher Rankings'!I:I,'Teacher Rankings'!B:B,$A201,'Teacher Rankings'!A:A,"&gt;="&amp;$B$4,'Teacher Rankings'!A:A,"&lt;="&amp;$B$5),0)))</f>
        <v/>
      </c>
      <c r="E201">
        <f>IF($A201="","",IF($C201=0,"",MAXIFS('Teacher Rankings'!I:I,'Teacher Rankings'!B:B,$A201,'Teacher Rankings'!A:A,"&gt;="&amp;$B$4,'Teacher Rankings'!A:A,"&lt;="&amp;$B$5)))</f>
        <v/>
      </c>
      <c r="F201">
        <f>IF($A201="","",IF($C201=0,"",MINIFS('Teacher Rankings'!I:I,'Teacher Rankings'!B:B,$A201,'Teacher Rankings'!A:A,"&gt;="&amp;$B$4,'Teacher Rankings'!A:A,"&lt;="&amp;$B$5)))</f>
        <v/>
      </c>
      <c r="G201">
        <f>IF($D201="","",RANK($D201,$D$8:$D$207,0))</f>
        <v/>
      </c>
      <c r="H201">
        <f>IF($D201="","",IF($D201&gt;=90,"Outstanding",IF($D201&gt;=75,"Very Good",IF($D201&gt;=60,"Good","Needs Support"))))</f>
        <v/>
      </c>
    </row>
    <row r="202">
      <c r="A202">
        <f>IF(Teachers!A196="","",Teachers!A196)</f>
        <v/>
      </c>
      <c r="B202">
        <f>IF(Teachers!A196="","",Teachers!B196)</f>
        <v/>
      </c>
      <c r="C202">
        <f>IF($A202="","",COUNTIFS('Teacher Rankings'!B:B,$A202,'Teacher Rankings'!A:A,"&gt;="&amp;$B$4,'Teacher Rankings'!A:A,"&lt;="&amp;$B$5))</f>
        <v/>
      </c>
      <c r="D202">
        <f>IF($A202="","",IF($C202=0,"",ROUND(AVERAGEIFS('Teacher Rankings'!I:I,'Teacher Rankings'!B:B,$A202,'Teacher Rankings'!A:A,"&gt;="&amp;$B$4,'Teacher Rankings'!A:A,"&lt;="&amp;$B$5),0)))</f>
        <v/>
      </c>
      <c r="E202">
        <f>IF($A202="","",IF($C202=0,"",MAXIFS('Teacher Rankings'!I:I,'Teacher Rankings'!B:B,$A202,'Teacher Rankings'!A:A,"&gt;="&amp;$B$4,'Teacher Rankings'!A:A,"&lt;="&amp;$B$5)))</f>
        <v/>
      </c>
      <c r="F202">
        <f>IF($A202="","",IF($C202=0,"",MINIFS('Teacher Rankings'!I:I,'Teacher Rankings'!B:B,$A202,'Teacher Rankings'!A:A,"&gt;="&amp;$B$4,'Teacher Rankings'!A:A,"&lt;="&amp;$B$5)))</f>
        <v/>
      </c>
      <c r="G202">
        <f>IF($D202="","",RANK($D202,$D$8:$D$207,0))</f>
        <v/>
      </c>
      <c r="H202">
        <f>IF($D202="","",IF($D202&gt;=90,"Outstanding",IF($D202&gt;=75,"Very Good",IF($D202&gt;=60,"Good","Needs Support"))))</f>
        <v/>
      </c>
    </row>
    <row r="203">
      <c r="A203">
        <f>IF(Teachers!A197="","",Teachers!A197)</f>
        <v/>
      </c>
      <c r="B203">
        <f>IF(Teachers!A197="","",Teachers!B197)</f>
        <v/>
      </c>
      <c r="C203">
        <f>IF($A203="","",COUNTIFS('Teacher Rankings'!B:B,$A203,'Teacher Rankings'!A:A,"&gt;="&amp;$B$4,'Teacher Rankings'!A:A,"&lt;="&amp;$B$5))</f>
        <v/>
      </c>
      <c r="D203">
        <f>IF($A203="","",IF($C203=0,"",ROUND(AVERAGEIFS('Teacher Rankings'!I:I,'Teacher Rankings'!B:B,$A203,'Teacher Rankings'!A:A,"&gt;="&amp;$B$4,'Teacher Rankings'!A:A,"&lt;="&amp;$B$5),0)))</f>
        <v/>
      </c>
      <c r="E203">
        <f>IF($A203="","",IF($C203=0,"",MAXIFS('Teacher Rankings'!I:I,'Teacher Rankings'!B:B,$A203,'Teacher Rankings'!A:A,"&gt;="&amp;$B$4,'Teacher Rankings'!A:A,"&lt;="&amp;$B$5)))</f>
        <v/>
      </c>
      <c r="F203">
        <f>IF($A203="","",IF($C203=0,"",MINIFS('Teacher Rankings'!I:I,'Teacher Rankings'!B:B,$A203,'Teacher Rankings'!A:A,"&gt;="&amp;$B$4,'Teacher Rankings'!A:A,"&lt;="&amp;$B$5)))</f>
        <v/>
      </c>
      <c r="G203">
        <f>IF($D203="","",RANK($D203,$D$8:$D$207,0))</f>
        <v/>
      </c>
      <c r="H203">
        <f>IF($D203="","",IF($D203&gt;=90,"Outstanding",IF($D203&gt;=75,"Very Good",IF($D203&gt;=60,"Good","Needs Support"))))</f>
        <v/>
      </c>
    </row>
    <row r="204">
      <c r="A204">
        <f>IF(Teachers!A198="","",Teachers!A198)</f>
        <v/>
      </c>
      <c r="B204">
        <f>IF(Teachers!A198="","",Teachers!B198)</f>
        <v/>
      </c>
      <c r="C204">
        <f>IF($A204="","",COUNTIFS('Teacher Rankings'!B:B,$A204,'Teacher Rankings'!A:A,"&gt;="&amp;$B$4,'Teacher Rankings'!A:A,"&lt;="&amp;$B$5))</f>
        <v/>
      </c>
      <c r="D204">
        <f>IF($A204="","",IF($C204=0,"",ROUND(AVERAGEIFS('Teacher Rankings'!I:I,'Teacher Rankings'!B:B,$A204,'Teacher Rankings'!A:A,"&gt;="&amp;$B$4,'Teacher Rankings'!A:A,"&lt;="&amp;$B$5),0)))</f>
        <v/>
      </c>
      <c r="E204">
        <f>IF($A204="","",IF($C204=0,"",MAXIFS('Teacher Rankings'!I:I,'Teacher Rankings'!B:B,$A204,'Teacher Rankings'!A:A,"&gt;="&amp;$B$4,'Teacher Rankings'!A:A,"&lt;="&amp;$B$5)))</f>
        <v/>
      </c>
      <c r="F204">
        <f>IF($A204="","",IF($C204=0,"",MINIFS('Teacher Rankings'!I:I,'Teacher Rankings'!B:B,$A204,'Teacher Rankings'!A:A,"&gt;="&amp;$B$4,'Teacher Rankings'!A:A,"&lt;="&amp;$B$5)))</f>
        <v/>
      </c>
      <c r="G204">
        <f>IF($D204="","",RANK($D204,$D$8:$D$207,0))</f>
        <v/>
      </c>
      <c r="H204">
        <f>IF($D204="","",IF($D204&gt;=90,"Outstanding",IF($D204&gt;=75,"Very Good",IF($D204&gt;=60,"Good","Needs Support"))))</f>
        <v/>
      </c>
    </row>
    <row r="205">
      <c r="A205">
        <f>IF(Teachers!A199="","",Teachers!A199)</f>
        <v/>
      </c>
      <c r="B205">
        <f>IF(Teachers!A199="","",Teachers!B199)</f>
        <v/>
      </c>
      <c r="C205">
        <f>IF($A205="","",COUNTIFS('Teacher Rankings'!B:B,$A205,'Teacher Rankings'!A:A,"&gt;="&amp;$B$4,'Teacher Rankings'!A:A,"&lt;="&amp;$B$5))</f>
        <v/>
      </c>
      <c r="D205">
        <f>IF($A205="","",IF($C205=0,"",ROUND(AVERAGEIFS('Teacher Rankings'!I:I,'Teacher Rankings'!B:B,$A205,'Teacher Rankings'!A:A,"&gt;="&amp;$B$4,'Teacher Rankings'!A:A,"&lt;="&amp;$B$5),0)))</f>
        <v/>
      </c>
      <c r="E205">
        <f>IF($A205="","",IF($C205=0,"",MAXIFS('Teacher Rankings'!I:I,'Teacher Rankings'!B:B,$A205,'Teacher Rankings'!A:A,"&gt;="&amp;$B$4,'Teacher Rankings'!A:A,"&lt;="&amp;$B$5)))</f>
        <v/>
      </c>
      <c r="F205">
        <f>IF($A205="","",IF($C205=0,"",MINIFS('Teacher Rankings'!I:I,'Teacher Rankings'!B:B,$A205,'Teacher Rankings'!A:A,"&gt;="&amp;$B$4,'Teacher Rankings'!A:A,"&lt;="&amp;$B$5)))</f>
        <v/>
      </c>
      <c r="G205">
        <f>IF($D205="","",RANK($D205,$D$8:$D$207,0))</f>
        <v/>
      </c>
      <c r="H205">
        <f>IF($D205="","",IF($D205&gt;=90,"Outstanding",IF($D205&gt;=75,"Very Good",IF($D205&gt;=60,"Good","Needs Support"))))</f>
        <v/>
      </c>
    </row>
    <row r="206">
      <c r="A206">
        <f>IF(Teachers!A200="","",Teachers!A200)</f>
        <v/>
      </c>
      <c r="B206">
        <f>IF(Teachers!A200="","",Teachers!B200)</f>
        <v/>
      </c>
      <c r="C206">
        <f>IF($A206="","",COUNTIFS('Teacher Rankings'!B:B,$A206,'Teacher Rankings'!A:A,"&gt;="&amp;$B$4,'Teacher Rankings'!A:A,"&lt;="&amp;$B$5))</f>
        <v/>
      </c>
      <c r="D206">
        <f>IF($A206="","",IF($C206=0,"",ROUND(AVERAGEIFS('Teacher Rankings'!I:I,'Teacher Rankings'!B:B,$A206,'Teacher Rankings'!A:A,"&gt;="&amp;$B$4,'Teacher Rankings'!A:A,"&lt;="&amp;$B$5),0)))</f>
        <v/>
      </c>
      <c r="E206">
        <f>IF($A206="","",IF($C206=0,"",MAXIFS('Teacher Rankings'!I:I,'Teacher Rankings'!B:B,$A206,'Teacher Rankings'!A:A,"&gt;="&amp;$B$4,'Teacher Rankings'!A:A,"&lt;="&amp;$B$5)))</f>
        <v/>
      </c>
      <c r="F206">
        <f>IF($A206="","",IF($C206=0,"",MINIFS('Teacher Rankings'!I:I,'Teacher Rankings'!B:B,$A206,'Teacher Rankings'!A:A,"&gt;="&amp;$B$4,'Teacher Rankings'!A:A,"&lt;="&amp;$B$5)))</f>
        <v/>
      </c>
      <c r="G206">
        <f>IF($D206="","",RANK($D206,$D$8:$D$207,0))</f>
        <v/>
      </c>
      <c r="H206">
        <f>IF($D206="","",IF($D206&gt;=90,"Outstanding",IF($D206&gt;=75,"Very Good",IF($D206&gt;=60,"Good","Needs Support"))))</f>
        <v/>
      </c>
    </row>
    <row r="207">
      <c r="A207">
        <f>IF(Teachers!A201="","",Teachers!A201)</f>
        <v/>
      </c>
      <c r="B207">
        <f>IF(Teachers!A201="","",Teachers!B201)</f>
        <v/>
      </c>
      <c r="C207">
        <f>IF($A207="","",COUNTIFS('Teacher Rankings'!B:B,$A207,'Teacher Rankings'!A:A,"&gt;="&amp;$B$4,'Teacher Rankings'!A:A,"&lt;="&amp;$B$5))</f>
        <v/>
      </c>
      <c r="D207">
        <f>IF($A207="","",IF($C207=0,"",ROUND(AVERAGEIFS('Teacher Rankings'!I:I,'Teacher Rankings'!B:B,$A207,'Teacher Rankings'!A:A,"&gt;="&amp;$B$4,'Teacher Rankings'!A:A,"&lt;="&amp;$B$5),0)))</f>
        <v/>
      </c>
      <c r="E207">
        <f>IF($A207="","",IF($C207=0,"",MAXIFS('Teacher Rankings'!I:I,'Teacher Rankings'!B:B,$A207,'Teacher Rankings'!A:A,"&gt;="&amp;$B$4,'Teacher Rankings'!A:A,"&lt;="&amp;$B$5)))</f>
        <v/>
      </c>
      <c r="F207">
        <f>IF($A207="","",IF($C207=0,"",MINIFS('Teacher Rankings'!I:I,'Teacher Rankings'!B:B,$A207,'Teacher Rankings'!A:A,"&gt;="&amp;$B$4,'Teacher Rankings'!A:A,"&lt;="&amp;$B$5)))</f>
        <v/>
      </c>
      <c r="G207">
        <f>IF($D207="","",RANK($D207,$D$8:$D$207,0))</f>
        <v/>
      </c>
      <c r="H207">
        <f>IF($D207="","",IF($D207&gt;=90,"Outstanding",IF($D207&gt;=75,"Very Good",IF($D207&gt;=60,"Good","Needs Support"))))</f>
        <v/>
      </c>
    </row>
    <row r="210">
      <c r="A210" s="3" t="inlineStr">
        <is>
          <t>Note: This term ranking uses Average Score from 'Teacher Rankings' between Term Start and Term End dates in 'Term Summary'.</t>
        </is>
      </c>
    </row>
  </sheetData>
  <dataValidations count="2">
    <dataValidation sqref="A8:A207" showDropDown="0" showInputMessage="0" showErrorMessage="0" allowBlank="1" type="list">
      <formula1>=Teachers!$A$2:$A$500</formula1>
    </dataValidation>
    <dataValidation sqref="B8:B207" showDropDown="0" showInputMessage="0" showErrorMessage="0" allowBlank="1" type="list">
      <formula1>"Upper,Lower"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2" customWidth="1" min="4" max="4"/>
    <col width="20" customWidth="1" min="5" max="5"/>
    <col width="14" customWidth="1" min="6" max="6"/>
    <col width="12" customWidth="1" min="7" max="7"/>
    <col width="18" customWidth="1" min="8" max="8"/>
    <col width="18" customWidth="1" min="9" max="9"/>
    <col width="12" customWidth="1" min="11" max="11"/>
    <col width="22" customWidth="1" min="12" max="12"/>
    <col width="10" customWidth="1" min="13" max="13"/>
    <col width="12" customWidth="1" min="14" max="14"/>
    <col width="22" customWidth="1" min="15" max="15"/>
    <col width="10" customWidth="1" min="16" max="16"/>
    <col width="12" customWidth="1" min="17" max="17"/>
    <col width="22" customWidth="1" min="18" max="18"/>
    <col width="10" customWidth="1" min="19" max="19"/>
    <col width="12" customWidth="1" min="20" max="20"/>
    <col width="22" customWidth="1" min="21" max="21"/>
    <col width="10" customWidth="1" min="22" max="22"/>
    <col width="12" customWidth="1" min="23" max="23"/>
    <col width="22" customWidth="1" min="24" max="24"/>
    <col width="10" customWidth="1" min="25" max="25"/>
  </cols>
  <sheetData>
    <row r="1">
      <c r="A1" s="4" t="inlineStr">
        <is>
          <t>ROYAL KINGS PREMIER SCHOOL</t>
        </is>
      </c>
    </row>
    <row r="2">
      <c r="A2" s="3" t="inlineStr">
        <is>
          <t>TEACHER AWARDS CATEGORIES (TERM)</t>
        </is>
      </c>
    </row>
    <row r="4">
      <c r="A4" s="2" t="inlineStr">
        <is>
          <t>Term Start (Week 1 Ending Date)</t>
        </is>
      </c>
      <c r="B4">
        <f>INDEX('Term Summary'!B:B,2)</f>
        <v/>
      </c>
      <c r="K4" s="3" t="inlineStr">
        <is>
          <t>AWARDS (TOP 5)</t>
        </is>
      </c>
    </row>
    <row r="5">
      <c r="A5" s="2" t="inlineStr">
        <is>
          <t>Term End (Week 14 Ending Date)</t>
        </is>
      </c>
      <c r="B5">
        <f>INDEX('Term Summary'!B:B,15)</f>
        <v/>
      </c>
    </row>
    <row r="6">
      <c r="K6" s="6" t="inlineStr">
        <is>
          <t>Most Improved</t>
        </is>
      </c>
      <c r="N6" s="6" t="inlineStr">
        <is>
          <t>Best Punctuality</t>
        </is>
      </c>
      <c r="Q6" s="6" t="inlineStr">
        <is>
          <t>Best Marking</t>
        </is>
      </c>
      <c r="T6" s="6" t="inlineStr">
        <is>
          <t>Best Syllabus Coverage</t>
        </is>
      </c>
      <c r="W6" s="6" t="inlineStr">
        <is>
          <t>Best Class Management</t>
        </is>
      </c>
    </row>
    <row r="7">
      <c r="A7" s="1" t="inlineStr">
        <is>
          <t>Teacher Name</t>
        </is>
      </c>
      <c r="B7" s="1" t="inlineStr">
        <is>
          <t>Campus</t>
        </is>
      </c>
      <c r="C7" s="1" t="inlineStr">
        <is>
          <t>Weeks Reported</t>
        </is>
      </c>
      <c r="D7" s="1" t="inlineStr">
        <is>
          <t>Avg Score</t>
        </is>
      </c>
      <c r="E7" s="1" t="inlineStr">
        <is>
          <t>Most Improved (End-Start)</t>
        </is>
      </c>
      <c r="F7" s="1" t="inlineStr">
        <is>
          <t>Punctuality %</t>
        </is>
      </c>
      <c r="G7" s="1" t="inlineStr">
        <is>
          <t>Marking %</t>
        </is>
      </c>
      <c r="H7" s="1" t="inlineStr">
        <is>
          <t>Syllabus On-Track %</t>
        </is>
      </c>
      <c r="I7" s="1" t="inlineStr">
        <is>
          <t>Class Management %</t>
        </is>
      </c>
      <c r="K7" s="6" t="inlineStr">
        <is>
          <t>Rank</t>
        </is>
      </c>
      <c r="L7" s="6" t="inlineStr">
        <is>
          <t>Teacher</t>
        </is>
      </c>
      <c r="M7" s="6" t="inlineStr">
        <is>
          <t>Value</t>
        </is>
      </c>
      <c r="N7" s="6" t="inlineStr">
        <is>
          <t>Rank</t>
        </is>
      </c>
      <c r="O7" s="6" t="inlineStr">
        <is>
          <t>Teacher</t>
        </is>
      </c>
      <c r="P7" s="6" t="inlineStr">
        <is>
          <t>Value</t>
        </is>
      </c>
      <c r="Q7" s="6" t="inlineStr">
        <is>
          <t>Rank</t>
        </is>
      </c>
      <c r="R7" s="6" t="inlineStr">
        <is>
          <t>Teacher</t>
        </is>
      </c>
      <c r="S7" s="6" t="inlineStr">
        <is>
          <t>Value</t>
        </is>
      </c>
      <c r="T7" s="6" t="inlineStr">
        <is>
          <t>Rank</t>
        </is>
      </c>
      <c r="U7" s="6" t="inlineStr">
        <is>
          <t>Teacher</t>
        </is>
      </c>
      <c r="V7" s="6" t="inlineStr">
        <is>
          <t>Value</t>
        </is>
      </c>
      <c r="W7" s="6" t="inlineStr">
        <is>
          <t>Rank</t>
        </is>
      </c>
      <c r="X7" s="6" t="inlineStr">
        <is>
          <t>Teacher</t>
        </is>
      </c>
      <c r="Y7" s="6" t="inlineStr">
        <is>
          <t>Value</t>
        </is>
      </c>
    </row>
    <row r="8">
      <c r="A8">
        <f>IF(Teachers!A2="","",Teachers!A2)</f>
        <v/>
      </c>
      <c r="B8">
        <f>IF($A8="","",Teachers!B2)</f>
        <v/>
      </c>
      <c r="C8">
        <f>IF($A8="","",COUNTIFS('Teacher Rankings'!B:B,$A8,'Teacher Rankings'!A:A,"&gt;="&amp;$B$4,'Teacher Rankings'!A:A,"&lt;="&amp;$B$5))</f>
        <v/>
      </c>
      <c r="D8">
        <f>IF($C8=0,"",ROUND(AVERAGEIFS('Teacher Rankings'!I:I,'Teacher Rankings'!B:B,$A8,'Teacher Rankings'!A:A,"&gt;="&amp;$B$4,'Teacher Rankings'!A:A,"&lt;="&amp;$B$5),0))</f>
        <v/>
      </c>
      <c r="E8">
        <f>IF($C8=0,"",IFERROR(INDEX('Teacher Rankings'!I:I,MATCH(1,('Teacher Rankings'!B:B=$A8)*('Teacher Rankings'!A:A=$B$5),0)),0) - IFERROR(INDEX('Teacher Rankings'!I:I,MATCH(1,('Teacher Rankings'!B:B=$A8)*('Teacher Rankings'!A:A=$B$4),0)),0))</f>
        <v/>
      </c>
      <c r="F8">
        <f>IF($C8=0,"",ROUND(100*COUNTIFS('Teacher Rankings'!B:B,$A8,'Teacher Rankings'!A:A,"&gt;="&amp;$B$4,'Teacher Rankings'!A:A,"&lt;="&amp;$B$5,'Teacher Rankings'!F:F,20)/$C8,0))</f>
        <v/>
      </c>
      <c r="G8">
        <f>IF($C8=0,"",ROUND(100*COUNTIFS('Teacher Rankings'!B:B,$A8,'Teacher Rankings'!A:A,"&gt;="&amp;$B$4,'Teacher Rankings'!A:A,"&lt;="&amp;$B$5,'Teacher Rankings'!D:D,20)/$C8,0))</f>
        <v/>
      </c>
      <c r="H8">
        <f>IF($C8=0,"",ROUND(100*COUNTIFS('Teacher Rankings'!B:B,$A8,'Teacher Rankings'!A:A,"&gt;="&amp;$B$4,'Teacher Rankings'!A:A,"&lt;="&amp;$B$5,'Teacher Rankings'!H:H,20)/$C8,0))</f>
        <v/>
      </c>
      <c r="I8">
        <f>IF($C8=0,"",ROUND(100*COUNTIFS('Teacher Rankings'!B:B,$A8,'Teacher Rankings'!A:A,"&gt;="&amp;$B$4,'Teacher Rankings'!A:A,"&lt;="&amp;$B$5,'Teacher Rankings'!G:G,20)/$C8,0))</f>
        <v/>
      </c>
      <c r="K8" t="n">
        <v>1</v>
      </c>
      <c r="L8">
        <f>IF($M8="","",INDEX($A$8:$A$207,MATCH($M8,$E$8:$E$207,0)))</f>
        <v/>
      </c>
      <c r="M8">
        <f>IFERROR(LARGE($E$8:$E$207,1),"")</f>
        <v/>
      </c>
      <c r="N8" t="n">
        <v>1</v>
      </c>
      <c r="O8">
        <f>IF($P8="","",INDEX($A$8:$A$207,MATCH($P8,$F$8:$F$207,0)))</f>
        <v/>
      </c>
      <c r="P8">
        <f>IFERROR(LARGE($F$8:$F$207,1),"")</f>
        <v/>
      </c>
      <c r="Q8" t="n">
        <v>1</v>
      </c>
      <c r="R8">
        <f>IF($S8="","",INDEX($A$8:$A$207,MATCH($S8,$G$8:$G$207,0)))</f>
        <v/>
      </c>
      <c r="S8">
        <f>IFERROR(LARGE($G$8:$G$207,1),"")</f>
        <v/>
      </c>
      <c r="T8" t="n">
        <v>1</v>
      </c>
      <c r="U8">
        <f>IF($V8="","",INDEX($A$8:$A$207,MATCH($V8,$H$8:$H$207,0)))</f>
        <v/>
      </c>
      <c r="V8">
        <f>IFERROR(LARGE($H$8:$H$207,1),"")</f>
        <v/>
      </c>
      <c r="W8" t="n">
        <v>1</v>
      </c>
      <c r="X8">
        <f>IF($Y8="","",INDEX($A$8:$A$207,MATCH($Y8,$I$8:$I$207,0)))</f>
        <v/>
      </c>
      <c r="Y8">
        <f>IFERROR(LARGE($I$8:$I$207,1),"")</f>
        <v/>
      </c>
    </row>
    <row r="9">
      <c r="A9">
        <f>IF(Teachers!A3="","",Teachers!A3)</f>
        <v/>
      </c>
      <c r="B9">
        <f>IF($A9="","",Teachers!B3)</f>
        <v/>
      </c>
      <c r="C9">
        <f>IF($A9="","",COUNTIFS('Teacher Rankings'!B:B,$A9,'Teacher Rankings'!A:A,"&gt;="&amp;$B$4,'Teacher Rankings'!A:A,"&lt;="&amp;$B$5))</f>
        <v/>
      </c>
      <c r="D9">
        <f>IF($C9=0,"",ROUND(AVERAGEIFS('Teacher Rankings'!I:I,'Teacher Rankings'!B:B,$A9,'Teacher Rankings'!A:A,"&gt;="&amp;$B$4,'Teacher Rankings'!A:A,"&lt;="&amp;$B$5),0))</f>
        <v/>
      </c>
      <c r="E9">
        <f>IF($C9=0,"",IFERROR(INDEX('Teacher Rankings'!I:I,MATCH(1,('Teacher Rankings'!B:B=$A9)*('Teacher Rankings'!A:A=$B$5),0)),0) - IFERROR(INDEX('Teacher Rankings'!I:I,MATCH(1,('Teacher Rankings'!B:B=$A9)*('Teacher Rankings'!A:A=$B$4),0)),0))</f>
        <v/>
      </c>
      <c r="F9">
        <f>IF($C9=0,"",ROUND(100*COUNTIFS('Teacher Rankings'!B:B,$A9,'Teacher Rankings'!A:A,"&gt;="&amp;$B$4,'Teacher Rankings'!A:A,"&lt;="&amp;$B$5,'Teacher Rankings'!F:F,20)/$C9,0))</f>
        <v/>
      </c>
      <c r="G9">
        <f>IF($C9=0,"",ROUND(100*COUNTIFS('Teacher Rankings'!B:B,$A9,'Teacher Rankings'!A:A,"&gt;="&amp;$B$4,'Teacher Rankings'!A:A,"&lt;="&amp;$B$5,'Teacher Rankings'!D:D,20)/$C9,0))</f>
        <v/>
      </c>
      <c r="H9">
        <f>IF($C9=0,"",ROUND(100*COUNTIFS('Teacher Rankings'!B:B,$A9,'Teacher Rankings'!A:A,"&gt;="&amp;$B$4,'Teacher Rankings'!A:A,"&lt;="&amp;$B$5,'Teacher Rankings'!H:H,20)/$C9,0))</f>
        <v/>
      </c>
      <c r="I9">
        <f>IF($C9=0,"",ROUND(100*COUNTIFS('Teacher Rankings'!B:B,$A9,'Teacher Rankings'!A:A,"&gt;="&amp;$B$4,'Teacher Rankings'!A:A,"&lt;="&amp;$B$5,'Teacher Rankings'!G:G,20)/$C9,0))</f>
        <v/>
      </c>
      <c r="K9" t="n">
        <v>2</v>
      </c>
      <c r="L9">
        <f>IF($M9="","",INDEX($A$8:$A$207,MATCH($M9,$E$8:$E$207,0)))</f>
        <v/>
      </c>
      <c r="M9">
        <f>IFERROR(LARGE($E$8:$E$207,2),"")</f>
        <v/>
      </c>
      <c r="N9" t="n">
        <v>2</v>
      </c>
      <c r="O9">
        <f>IF($P9="","",INDEX($A$8:$A$207,MATCH($P9,$F$8:$F$207,0)))</f>
        <v/>
      </c>
      <c r="P9">
        <f>IFERROR(LARGE($F$8:$F$207,2),"")</f>
        <v/>
      </c>
      <c r="Q9" t="n">
        <v>2</v>
      </c>
      <c r="R9">
        <f>IF($S9="","",INDEX($A$8:$A$207,MATCH($S9,$G$8:$G$207,0)))</f>
        <v/>
      </c>
      <c r="S9">
        <f>IFERROR(LARGE($G$8:$G$207,2),"")</f>
        <v/>
      </c>
      <c r="T9" t="n">
        <v>2</v>
      </c>
      <c r="U9">
        <f>IF($V9="","",INDEX($A$8:$A$207,MATCH($V9,$H$8:$H$207,0)))</f>
        <v/>
      </c>
      <c r="V9">
        <f>IFERROR(LARGE($H$8:$H$207,2),"")</f>
        <v/>
      </c>
      <c r="W9" t="n">
        <v>2</v>
      </c>
      <c r="X9">
        <f>IF($Y9="","",INDEX($A$8:$A$207,MATCH($Y9,$I$8:$I$207,0)))</f>
        <v/>
      </c>
      <c r="Y9">
        <f>IFERROR(LARGE($I$8:$I$207,2),"")</f>
        <v/>
      </c>
    </row>
    <row r="10">
      <c r="A10">
        <f>IF(Teachers!A4="","",Teachers!A4)</f>
        <v/>
      </c>
      <c r="B10">
        <f>IF($A10="","",Teachers!B4)</f>
        <v/>
      </c>
      <c r="C10">
        <f>IF($A10="","",COUNTIFS('Teacher Rankings'!B:B,$A10,'Teacher Rankings'!A:A,"&gt;="&amp;$B$4,'Teacher Rankings'!A:A,"&lt;="&amp;$B$5))</f>
        <v/>
      </c>
      <c r="D10">
        <f>IF($C10=0,"",ROUND(AVERAGEIFS('Teacher Rankings'!I:I,'Teacher Rankings'!B:B,$A10,'Teacher Rankings'!A:A,"&gt;="&amp;$B$4,'Teacher Rankings'!A:A,"&lt;="&amp;$B$5),0))</f>
        <v/>
      </c>
      <c r="E10">
        <f>IF($C10=0,"",IFERROR(INDEX('Teacher Rankings'!I:I,MATCH(1,('Teacher Rankings'!B:B=$A10)*('Teacher Rankings'!A:A=$B$5),0)),0) - IFERROR(INDEX('Teacher Rankings'!I:I,MATCH(1,('Teacher Rankings'!B:B=$A10)*('Teacher Rankings'!A:A=$B$4),0)),0))</f>
        <v/>
      </c>
      <c r="F10">
        <f>IF($C10=0,"",ROUND(100*COUNTIFS('Teacher Rankings'!B:B,$A10,'Teacher Rankings'!A:A,"&gt;="&amp;$B$4,'Teacher Rankings'!A:A,"&lt;="&amp;$B$5,'Teacher Rankings'!F:F,20)/$C10,0))</f>
        <v/>
      </c>
      <c r="G10">
        <f>IF($C10=0,"",ROUND(100*COUNTIFS('Teacher Rankings'!B:B,$A10,'Teacher Rankings'!A:A,"&gt;="&amp;$B$4,'Teacher Rankings'!A:A,"&lt;="&amp;$B$5,'Teacher Rankings'!D:D,20)/$C10,0))</f>
        <v/>
      </c>
      <c r="H10">
        <f>IF($C10=0,"",ROUND(100*COUNTIFS('Teacher Rankings'!B:B,$A10,'Teacher Rankings'!A:A,"&gt;="&amp;$B$4,'Teacher Rankings'!A:A,"&lt;="&amp;$B$5,'Teacher Rankings'!H:H,20)/$C10,0))</f>
        <v/>
      </c>
      <c r="I10">
        <f>IF($C10=0,"",ROUND(100*COUNTIFS('Teacher Rankings'!B:B,$A10,'Teacher Rankings'!A:A,"&gt;="&amp;$B$4,'Teacher Rankings'!A:A,"&lt;="&amp;$B$5,'Teacher Rankings'!G:G,20)/$C10,0))</f>
        <v/>
      </c>
      <c r="K10" t="n">
        <v>3</v>
      </c>
      <c r="L10">
        <f>IF($M10="","",INDEX($A$8:$A$207,MATCH($M10,$E$8:$E$207,0)))</f>
        <v/>
      </c>
      <c r="M10">
        <f>IFERROR(LARGE($E$8:$E$207,3),"")</f>
        <v/>
      </c>
      <c r="N10" t="n">
        <v>3</v>
      </c>
      <c r="O10">
        <f>IF($P10="","",INDEX($A$8:$A$207,MATCH($P10,$F$8:$F$207,0)))</f>
        <v/>
      </c>
      <c r="P10">
        <f>IFERROR(LARGE($F$8:$F$207,3),"")</f>
        <v/>
      </c>
      <c r="Q10" t="n">
        <v>3</v>
      </c>
      <c r="R10">
        <f>IF($S10="","",INDEX($A$8:$A$207,MATCH($S10,$G$8:$G$207,0)))</f>
        <v/>
      </c>
      <c r="S10">
        <f>IFERROR(LARGE($G$8:$G$207,3),"")</f>
        <v/>
      </c>
      <c r="T10" t="n">
        <v>3</v>
      </c>
      <c r="U10">
        <f>IF($V10="","",INDEX($A$8:$A$207,MATCH($V10,$H$8:$H$207,0)))</f>
        <v/>
      </c>
      <c r="V10">
        <f>IFERROR(LARGE($H$8:$H$207,3),"")</f>
        <v/>
      </c>
      <c r="W10" t="n">
        <v>3</v>
      </c>
      <c r="X10">
        <f>IF($Y10="","",INDEX($A$8:$A$207,MATCH($Y10,$I$8:$I$207,0)))</f>
        <v/>
      </c>
      <c r="Y10">
        <f>IFERROR(LARGE($I$8:$I$207,3),"")</f>
        <v/>
      </c>
    </row>
    <row r="11">
      <c r="A11">
        <f>IF(Teachers!A5="","",Teachers!A5)</f>
        <v/>
      </c>
      <c r="B11">
        <f>IF($A11="","",Teachers!B5)</f>
        <v/>
      </c>
      <c r="C11">
        <f>IF($A11="","",COUNTIFS('Teacher Rankings'!B:B,$A11,'Teacher Rankings'!A:A,"&gt;="&amp;$B$4,'Teacher Rankings'!A:A,"&lt;="&amp;$B$5))</f>
        <v/>
      </c>
      <c r="D11">
        <f>IF($C11=0,"",ROUND(AVERAGEIFS('Teacher Rankings'!I:I,'Teacher Rankings'!B:B,$A11,'Teacher Rankings'!A:A,"&gt;="&amp;$B$4,'Teacher Rankings'!A:A,"&lt;="&amp;$B$5),0))</f>
        <v/>
      </c>
      <c r="E11">
        <f>IF($C11=0,"",IFERROR(INDEX('Teacher Rankings'!I:I,MATCH(1,('Teacher Rankings'!B:B=$A11)*('Teacher Rankings'!A:A=$B$5),0)),0) - IFERROR(INDEX('Teacher Rankings'!I:I,MATCH(1,('Teacher Rankings'!B:B=$A11)*('Teacher Rankings'!A:A=$B$4),0)),0))</f>
        <v/>
      </c>
      <c r="F11">
        <f>IF($C11=0,"",ROUND(100*COUNTIFS('Teacher Rankings'!B:B,$A11,'Teacher Rankings'!A:A,"&gt;="&amp;$B$4,'Teacher Rankings'!A:A,"&lt;="&amp;$B$5,'Teacher Rankings'!F:F,20)/$C11,0))</f>
        <v/>
      </c>
      <c r="G11">
        <f>IF($C11=0,"",ROUND(100*COUNTIFS('Teacher Rankings'!B:B,$A11,'Teacher Rankings'!A:A,"&gt;="&amp;$B$4,'Teacher Rankings'!A:A,"&lt;="&amp;$B$5,'Teacher Rankings'!D:D,20)/$C11,0))</f>
        <v/>
      </c>
      <c r="H11">
        <f>IF($C11=0,"",ROUND(100*COUNTIFS('Teacher Rankings'!B:B,$A11,'Teacher Rankings'!A:A,"&gt;="&amp;$B$4,'Teacher Rankings'!A:A,"&lt;="&amp;$B$5,'Teacher Rankings'!H:H,20)/$C11,0))</f>
        <v/>
      </c>
      <c r="I11">
        <f>IF($C11=0,"",ROUND(100*COUNTIFS('Teacher Rankings'!B:B,$A11,'Teacher Rankings'!A:A,"&gt;="&amp;$B$4,'Teacher Rankings'!A:A,"&lt;="&amp;$B$5,'Teacher Rankings'!G:G,20)/$C11,0))</f>
        <v/>
      </c>
      <c r="K11" t="n">
        <v>4</v>
      </c>
      <c r="L11">
        <f>IF($M11="","",INDEX($A$8:$A$207,MATCH($M11,$E$8:$E$207,0)))</f>
        <v/>
      </c>
      <c r="M11">
        <f>IFERROR(LARGE($E$8:$E$207,4),"")</f>
        <v/>
      </c>
      <c r="N11" t="n">
        <v>4</v>
      </c>
      <c r="O11">
        <f>IF($P11="","",INDEX($A$8:$A$207,MATCH($P11,$F$8:$F$207,0)))</f>
        <v/>
      </c>
      <c r="P11">
        <f>IFERROR(LARGE($F$8:$F$207,4),"")</f>
        <v/>
      </c>
      <c r="Q11" t="n">
        <v>4</v>
      </c>
      <c r="R11">
        <f>IF($S11="","",INDEX($A$8:$A$207,MATCH($S11,$G$8:$G$207,0)))</f>
        <v/>
      </c>
      <c r="S11">
        <f>IFERROR(LARGE($G$8:$G$207,4),"")</f>
        <v/>
      </c>
      <c r="T11" t="n">
        <v>4</v>
      </c>
      <c r="U11">
        <f>IF($V11="","",INDEX($A$8:$A$207,MATCH($V11,$H$8:$H$207,0)))</f>
        <v/>
      </c>
      <c r="V11">
        <f>IFERROR(LARGE($H$8:$H$207,4),"")</f>
        <v/>
      </c>
      <c r="W11" t="n">
        <v>4</v>
      </c>
      <c r="X11">
        <f>IF($Y11="","",INDEX($A$8:$A$207,MATCH($Y11,$I$8:$I$207,0)))</f>
        <v/>
      </c>
      <c r="Y11">
        <f>IFERROR(LARGE($I$8:$I$207,4),"")</f>
        <v/>
      </c>
    </row>
    <row r="12">
      <c r="A12">
        <f>IF(Teachers!A6="","",Teachers!A6)</f>
        <v/>
      </c>
      <c r="B12">
        <f>IF($A12="","",Teachers!B6)</f>
        <v/>
      </c>
      <c r="C12">
        <f>IF($A12="","",COUNTIFS('Teacher Rankings'!B:B,$A12,'Teacher Rankings'!A:A,"&gt;="&amp;$B$4,'Teacher Rankings'!A:A,"&lt;="&amp;$B$5))</f>
        <v/>
      </c>
      <c r="D12">
        <f>IF($C12=0,"",ROUND(AVERAGEIFS('Teacher Rankings'!I:I,'Teacher Rankings'!B:B,$A12,'Teacher Rankings'!A:A,"&gt;="&amp;$B$4,'Teacher Rankings'!A:A,"&lt;="&amp;$B$5),0))</f>
        <v/>
      </c>
      <c r="E12">
        <f>IF($C12=0,"",IFERROR(INDEX('Teacher Rankings'!I:I,MATCH(1,('Teacher Rankings'!B:B=$A12)*('Teacher Rankings'!A:A=$B$5),0)),0) - IFERROR(INDEX('Teacher Rankings'!I:I,MATCH(1,('Teacher Rankings'!B:B=$A12)*('Teacher Rankings'!A:A=$B$4),0)),0))</f>
        <v/>
      </c>
      <c r="F12">
        <f>IF($C12=0,"",ROUND(100*COUNTIFS('Teacher Rankings'!B:B,$A12,'Teacher Rankings'!A:A,"&gt;="&amp;$B$4,'Teacher Rankings'!A:A,"&lt;="&amp;$B$5,'Teacher Rankings'!F:F,20)/$C12,0))</f>
        <v/>
      </c>
      <c r="G12">
        <f>IF($C12=0,"",ROUND(100*COUNTIFS('Teacher Rankings'!B:B,$A12,'Teacher Rankings'!A:A,"&gt;="&amp;$B$4,'Teacher Rankings'!A:A,"&lt;="&amp;$B$5,'Teacher Rankings'!D:D,20)/$C12,0))</f>
        <v/>
      </c>
      <c r="H12">
        <f>IF($C12=0,"",ROUND(100*COUNTIFS('Teacher Rankings'!B:B,$A12,'Teacher Rankings'!A:A,"&gt;="&amp;$B$4,'Teacher Rankings'!A:A,"&lt;="&amp;$B$5,'Teacher Rankings'!H:H,20)/$C12,0))</f>
        <v/>
      </c>
      <c r="I12">
        <f>IF($C12=0,"",ROUND(100*COUNTIFS('Teacher Rankings'!B:B,$A12,'Teacher Rankings'!A:A,"&gt;="&amp;$B$4,'Teacher Rankings'!A:A,"&lt;="&amp;$B$5,'Teacher Rankings'!G:G,20)/$C12,0))</f>
        <v/>
      </c>
      <c r="K12" t="n">
        <v>5</v>
      </c>
      <c r="L12">
        <f>IF($M12="","",INDEX($A$8:$A$207,MATCH($M12,$E$8:$E$207,0)))</f>
        <v/>
      </c>
      <c r="M12">
        <f>IFERROR(LARGE($E$8:$E$207,5),"")</f>
        <v/>
      </c>
      <c r="N12" t="n">
        <v>5</v>
      </c>
      <c r="O12">
        <f>IF($P12="","",INDEX($A$8:$A$207,MATCH($P12,$F$8:$F$207,0)))</f>
        <v/>
      </c>
      <c r="P12">
        <f>IFERROR(LARGE($F$8:$F$207,5),"")</f>
        <v/>
      </c>
      <c r="Q12" t="n">
        <v>5</v>
      </c>
      <c r="R12">
        <f>IF($S12="","",INDEX($A$8:$A$207,MATCH($S12,$G$8:$G$207,0)))</f>
        <v/>
      </c>
      <c r="S12">
        <f>IFERROR(LARGE($G$8:$G$207,5),"")</f>
        <v/>
      </c>
      <c r="T12" t="n">
        <v>5</v>
      </c>
      <c r="U12">
        <f>IF($V12="","",INDEX($A$8:$A$207,MATCH($V12,$H$8:$H$207,0)))</f>
        <v/>
      </c>
      <c r="V12">
        <f>IFERROR(LARGE($H$8:$H$207,5),"")</f>
        <v/>
      </c>
      <c r="W12" t="n">
        <v>5</v>
      </c>
      <c r="X12">
        <f>IF($Y12="","",INDEX($A$8:$A$207,MATCH($Y12,$I$8:$I$207,0)))</f>
        <v/>
      </c>
      <c r="Y12">
        <f>IFERROR(LARGE($I$8:$I$207,5),"")</f>
        <v/>
      </c>
    </row>
    <row r="13">
      <c r="A13">
        <f>IF(Teachers!A7="","",Teachers!A7)</f>
        <v/>
      </c>
      <c r="B13">
        <f>IF($A13="","",Teachers!B7)</f>
        <v/>
      </c>
      <c r="C13">
        <f>IF($A13="","",COUNTIFS('Teacher Rankings'!B:B,$A13,'Teacher Rankings'!A:A,"&gt;="&amp;$B$4,'Teacher Rankings'!A:A,"&lt;="&amp;$B$5))</f>
        <v/>
      </c>
      <c r="D13">
        <f>IF($C13=0,"",ROUND(AVERAGEIFS('Teacher Rankings'!I:I,'Teacher Rankings'!B:B,$A13,'Teacher Rankings'!A:A,"&gt;="&amp;$B$4,'Teacher Rankings'!A:A,"&lt;="&amp;$B$5),0))</f>
        <v/>
      </c>
      <c r="E13">
        <f>IF($C13=0,"",IFERROR(INDEX('Teacher Rankings'!I:I,MATCH(1,('Teacher Rankings'!B:B=$A13)*('Teacher Rankings'!A:A=$B$5),0)),0) - IFERROR(INDEX('Teacher Rankings'!I:I,MATCH(1,('Teacher Rankings'!B:B=$A13)*('Teacher Rankings'!A:A=$B$4),0)),0))</f>
        <v/>
      </c>
      <c r="F13">
        <f>IF($C13=0,"",ROUND(100*COUNTIFS('Teacher Rankings'!B:B,$A13,'Teacher Rankings'!A:A,"&gt;="&amp;$B$4,'Teacher Rankings'!A:A,"&lt;="&amp;$B$5,'Teacher Rankings'!F:F,20)/$C13,0))</f>
        <v/>
      </c>
      <c r="G13">
        <f>IF($C13=0,"",ROUND(100*COUNTIFS('Teacher Rankings'!B:B,$A13,'Teacher Rankings'!A:A,"&gt;="&amp;$B$4,'Teacher Rankings'!A:A,"&lt;="&amp;$B$5,'Teacher Rankings'!D:D,20)/$C13,0))</f>
        <v/>
      </c>
      <c r="H13">
        <f>IF($C13=0,"",ROUND(100*COUNTIFS('Teacher Rankings'!B:B,$A13,'Teacher Rankings'!A:A,"&gt;="&amp;$B$4,'Teacher Rankings'!A:A,"&lt;="&amp;$B$5,'Teacher Rankings'!H:H,20)/$C13,0))</f>
        <v/>
      </c>
      <c r="I13">
        <f>IF($C13=0,"",ROUND(100*COUNTIFS('Teacher Rankings'!B:B,$A13,'Teacher Rankings'!A:A,"&gt;="&amp;$B$4,'Teacher Rankings'!A:A,"&lt;="&amp;$B$5,'Teacher Rankings'!G:G,20)/$C13,0))</f>
        <v/>
      </c>
    </row>
    <row r="14">
      <c r="A14">
        <f>IF(Teachers!A8="","",Teachers!A8)</f>
        <v/>
      </c>
      <c r="B14">
        <f>IF($A14="","",Teachers!B8)</f>
        <v/>
      </c>
      <c r="C14">
        <f>IF($A14="","",COUNTIFS('Teacher Rankings'!B:B,$A14,'Teacher Rankings'!A:A,"&gt;="&amp;$B$4,'Teacher Rankings'!A:A,"&lt;="&amp;$B$5))</f>
        <v/>
      </c>
      <c r="D14">
        <f>IF($C14=0,"",ROUND(AVERAGEIFS('Teacher Rankings'!I:I,'Teacher Rankings'!B:B,$A14,'Teacher Rankings'!A:A,"&gt;="&amp;$B$4,'Teacher Rankings'!A:A,"&lt;="&amp;$B$5),0))</f>
        <v/>
      </c>
      <c r="E14">
        <f>IF($C14=0,"",IFERROR(INDEX('Teacher Rankings'!I:I,MATCH(1,('Teacher Rankings'!B:B=$A14)*('Teacher Rankings'!A:A=$B$5),0)),0) - IFERROR(INDEX('Teacher Rankings'!I:I,MATCH(1,('Teacher Rankings'!B:B=$A14)*('Teacher Rankings'!A:A=$B$4),0)),0))</f>
        <v/>
      </c>
      <c r="F14">
        <f>IF($C14=0,"",ROUND(100*COUNTIFS('Teacher Rankings'!B:B,$A14,'Teacher Rankings'!A:A,"&gt;="&amp;$B$4,'Teacher Rankings'!A:A,"&lt;="&amp;$B$5,'Teacher Rankings'!F:F,20)/$C14,0))</f>
        <v/>
      </c>
      <c r="G14">
        <f>IF($C14=0,"",ROUND(100*COUNTIFS('Teacher Rankings'!B:B,$A14,'Teacher Rankings'!A:A,"&gt;="&amp;$B$4,'Teacher Rankings'!A:A,"&lt;="&amp;$B$5,'Teacher Rankings'!D:D,20)/$C14,0))</f>
        <v/>
      </c>
      <c r="H14">
        <f>IF($C14=0,"",ROUND(100*COUNTIFS('Teacher Rankings'!B:B,$A14,'Teacher Rankings'!A:A,"&gt;="&amp;$B$4,'Teacher Rankings'!A:A,"&lt;="&amp;$B$5,'Teacher Rankings'!H:H,20)/$C14,0))</f>
        <v/>
      </c>
      <c r="I14">
        <f>IF($C14=0,"",ROUND(100*COUNTIFS('Teacher Rankings'!B:B,$A14,'Teacher Rankings'!A:A,"&gt;="&amp;$B$4,'Teacher Rankings'!A:A,"&lt;="&amp;$B$5,'Teacher Rankings'!G:G,20)/$C14,0))</f>
        <v/>
      </c>
    </row>
    <row r="15">
      <c r="A15">
        <f>IF(Teachers!A9="","",Teachers!A9)</f>
        <v/>
      </c>
      <c r="B15">
        <f>IF($A15="","",Teachers!B9)</f>
        <v/>
      </c>
      <c r="C15">
        <f>IF($A15="","",COUNTIFS('Teacher Rankings'!B:B,$A15,'Teacher Rankings'!A:A,"&gt;="&amp;$B$4,'Teacher Rankings'!A:A,"&lt;="&amp;$B$5))</f>
        <v/>
      </c>
      <c r="D15">
        <f>IF($C15=0,"",ROUND(AVERAGEIFS('Teacher Rankings'!I:I,'Teacher Rankings'!B:B,$A15,'Teacher Rankings'!A:A,"&gt;="&amp;$B$4,'Teacher Rankings'!A:A,"&lt;="&amp;$B$5),0))</f>
        <v/>
      </c>
      <c r="E15">
        <f>IF($C15=0,"",IFERROR(INDEX('Teacher Rankings'!I:I,MATCH(1,('Teacher Rankings'!B:B=$A15)*('Teacher Rankings'!A:A=$B$5),0)),0) - IFERROR(INDEX('Teacher Rankings'!I:I,MATCH(1,('Teacher Rankings'!B:B=$A15)*('Teacher Rankings'!A:A=$B$4),0)),0))</f>
        <v/>
      </c>
      <c r="F15">
        <f>IF($C15=0,"",ROUND(100*COUNTIFS('Teacher Rankings'!B:B,$A15,'Teacher Rankings'!A:A,"&gt;="&amp;$B$4,'Teacher Rankings'!A:A,"&lt;="&amp;$B$5,'Teacher Rankings'!F:F,20)/$C15,0))</f>
        <v/>
      </c>
      <c r="G15">
        <f>IF($C15=0,"",ROUND(100*COUNTIFS('Teacher Rankings'!B:B,$A15,'Teacher Rankings'!A:A,"&gt;="&amp;$B$4,'Teacher Rankings'!A:A,"&lt;="&amp;$B$5,'Teacher Rankings'!D:D,20)/$C15,0))</f>
        <v/>
      </c>
      <c r="H15">
        <f>IF($C15=0,"",ROUND(100*COUNTIFS('Teacher Rankings'!B:B,$A15,'Teacher Rankings'!A:A,"&gt;="&amp;$B$4,'Teacher Rankings'!A:A,"&lt;="&amp;$B$5,'Teacher Rankings'!H:H,20)/$C15,0))</f>
        <v/>
      </c>
      <c r="I15">
        <f>IF($C15=0,"",ROUND(100*COUNTIFS('Teacher Rankings'!B:B,$A15,'Teacher Rankings'!A:A,"&gt;="&amp;$B$4,'Teacher Rankings'!A:A,"&lt;="&amp;$B$5,'Teacher Rankings'!G:G,20)/$C15,0))</f>
        <v/>
      </c>
    </row>
    <row r="16">
      <c r="A16">
        <f>IF(Teachers!A10="","",Teachers!A10)</f>
        <v/>
      </c>
      <c r="B16">
        <f>IF($A16="","",Teachers!B10)</f>
        <v/>
      </c>
      <c r="C16">
        <f>IF($A16="","",COUNTIFS('Teacher Rankings'!B:B,$A16,'Teacher Rankings'!A:A,"&gt;="&amp;$B$4,'Teacher Rankings'!A:A,"&lt;="&amp;$B$5))</f>
        <v/>
      </c>
      <c r="D16">
        <f>IF($C16=0,"",ROUND(AVERAGEIFS('Teacher Rankings'!I:I,'Teacher Rankings'!B:B,$A16,'Teacher Rankings'!A:A,"&gt;="&amp;$B$4,'Teacher Rankings'!A:A,"&lt;="&amp;$B$5),0))</f>
        <v/>
      </c>
      <c r="E16">
        <f>IF($C16=0,"",IFERROR(INDEX('Teacher Rankings'!I:I,MATCH(1,('Teacher Rankings'!B:B=$A16)*('Teacher Rankings'!A:A=$B$5),0)),0) - IFERROR(INDEX('Teacher Rankings'!I:I,MATCH(1,('Teacher Rankings'!B:B=$A16)*('Teacher Rankings'!A:A=$B$4),0)),0))</f>
        <v/>
      </c>
      <c r="F16">
        <f>IF($C16=0,"",ROUND(100*COUNTIFS('Teacher Rankings'!B:B,$A16,'Teacher Rankings'!A:A,"&gt;="&amp;$B$4,'Teacher Rankings'!A:A,"&lt;="&amp;$B$5,'Teacher Rankings'!F:F,20)/$C16,0))</f>
        <v/>
      </c>
      <c r="G16">
        <f>IF($C16=0,"",ROUND(100*COUNTIFS('Teacher Rankings'!B:B,$A16,'Teacher Rankings'!A:A,"&gt;="&amp;$B$4,'Teacher Rankings'!A:A,"&lt;="&amp;$B$5,'Teacher Rankings'!D:D,20)/$C16,0))</f>
        <v/>
      </c>
      <c r="H16">
        <f>IF($C16=0,"",ROUND(100*COUNTIFS('Teacher Rankings'!B:B,$A16,'Teacher Rankings'!A:A,"&gt;="&amp;$B$4,'Teacher Rankings'!A:A,"&lt;="&amp;$B$5,'Teacher Rankings'!H:H,20)/$C16,0))</f>
        <v/>
      </c>
      <c r="I16">
        <f>IF($C16=0,"",ROUND(100*COUNTIFS('Teacher Rankings'!B:B,$A16,'Teacher Rankings'!A:A,"&gt;="&amp;$B$4,'Teacher Rankings'!A:A,"&lt;="&amp;$B$5,'Teacher Rankings'!G:G,20)/$C16,0))</f>
        <v/>
      </c>
    </row>
    <row r="17">
      <c r="A17">
        <f>IF(Teachers!A11="","",Teachers!A11)</f>
        <v/>
      </c>
      <c r="B17">
        <f>IF($A17="","",Teachers!B11)</f>
        <v/>
      </c>
      <c r="C17">
        <f>IF($A17="","",COUNTIFS('Teacher Rankings'!B:B,$A17,'Teacher Rankings'!A:A,"&gt;="&amp;$B$4,'Teacher Rankings'!A:A,"&lt;="&amp;$B$5))</f>
        <v/>
      </c>
      <c r="D17">
        <f>IF($C17=0,"",ROUND(AVERAGEIFS('Teacher Rankings'!I:I,'Teacher Rankings'!B:B,$A17,'Teacher Rankings'!A:A,"&gt;="&amp;$B$4,'Teacher Rankings'!A:A,"&lt;="&amp;$B$5),0))</f>
        <v/>
      </c>
      <c r="E17">
        <f>IF($C17=0,"",IFERROR(INDEX('Teacher Rankings'!I:I,MATCH(1,('Teacher Rankings'!B:B=$A17)*('Teacher Rankings'!A:A=$B$5),0)),0) - IFERROR(INDEX('Teacher Rankings'!I:I,MATCH(1,('Teacher Rankings'!B:B=$A17)*('Teacher Rankings'!A:A=$B$4),0)),0))</f>
        <v/>
      </c>
      <c r="F17">
        <f>IF($C17=0,"",ROUND(100*COUNTIFS('Teacher Rankings'!B:B,$A17,'Teacher Rankings'!A:A,"&gt;="&amp;$B$4,'Teacher Rankings'!A:A,"&lt;="&amp;$B$5,'Teacher Rankings'!F:F,20)/$C17,0))</f>
        <v/>
      </c>
      <c r="G17">
        <f>IF($C17=0,"",ROUND(100*COUNTIFS('Teacher Rankings'!B:B,$A17,'Teacher Rankings'!A:A,"&gt;="&amp;$B$4,'Teacher Rankings'!A:A,"&lt;="&amp;$B$5,'Teacher Rankings'!D:D,20)/$C17,0))</f>
        <v/>
      </c>
      <c r="H17">
        <f>IF($C17=0,"",ROUND(100*COUNTIFS('Teacher Rankings'!B:B,$A17,'Teacher Rankings'!A:A,"&gt;="&amp;$B$4,'Teacher Rankings'!A:A,"&lt;="&amp;$B$5,'Teacher Rankings'!H:H,20)/$C17,0))</f>
        <v/>
      </c>
      <c r="I17">
        <f>IF($C17=0,"",ROUND(100*COUNTIFS('Teacher Rankings'!B:B,$A17,'Teacher Rankings'!A:A,"&gt;="&amp;$B$4,'Teacher Rankings'!A:A,"&lt;="&amp;$B$5,'Teacher Rankings'!G:G,20)/$C17,0))</f>
        <v/>
      </c>
    </row>
    <row r="18">
      <c r="A18">
        <f>IF(Teachers!A12="","",Teachers!A12)</f>
        <v/>
      </c>
      <c r="B18">
        <f>IF($A18="","",Teachers!B12)</f>
        <v/>
      </c>
      <c r="C18">
        <f>IF($A18="","",COUNTIFS('Teacher Rankings'!B:B,$A18,'Teacher Rankings'!A:A,"&gt;="&amp;$B$4,'Teacher Rankings'!A:A,"&lt;="&amp;$B$5))</f>
        <v/>
      </c>
      <c r="D18">
        <f>IF($C18=0,"",ROUND(AVERAGEIFS('Teacher Rankings'!I:I,'Teacher Rankings'!B:B,$A18,'Teacher Rankings'!A:A,"&gt;="&amp;$B$4,'Teacher Rankings'!A:A,"&lt;="&amp;$B$5),0))</f>
        <v/>
      </c>
      <c r="E18">
        <f>IF($C18=0,"",IFERROR(INDEX('Teacher Rankings'!I:I,MATCH(1,('Teacher Rankings'!B:B=$A18)*('Teacher Rankings'!A:A=$B$5),0)),0) - IFERROR(INDEX('Teacher Rankings'!I:I,MATCH(1,('Teacher Rankings'!B:B=$A18)*('Teacher Rankings'!A:A=$B$4),0)),0))</f>
        <v/>
      </c>
      <c r="F18">
        <f>IF($C18=0,"",ROUND(100*COUNTIFS('Teacher Rankings'!B:B,$A18,'Teacher Rankings'!A:A,"&gt;="&amp;$B$4,'Teacher Rankings'!A:A,"&lt;="&amp;$B$5,'Teacher Rankings'!F:F,20)/$C18,0))</f>
        <v/>
      </c>
      <c r="G18">
        <f>IF($C18=0,"",ROUND(100*COUNTIFS('Teacher Rankings'!B:B,$A18,'Teacher Rankings'!A:A,"&gt;="&amp;$B$4,'Teacher Rankings'!A:A,"&lt;="&amp;$B$5,'Teacher Rankings'!D:D,20)/$C18,0))</f>
        <v/>
      </c>
      <c r="H18">
        <f>IF($C18=0,"",ROUND(100*COUNTIFS('Teacher Rankings'!B:B,$A18,'Teacher Rankings'!A:A,"&gt;="&amp;$B$4,'Teacher Rankings'!A:A,"&lt;="&amp;$B$5,'Teacher Rankings'!H:H,20)/$C18,0))</f>
        <v/>
      </c>
      <c r="I18">
        <f>IF($C18=0,"",ROUND(100*COUNTIFS('Teacher Rankings'!B:B,$A18,'Teacher Rankings'!A:A,"&gt;="&amp;$B$4,'Teacher Rankings'!A:A,"&lt;="&amp;$B$5,'Teacher Rankings'!G:G,20)/$C18,0))</f>
        <v/>
      </c>
    </row>
    <row r="19">
      <c r="A19">
        <f>IF(Teachers!A13="","",Teachers!A13)</f>
        <v/>
      </c>
      <c r="B19">
        <f>IF($A19="","",Teachers!B13)</f>
        <v/>
      </c>
      <c r="C19">
        <f>IF($A19="","",COUNTIFS('Teacher Rankings'!B:B,$A19,'Teacher Rankings'!A:A,"&gt;="&amp;$B$4,'Teacher Rankings'!A:A,"&lt;="&amp;$B$5))</f>
        <v/>
      </c>
      <c r="D19">
        <f>IF($C19=0,"",ROUND(AVERAGEIFS('Teacher Rankings'!I:I,'Teacher Rankings'!B:B,$A19,'Teacher Rankings'!A:A,"&gt;="&amp;$B$4,'Teacher Rankings'!A:A,"&lt;="&amp;$B$5),0))</f>
        <v/>
      </c>
      <c r="E19">
        <f>IF($C19=0,"",IFERROR(INDEX('Teacher Rankings'!I:I,MATCH(1,('Teacher Rankings'!B:B=$A19)*('Teacher Rankings'!A:A=$B$5),0)),0) - IFERROR(INDEX('Teacher Rankings'!I:I,MATCH(1,('Teacher Rankings'!B:B=$A19)*('Teacher Rankings'!A:A=$B$4),0)),0))</f>
        <v/>
      </c>
      <c r="F19">
        <f>IF($C19=0,"",ROUND(100*COUNTIFS('Teacher Rankings'!B:B,$A19,'Teacher Rankings'!A:A,"&gt;="&amp;$B$4,'Teacher Rankings'!A:A,"&lt;="&amp;$B$5,'Teacher Rankings'!F:F,20)/$C19,0))</f>
        <v/>
      </c>
      <c r="G19">
        <f>IF($C19=0,"",ROUND(100*COUNTIFS('Teacher Rankings'!B:B,$A19,'Teacher Rankings'!A:A,"&gt;="&amp;$B$4,'Teacher Rankings'!A:A,"&lt;="&amp;$B$5,'Teacher Rankings'!D:D,20)/$C19,0))</f>
        <v/>
      </c>
      <c r="H19">
        <f>IF($C19=0,"",ROUND(100*COUNTIFS('Teacher Rankings'!B:B,$A19,'Teacher Rankings'!A:A,"&gt;="&amp;$B$4,'Teacher Rankings'!A:A,"&lt;="&amp;$B$5,'Teacher Rankings'!H:H,20)/$C19,0))</f>
        <v/>
      </c>
      <c r="I19">
        <f>IF($C19=0,"",ROUND(100*COUNTIFS('Teacher Rankings'!B:B,$A19,'Teacher Rankings'!A:A,"&gt;="&amp;$B$4,'Teacher Rankings'!A:A,"&lt;="&amp;$B$5,'Teacher Rankings'!G:G,20)/$C19,0))</f>
        <v/>
      </c>
    </row>
    <row r="20">
      <c r="A20">
        <f>IF(Teachers!A14="","",Teachers!A14)</f>
        <v/>
      </c>
      <c r="B20">
        <f>IF($A20="","",Teachers!B14)</f>
        <v/>
      </c>
      <c r="C20">
        <f>IF($A20="","",COUNTIFS('Teacher Rankings'!B:B,$A20,'Teacher Rankings'!A:A,"&gt;="&amp;$B$4,'Teacher Rankings'!A:A,"&lt;="&amp;$B$5))</f>
        <v/>
      </c>
      <c r="D20">
        <f>IF($C20=0,"",ROUND(AVERAGEIFS('Teacher Rankings'!I:I,'Teacher Rankings'!B:B,$A20,'Teacher Rankings'!A:A,"&gt;="&amp;$B$4,'Teacher Rankings'!A:A,"&lt;="&amp;$B$5),0))</f>
        <v/>
      </c>
      <c r="E20">
        <f>IF($C20=0,"",IFERROR(INDEX('Teacher Rankings'!I:I,MATCH(1,('Teacher Rankings'!B:B=$A20)*('Teacher Rankings'!A:A=$B$5),0)),0) - IFERROR(INDEX('Teacher Rankings'!I:I,MATCH(1,('Teacher Rankings'!B:B=$A20)*('Teacher Rankings'!A:A=$B$4),0)),0))</f>
        <v/>
      </c>
      <c r="F20">
        <f>IF($C20=0,"",ROUND(100*COUNTIFS('Teacher Rankings'!B:B,$A20,'Teacher Rankings'!A:A,"&gt;="&amp;$B$4,'Teacher Rankings'!A:A,"&lt;="&amp;$B$5,'Teacher Rankings'!F:F,20)/$C20,0))</f>
        <v/>
      </c>
      <c r="G20">
        <f>IF($C20=0,"",ROUND(100*COUNTIFS('Teacher Rankings'!B:B,$A20,'Teacher Rankings'!A:A,"&gt;="&amp;$B$4,'Teacher Rankings'!A:A,"&lt;="&amp;$B$5,'Teacher Rankings'!D:D,20)/$C20,0))</f>
        <v/>
      </c>
      <c r="H20">
        <f>IF($C20=0,"",ROUND(100*COUNTIFS('Teacher Rankings'!B:B,$A20,'Teacher Rankings'!A:A,"&gt;="&amp;$B$4,'Teacher Rankings'!A:A,"&lt;="&amp;$B$5,'Teacher Rankings'!H:H,20)/$C20,0))</f>
        <v/>
      </c>
      <c r="I20">
        <f>IF($C20=0,"",ROUND(100*COUNTIFS('Teacher Rankings'!B:B,$A20,'Teacher Rankings'!A:A,"&gt;="&amp;$B$4,'Teacher Rankings'!A:A,"&lt;="&amp;$B$5,'Teacher Rankings'!G:G,20)/$C20,0))</f>
        <v/>
      </c>
    </row>
    <row r="21">
      <c r="A21">
        <f>IF(Teachers!A15="","",Teachers!A15)</f>
        <v/>
      </c>
      <c r="B21">
        <f>IF($A21="","",Teachers!B15)</f>
        <v/>
      </c>
      <c r="C21">
        <f>IF($A21="","",COUNTIFS('Teacher Rankings'!B:B,$A21,'Teacher Rankings'!A:A,"&gt;="&amp;$B$4,'Teacher Rankings'!A:A,"&lt;="&amp;$B$5))</f>
        <v/>
      </c>
      <c r="D21">
        <f>IF($C21=0,"",ROUND(AVERAGEIFS('Teacher Rankings'!I:I,'Teacher Rankings'!B:B,$A21,'Teacher Rankings'!A:A,"&gt;="&amp;$B$4,'Teacher Rankings'!A:A,"&lt;="&amp;$B$5),0))</f>
        <v/>
      </c>
      <c r="E21">
        <f>IF($C21=0,"",IFERROR(INDEX('Teacher Rankings'!I:I,MATCH(1,('Teacher Rankings'!B:B=$A21)*('Teacher Rankings'!A:A=$B$5),0)),0) - IFERROR(INDEX('Teacher Rankings'!I:I,MATCH(1,('Teacher Rankings'!B:B=$A21)*('Teacher Rankings'!A:A=$B$4),0)),0))</f>
        <v/>
      </c>
      <c r="F21">
        <f>IF($C21=0,"",ROUND(100*COUNTIFS('Teacher Rankings'!B:B,$A21,'Teacher Rankings'!A:A,"&gt;="&amp;$B$4,'Teacher Rankings'!A:A,"&lt;="&amp;$B$5,'Teacher Rankings'!F:F,20)/$C21,0))</f>
        <v/>
      </c>
      <c r="G21">
        <f>IF($C21=0,"",ROUND(100*COUNTIFS('Teacher Rankings'!B:B,$A21,'Teacher Rankings'!A:A,"&gt;="&amp;$B$4,'Teacher Rankings'!A:A,"&lt;="&amp;$B$5,'Teacher Rankings'!D:D,20)/$C21,0))</f>
        <v/>
      </c>
      <c r="H21">
        <f>IF($C21=0,"",ROUND(100*COUNTIFS('Teacher Rankings'!B:B,$A21,'Teacher Rankings'!A:A,"&gt;="&amp;$B$4,'Teacher Rankings'!A:A,"&lt;="&amp;$B$5,'Teacher Rankings'!H:H,20)/$C21,0))</f>
        <v/>
      </c>
      <c r="I21">
        <f>IF($C21=0,"",ROUND(100*COUNTIFS('Teacher Rankings'!B:B,$A21,'Teacher Rankings'!A:A,"&gt;="&amp;$B$4,'Teacher Rankings'!A:A,"&lt;="&amp;$B$5,'Teacher Rankings'!G:G,20)/$C21,0))</f>
        <v/>
      </c>
    </row>
    <row r="22">
      <c r="A22">
        <f>IF(Teachers!A16="","",Teachers!A16)</f>
        <v/>
      </c>
      <c r="B22">
        <f>IF($A22="","",Teachers!B16)</f>
        <v/>
      </c>
      <c r="C22">
        <f>IF($A22="","",COUNTIFS('Teacher Rankings'!B:B,$A22,'Teacher Rankings'!A:A,"&gt;="&amp;$B$4,'Teacher Rankings'!A:A,"&lt;="&amp;$B$5))</f>
        <v/>
      </c>
      <c r="D22">
        <f>IF($C22=0,"",ROUND(AVERAGEIFS('Teacher Rankings'!I:I,'Teacher Rankings'!B:B,$A22,'Teacher Rankings'!A:A,"&gt;="&amp;$B$4,'Teacher Rankings'!A:A,"&lt;="&amp;$B$5),0))</f>
        <v/>
      </c>
      <c r="E22">
        <f>IF($C22=0,"",IFERROR(INDEX('Teacher Rankings'!I:I,MATCH(1,('Teacher Rankings'!B:B=$A22)*('Teacher Rankings'!A:A=$B$5),0)),0) - IFERROR(INDEX('Teacher Rankings'!I:I,MATCH(1,('Teacher Rankings'!B:B=$A22)*('Teacher Rankings'!A:A=$B$4),0)),0))</f>
        <v/>
      </c>
      <c r="F22">
        <f>IF($C22=0,"",ROUND(100*COUNTIFS('Teacher Rankings'!B:B,$A22,'Teacher Rankings'!A:A,"&gt;="&amp;$B$4,'Teacher Rankings'!A:A,"&lt;="&amp;$B$5,'Teacher Rankings'!F:F,20)/$C22,0))</f>
        <v/>
      </c>
      <c r="G22">
        <f>IF($C22=0,"",ROUND(100*COUNTIFS('Teacher Rankings'!B:B,$A22,'Teacher Rankings'!A:A,"&gt;="&amp;$B$4,'Teacher Rankings'!A:A,"&lt;="&amp;$B$5,'Teacher Rankings'!D:D,20)/$C22,0))</f>
        <v/>
      </c>
      <c r="H22">
        <f>IF($C22=0,"",ROUND(100*COUNTIFS('Teacher Rankings'!B:B,$A22,'Teacher Rankings'!A:A,"&gt;="&amp;$B$4,'Teacher Rankings'!A:A,"&lt;="&amp;$B$5,'Teacher Rankings'!H:H,20)/$C22,0))</f>
        <v/>
      </c>
      <c r="I22">
        <f>IF($C22=0,"",ROUND(100*COUNTIFS('Teacher Rankings'!B:B,$A22,'Teacher Rankings'!A:A,"&gt;="&amp;$B$4,'Teacher Rankings'!A:A,"&lt;="&amp;$B$5,'Teacher Rankings'!G:G,20)/$C22,0))</f>
        <v/>
      </c>
    </row>
    <row r="23">
      <c r="A23">
        <f>IF(Teachers!A17="","",Teachers!A17)</f>
        <v/>
      </c>
      <c r="B23">
        <f>IF($A23="","",Teachers!B17)</f>
        <v/>
      </c>
      <c r="C23">
        <f>IF($A23="","",COUNTIFS('Teacher Rankings'!B:B,$A23,'Teacher Rankings'!A:A,"&gt;="&amp;$B$4,'Teacher Rankings'!A:A,"&lt;="&amp;$B$5))</f>
        <v/>
      </c>
      <c r="D23">
        <f>IF($C23=0,"",ROUND(AVERAGEIFS('Teacher Rankings'!I:I,'Teacher Rankings'!B:B,$A23,'Teacher Rankings'!A:A,"&gt;="&amp;$B$4,'Teacher Rankings'!A:A,"&lt;="&amp;$B$5),0))</f>
        <v/>
      </c>
      <c r="E23">
        <f>IF($C23=0,"",IFERROR(INDEX('Teacher Rankings'!I:I,MATCH(1,('Teacher Rankings'!B:B=$A23)*('Teacher Rankings'!A:A=$B$5),0)),0) - IFERROR(INDEX('Teacher Rankings'!I:I,MATCH(1,('Teacher Rankings'!B:B=$A23)*('Teacher Rankings'!A:A=$B$4),0)),0))</f>
        <v/>
      </c>
      <c r="F23">
        <f>IF($C23=0,"",ROUND(100*COUNTIFS('Teacher Rankings'!B:B,$A23,'Teacher Rankings'!A:A,"&gt;="&amp;$B$4,'Teacher Rankings'!A:A,"&lt;="&amp;$B$5,'Teacher Rankings'!F:F,20)/$C23,0))</f>
        <v/>
      </c>
      <c r="G23">
        <f>IF($C23=0,"",ROUND(100*COUNTIFS('Teacher Rankings'!B:B,$A23,'Teacher Rankings'!A:A,"&gt;="&amp;$B$4,'Teacher Rankings'!A:A,"&lt;="&amp;$B$5,'Teacher Rankings'!D:D,20)/$C23,0))</f>
        <v/>
      </c>
      <c r="H23">
        <f>IF($C23=0,"",ROUND(100*COUNTIFS('Teacher Rankings'!B:B,$A23,'Teacher Rankings'!A:A,"&gt;="&amp;$B$4,'Teacher Rankings'!A:A,"&lt;="&amp;$B$5,'Teacher Rankings'!H:H,20)/$C23,0))</f>
        <v/>
      </c>
      <c r="I23">
        <f>IF($C23=0,"",ROUND(100*COUNTIFS('Teacher Rankings'!B:B,$A23,'Teacher Rankings'!A:A,"&gt;="&amp;$B$4,'Teacher Rankings'!A:A,"&lt;="&amp;$B$5,'Teacher Rankings'!G:G,20)/$C23,0))</f>
        <v/>
      </c>
    </row>
    <row r="24">
      <c r="A24">
        <f>IF(Teachers!A18="","",Teachers!A18)</f>
        <v/>
      </c>
      <c r="B24">
        <f>IF($A24="","",Teachers!B18)</f>
        <v/>
      </c>
      <c r="C24">
        <f>IF($A24="","",COUNTIFS('Teacher Rankings'!B:B,$A24,'Teacher Rankings'!A:A,"&gt;="&amp;$B$4,'Teacher Rankings'!A:A,"&lt;="&amp;$B$5))</f>
        <v/>
      </c>
      <c r="D24">
        <f>IF($C24=0,"",ROUND(AVERAGEIFS('Teacher Rankings'!I:I,'Teacher Rankings'!B:B,$A24,'Teacher Rankings'!A:A,"&gt;="&amp;$B$4,'Teacher Rankings'!A:A,"&lt;="&amp;$B$5),0))</f>
        <v/>
      </c>
      <c r="E24">
        <f>IF($C24=0,"",IFERROR(INDEX('Teacher Rankings'!I:I,MATCH(1,('Teacher Rankings'!B:B=$A24)*('Teacher Rankings'!A:A=$B$5),0)),0) - IFERROR(INDEX('Teacher Rankings'!I:I,MATCH(1,('Teacher Rankings'!B:B=$A24)*('Teacher Rankings'!A:A=$B$4),0)),0))</f>
        <v/>
      </c>
      <c r="F24">
        <f>IF($C24=0,"",ROUND(100*COUNTIFS('Teacher Rankings'!B:B,$A24,'Teacher Rankings'!A:A,"&gt;="&amp;$B$4,'Teacher Rankings'!A:A,"&lt;="&amp;$B$5,'Teacher Rankings'!F:F,20)/$C24,0))</f>
        <v/>
      </c>
      <c r="G24">
        <f>IF($C24=0,"",ROUND(100*COUNTIFS('Teacher Rankings'!B:B,$A24,'Teacher Rankings'!A:A,"&gt;="&amp;$B$4,'Teacher Rankings'!A:A,"&lt;="&amp;$B$5,'Teacher Rankings'!D:D,20)/$C24,0))</f>
        <v/>
      </c>
      <c r="H24">
        <f>IF($C24=0,"",ROUND(100*COUNTIFS('Teacher Rankings'!B:B,$A24,'Teacher Rankings'!A:A,"&gt;="&amp;$B$4,'Teacher Rankings'!A:A,"&lt;="&amp;$B$5,'Teacher Rankings'!H:H,20)/$C24,0))</f>
        <v/>
      </c>
      <c r="I24">
        <f>IF($C24=0,"",ROUND(100*COUNTIFS('Teacher Rankings'!B:B,$A24,'Teacher Rankings'!A:A,"&gt;="&amp;$B$4,'Teacher Rankings'!A:A,"&lt;="&amp;$B$5,'Teacher Rankings'!G:G,20)/$C24,0))</f>
        <v/>
      </c>
    </row>
    <row r="25">
      <c r="A25">
        <f>IF(Teachers!A19="","",Teachers!A19)</f>
        <v/>
      </c>
      <c r="B25">
        <f>IF($A25="","",Teachers!B19)</f>
        <v/>
      </c>
      <c r="C25">
        <f>IF($A25="","",COUNTIFS('Teacher Rankings'!B:B,$A25,'Teacher Rankings'!A:A,"&gt;="&amp;$B$4,'Teacher Rankings'!A:A,"&lt;="&amp;$B$5))</f>
        <v/>
      </c>
      <c r="D25">
        <f>IF($C25=0,"",ROUND(AVERAGEIFS('Teacher Rankings'!I:I,'Teacher Rankings'!B:B,$A25,'Teacher Rankings'!A:A,"&gt;="&amp;$B$4,'Teacher Rankings'!A:A,"&lt;="&amp;$B$5),0))</f>
        <v/>
      </c>
      <c r="E25">
        <f>IF($C25=0,"",IFERROR(INDEX('Teacher Rankings'!I:I,MATCH(1,('Teacher Rankings'!B:B=$A25)*('Teacher Rankings'!A:A=$B$5),0)),0) - IFERROR(INDEX('Teacher Rankings'!I:I,MATCH(1,('Teacher Rankings'!B:B=$A25)*('Teacher Rankings'!A:A=$B$4),0)),0))</f>
        <v/>
      </c>
      <c r="F25">
        <f>IF($C25=0,"",ROUND(100*COUNTIFS('Teacher Rankings'!B:B,$A25,'Teacher Rankings'!A:A,"&gt;="&amp;$B$4,'Teacher Rankings'!A:A,"&lt;="&amp;$B$5,'Teacher Rankings'!F:F,20)/$C25,0))</f>
        <v/>
      </c>
      <c r="G25">
        <f>IF($C25=0,"",ROUND(100*COUNTIFS('Teacher Rankings'!B:B,$A25,'Teacher Rankings'!A:A,"&gt;="&amp;$B$4,'Teacher Rankings'!A:A,"&lt;="&amp;$B$5,'Teacher Rankings'!D:D,20)/$C25,0))</f>
        <v/>
      </c>
      <c r="H25">
        <f>IF($C25=0,"",ROUND(100*COUNTIFS('Teacher Rankings'!B:B,$A25,'Teacher Rankings'!A:A,"&gt;="&amp;$B$4,'Teacher Rankings'!A:A,"&lt;="&amp;$B$5,'Teacher Rankings'!H:H,20)/$C25,0))</f>
        <v/>
      </c>
      <c r="I25">
        <f>IF($C25=0,"",ROUND(100*COUNTIFS('Teacher Rankings'!B:B,$A25,'Teacher Rankings'!A:A,"&gt;="&amp;$B$4,'Teacher Rankings'!A:A,"&lt;="&amp;$B$5,'Teacher Rankings'!G:G,20)/$C25,0))</f>
        <v/>
      </c>
    </row>
    <row r="26">
      <c r="A26">
        <f>IF(Teachers!A20="","",Teachers!A20)</f>
        <v/>
      </c>
      <c r="B26">
        <f>IF($A26="","",Teachers!B20)</f>
        <v/>
      </c>
      <c r="C26">
        <f>IF($A26="","",COUNTIFS('Teacher Rankings'!B:B,$A26,'Teacher Rankings'!A:A,"&gt;="&amp;$B$4,'Teacher Rankings'!A:A,"&lt;="&amp;$B$5))</f>
        <v/>
      </c>
      <c r="D26">
        <f>IF($C26=0,"",ROUND(AVERAGEIFS('Teacher Rankings'!I:I,'Teacher Rankings'!B:B,$A26,'Teacher Rankings'!A:A,"&gt;="&amp;$B$4,'Teacher Rankings'!A:A,"&lt;="&amp;$B$5),0))</f>
        <v/>
      </c>
      <c r="E26">
        <f>IF($C26=0,"",IFERROR(INDEX('Teacher Rankings'!I:I,MATCH(1,('Teacher Rankings'!B:B=$A26)*('Teacher Rankings'!A:A=$B$5),0)),0) - IFERROR(INDEX('Teacher Rankings'!I:I,MATCH(1,('Teacher Rankings'!B:B=$A26)*('Teacher Rankings'!A:A=$B$4),0)),0))</f>
        <v/>
      </c>
      <c r="F26">
        <f>IF($C26=0,"",ROUND(100*COUNTIFS('Teacher Rankings'!B:B,$A26,'Teacher Rankings'!A:A,"&gt;="&amp;$B$4,'Teacher Rankings'!A:A,"&lt;="&amp;$B$5,'Teacher Rankings'!F:F,20)/$C26,0))</f>
        <v/>
      </c>
      <c r="G26">
        <f>IF($C26=0,"",ROUND(100*COUNTIFS('Teacher Rankings'!B:B,$A26,'Teacher Rankings'!A:A,"&gt;="&amp;$B$4,'Teacher Rankings'!A:A,"&lt;="&amp;$B$5,'Teacher Rankings'!D:D,20)/$C26,0))</f>
        <v/>
      </c>
      <c r="H26">
        <f>IF($C26=0,"",ROUND(100*COUNTIFS('Teacher Rankings'!B:B,$A26,'Teacher Rankings'!A:A,"&gt;="&amp;$B$4,'Teacher Rankings'!A:A,"&lt;="&amp;$B$5,'Teacher Rankings'!H:H,20)/$C26,0))</f>
        <v/>
      </c>
      <c r="I26">
        <f>IF($C26=0,"",ROUND(100*COUNTIFS('Teacher Rankings'!B:B,$A26,'Teacher Rankings'!A:A,"&gt;="&amp;$B$4,'Teacher Rankings'!A:A,"&lt;="&amp;$B$5,'Teacher Rankings'!G:G,20)/$C26,0))</f>
        <v/>
      </c>
    </row>
    <row r="27">
      <c r="A27">
        <f>IF(Teachers!A21="","",Teachers!A21)</f>
        <v/>
      </c>
      <c r="B27">
        <f>IF($A27="","",Teachers!B21)</f>
        <v/>
      </c>
      <c r="C27">
        <f>IF($A27="","",COUNTIFS('Teacher Rankings'!B:B,$A27,'Teacher Rankings'!A:A,"&gt;="&amp;$B$4,'Teacher Rankings'!A:A,"&lt;="&amp;$B$5))</f>
        <v/>
      </c>
      <c r="D27">
        <f>IF($C27=0,"",ROUND(AVERAGEIFS('Teacher Rankings'!I:I,'Teacher Rankings'!B:B,$A27,'Teacher Rankings'!A:A,"&gt;="&amp;$B$4,'Teacher Rankings'!A:A,"&lt;="&amp;$B$5),0))</f>
        <v/>
      </c>
      <c r="E27">
        <f>IF($C27=0,"",IFERROR(INDEX('Teacher Rankings'!I:I,MATCH(1,('Teacher Rankings'!B:B=$A27)*('Teacher Rankings'!A:A=$B$5),0)),0) - IFERROR(INDEX('Teacher Rankings'!I:I,MATCH(1,('Teacher Rankings'!B:B=$A27)*('Teacher Rankings'!A:A=$B$4),0)),0))</f>
        <v/>
      </c>
      <c r="F27">
        <f>IF($C27=0,"",ROUND(100*COUNTIFS('Teacher Rankings'!B:B,$A27,'Teacher Rankings'!A:A,"&gt;="&amp;$B$4,'Teacher Rankings'!A:A,"&lt;="&amp;$B$5,'Teacher Rankings'!F:F,20)/$C27,0))</f>
        <v/>
      </c>
      <c r="G27">
        <f>IF($C27=0,"",ROUND(100*COUNTIFS('Teacher Rankings'!B:B,$A27,'Teacher Rankings'!A:A,"&gt;="&amp;$B$4,'Teacher Rankings'!A:A,"&lt;="&amp;$B$5,'Teacher Rankings'!D:D,20)/$C27,0))</f>
        <v/>
      </c>
      <c r="H27">
        <f>IF($C27=0,"",ROUND(100*COUNTIFS('Teacher Rankings'!B:B,$A27,'Teacher Rankings'!A:A,"&gt;="&amp;$B$4,'Teacher Rankings'!A:A,"&lt;="&amp;$B$5,'Teacher Rankings'!H:H,20)/$C27,0))</f>
        <v/>
      </c>
      <c r="I27">
        <f>IF($C27=0,"",ROUND(100*COUNTIFS('Teacher Rankings'!B:B,$A27,'Teacher Rankings'!A:A,"&gt;="&amp;$B$4,'Teacher Rankings'!A:A,"&lt;="&amp;$B$5,'Teacher Rankings'!G:G,20)/$C27,0))</f>
        <v/>
      </c>
    </row>
    <row r="28">
      <c r="A28">
        <f>IF(Teachers!A22="","",Teachers!A22)</f>
        <v/>
      </c>
      <c r="B28">
        <f>IF($A28="","",Teachers!B22)</f>
        <v/>
      </c>
      <c r="C28">
        <f>IF($A28="","",COUNTIFS('Teacher Rankings'!B:B,$A28,'Teacher Rankings'!A:A,"&gt;="&amp;$B$4,'Teacher Rankings'!A:A,"&lt;="&amp;$B$5))</f>
        <v/>
      </c>
      <c r="D28">
        <f>IF($C28=0,"",ROUND(AVERAGEIFS('Teacher Rankings'!I:I,'Teacher Rankings'!B:B,$A28,'Teacher Rankings'!A:A,"&gt;="&amp;$B$4,'Teacher Rankings'!A:A,"&lt;="&amp;$B$5),0))</f>
        <v/>
      </c>
      <c r="E28">
        <f>IF($C28=0,"",IFERROR(INDEX('Teacher Rankings'!I:I,MATCH(1,('Teacher Rankings'!B:B=$A28)*('Teacher Rankings'!A:A=$B$5),0)),0) - IFERROR(INDEX('Teacher Rankings'!I:I,MATCH(1,('Teacher Rankings'!B:B=$A28)*('Teacher Rankings'!A:A=$B$4),0)),0))</f>
        <v/>
      </c>
      <c r="F28">
        <f>IF($C28=0,"",ROUND(100*COUNTIFS('Teacher Rankings'!B:B,$A28,'Teacher Rankings'!A:A,"&gt;="&amp;$B$4,'Teacher Rankings'!A:A,"&lt;="&amp;$B$5,'Teacher Rankings'!F:F,20)/$C28,0))</f>
        <v/>
      </c>
      <c r="G28">
        <f>IF($C28=0,"",ROUND(100*COUNTIFS('Teacher Rankings'!B:B,$A28,'Teacher Rankings'!A:A,"&gt;="&amp;$B$4,'Teacher Rankings'!A:A,"&lt;="&amp;$B$5,'Teacher Rankings'!D:D,20)/$C28,0))</f>
        <v/>
      </c>
      <c r="H28">
        <f>IF($C28=0,"",ROUND(100*COUNTIFS('Teacher Rankings'!B:B,$A28,'Teacher Rankings'!A:A,"&gt;="&amp;$B$4,'Teacher Rankings'!A:A,"&lt;="&amp;$B$5,'Teacher Rankings'!H:H,20)/$C28,0))</f>
        <v/>
      </c>
      <c r="I28">
        <f>IF($C28=0,"",ROUND(100*COUNTIFS('Teacher Rankings'!B:B,$A28,'Teacher Rankings'!A:A,"&gt;="&amp;$B$4,'Teacher Rankings'!A:A,"&lt;="&amp;$B$5,'Teacher Rankings'!G:G,20)/$C28,0))</f>
        <v/>
      </c>
    </row>
    <row r="29">
      <c r="A29">
        <f>IF(Teachers!A23="","",Teachers!A23)</f>
        <v/>
      </c>
      <c r="B29">
        <f>IF($A29="","",Teachers!B23)</f>
        <v/>
      </c>
      <c r="C29">
        <f>IF($A29="","",COUNTIFS('Teacher Rankings'!B:B,$A29,'Teacher Rankings'!A:A,"&gt;="&amp;$B$4,'Teacher Rankings'!A:A,"&lt;="&amp;$B$5))</f>
        <v/>
      </c>
      <c r="D29">
        <f>IF($C29=0,"",ROUND(AVERAGEIFS('Teacher Rankings'!I:I,'Teacher Rankings'!B:B,$A29,'Teacher Rankings'!A:A,"&gt;="&amp;$B$4,'Teacher Rankings'!A:A,"&lt;="&amp;$B$5),0))</f>
        <v/>
      </c>
      <c r="E29">
        <f>IF($C29=0,"",IFERROR(INDEX('Teacher Rankings'!I:I,MATCH(1,('Teacher Rankings'!B:B=$A29)*('Teacher Rankings'!A:A=$B$5),0)),0) - IFERROR(INDEX('Teacher Rankings'!I:I,MATCH(1,('Teacher Rankings'!B:B=$A29)*('Teacher Rankings'!A:A=$B$4),0)),0))</f>
        <v/>
      </c>
      <c r="F29">
        <f>IF($C29=0,"",ROUND(100*COUNTIFS('Teacher Rankings'!B:B,$A29,'Teacher Rankings'!A:A,"&gt;="&amp;$B$4,'Teacher Rankings'!A:A,"&lt;="&amp;$B$5,'Teacher Rankings'!F:F,20)/$C29,0))</f>
        <v/>
      </c>
      <c r="G29">
        <f>IF($C29=0,"",ROUND(100*COUNTIFS('Teacher Rankings'!B:B,$A29,'Teacher Rankings'!A:A,"&gt;="&amp;$B$4,'Teacher Rankings'!A:A,"&lt;="&amp;$B$5,'Teacher Rankings'!D:D,20)/$C29,0))</f>
        <v/>
      </c>
      <c r="H29">
        <f>IF($C29=0,"",ROUND(100*COUNTIFS('Teacher Rankings'!B:B,$A29,'Teacher Rankings'!A:A,"&gt;="&amp;$B$4,'Teacher Rankings'!A:A,"&lt;="&amp;$B$5,'Teacher Rankings'!H:H,20)/$C29,0))</f>
        <v/>
      </c>
      <c r="I29">
        <f>IF($C29=0,"",ROUND(100*COUNTIFS('Teacher Rankings'!B:B,$A29,'Teacher Rankings'!A:A,"&gt;="&amp;$B$4,'Teacher Rankings'!A:A,"&lt;="&amp;$B$5,'Teacher Rankings'!G:G,20)/$C29,0))</f>
        <v/>
      </c>
    </row>
    <row r="30">
      <c r="A30">
        <f>IF(Teachers!A24="","",Teachers!A24)</f>
        <v/>
      </c>
      <c r="B30">
        <f>IF($A30="","",Teachers!B24)</f>
        <v/>
      </c>
      <c r="C30">
        <f>IF($A30="","",COUNTIFS('Teacher Rankings'!B:B,$A30,'Teacher Rankings'!A:A,"&gt;="&amp;$B$4,'Teacher Rankings'!A:A,"&lt;="&amp;$B$5))</f>
        <v/>
      </c>
      <c r="D30">
        <f>IF($C30=0,"",ROUND(AVERAGEIFS('Teacher Rankings'!I:I,'Teacher Rankings'!B:B,$A30,'Teacher Rankings'!A:A,"&gt;="&amp;$B$4,'Teacher Rankings'!A:A,"&lt;="&amp;$B$5),0))</f>
        <v/>
      </c>
      <c r="E30">
        <f>IF($C30=0,"",IFERROR(INDEX('Teacher Rankings'!I:I,MATCH(1,('Teacher Rankings'!B:B=$A30)*('Teacher Rankings'!A:A=$B$5),0)),0) - IFERROR(INDEX('Teacher Rankings'!I:I,MATCH(1,('Teacher Rankings'!B:B=$A30)*('Teacher Rankings'!A:A=$B$4),0)),0))</f>
        <v/>
      </c>
      <c r="F30">
        <f>IF($C30=0,"",ROUND(100*COUNTIFS('Teacher Rankings'!B:B,$A30,'Teacher Rankings'!A:A,"&gt;="&amp;$B$4,'Teacher Rankings'!A:A,"&lt;="&amp;$B$5,'Teacher Rankings'!F:F,20)/$C30,0))</f>
        <v/>
      </c>
      <c r="G30">
        <f>IF($C30=0,"",ROUND(100*COUNTIFS('Teacher Rankings'!B:B,$A30,'Teacher Rankings'!A:A,"&gt;="&amp;$B$4,'Teacher Rankings'!A:A,"&lt;="&amp;$B$5,'Teacher Rankings'!D:D,20)/$C30,0))</f>
        <v/>
      </c>
      <c r="H30">
        <f>IF($C30=0,"",ROUND(100*COUNTIFS('Teacher Rankings'!B:B,$A30,'Teacher Rankings'!A:A,"&gt;="&amp;$B$4,'Teacher Rankings'!A:A,"&lt;="&amp;$B$5,'Teacher Rankings'!H:H,20)/$C30,0))</f>
        <v/>
      </c>
      <c r="I30">
        <f>IF($C30=0,"",ROUND(100*COUNTIFS('Teacher Rankings'!B:B,$A30,'Teacher Rankings'!A:A,"&gt;="&amp;$B$4,'Teacher Rankings'!A:A,"&lt;="&amp;$B$5,'Teacher Rankings'!G:G,20)/$C30,0))</f>
        <v/>
      </c>
    </row>
    <row r="31">
      <c r="A31">
        <f>IF(Teachers!A25="","",Teachers!A25)</f>
        <v/>
      </c>
      <c r="B31">
        <f>IF($A31="","",Teachers!B25)</f>
        <v/>
      </c>
      <c r="C31">
        <f>IF($A31="","",COUNTIFS('Teacher Rankings'!B:B,$A31,'Teacher Rankings'!A:A,"&gt;="&amp;$B$4,'Teacher Rankings'!A:A,"&lt;="&amp;$B$5))</f>
        <v/>
      </c>
      <c r="D31">
        <f>IF($C31=0,"",ROUND(AVERAGEIFS('Teacher Rankings'!I:I,'Teacher Rankings'!B:B,$A31,'Teacher Rankings'!A:A,"&gt;="&amp;$B$4,'Teacher Rankings'!A:A,"&lt;="&amp;$B$5),0))</f>
        <v/>
      </c>
      <c r="E31">
        <f>IF($C31=0,"",IFERROR(INDEX('Teacher Rankings'!I:I,MATCH(1,('Teacher Rankings'!B:B=$A31)*('Teacher Rankings'!A:A=$B$5),0)),0) - IFERROR(INDEX('Teacher Rankings'!I:I,MATCH(1,('Teacher Rankings'!B:B=$A31)*('Teacher Rankings'!A:A=$B$4),0)),0))</f>
        <v/>
      </c>
      <c r="F31">
        <f>IF($C31=0,"",ROUND(100*COUNTIFS('Teacher Rankings'!B:B,$A31,'Teacher Rankings'!A:A,"&gt;="&amp;$B$4,'Teacher Rankings'!A:A,"&lt;="&amp;$B$5,'Teacher Rankings'!F:F,20)/$C31,0))</f>
        <v/>
      </c>
      <c r="G31">
        <f>IF($C31=0,"",ROUND(100*COUNTIFS('Teacher Rankings'!B:B,$A31,'Teacher Rankings'!A:A,"&gt;="&amp;$B$4,'Teacher Rankings'!A:A,"&lt;="&amp;$B$5,'Teacher Rankings'!D:D,20)/$C31,0))</f>
        <v/>
      </c>
      <c r="H31">
        <f>IF($C31=0,"",ROUND(100*COUNTIFS('Teacher Rankings'!B:B,$A31,'Teacher Rankings'!A:A,"&gt;="&amp;$B$4,'Teacher Rankings'!A:A,"&lt;="&amp;$B$5,'Teacher Rankings'!H:H,20)/$C31,0))</f>
        <v/>
      </c>
      <c r="I31">
        <f>IF($C31=0,"",ROUND(100*COUNTIFS('Teacher Rankings'!B:B,$A31,'Teacher Rankings'!A:A,"&gt;="&amp;$B$4,'Teacher Rankings'!A:A,"&lt;="&amp;$B$5,'Teacher Rankings'!G:G,20)/$C31,0))</f>
        <v/>
      </c>
    </row>
    <row r="32">
      <c r="A32">
        <f>IF(Teachers!A26="","",Teachers!A26)</f>
        <v/>
      </c>
      <c r="B32">
        <f>IF($A32="","",Teachers!B26)</f>
        <v/>
      </c>
      <c r="C32">
        <f>IF($A32="","",COUNTIFS('Teacher Rankings'!B:B,$A32,'Teacher Rankings'!A:A,"&gt;="&amp;$B$4,'Teacher Rankings'!A:A,"&lt;="&amp;$B$5))</f>
        <v/>
      </c>
      <c r="D32">
        <f>IF($C32=0,"",ROUND(AVERAGEIFS('Teacher Rankings'!I:I,'Teacher Rankings'!B:B,$A32,'Teacher Rankings'!A:A,"&gt;="&amp;$B$4,'Teacher Rankings'!A:A,"&lt;="&amp;$B$5),0))</f>
        <v/>
      </c>
      <c r="E32">
        <f>IF($C32=0,"",IFERROR(INDEX('Teacher Rankings'!I:I,MATCH(1,('Teacher Rankings'!B:B=$A32)*('Teacher Rankings'!A:A=$B$5),0)),0) - IFERROR(INDEX('Teacher Rankings'!I:I,MATCH(1,('Teacher Rankings'!B:B=$A32)*('Teacher Rankings'!A:A=$B$4),0)),0))</f>
        <v/>
      </c>
      <c r="F32">
        <f>IF($C32=0,"",ROUND(100*COUNTIFS('Teacher Rankings'!B:B,$A32,'Teacher Rankings'!A:A,"&gt;="&amp;$B$4,'Teacher Rankings'!A:A,"&lt;="&amp;$B$5,'Teacher Rankings'!F:F,20)/$C32,0))</f>
        <v/>
      </c>
      <c r="G32">
        <f>IF($C32=0,"",ROUND(100*COUNTIFS('Teacher Rankings'!B:B,$A32,'Teacher Rankings'!A:A,"&gt;="&amp;$B$4,'Teacher Rankings'!A:A,"&lt;="&amp;$B$5,'Teacher Rankings'!D:D,20)/$C32,0))</f>
        <v/>
      </c>
      <c r="H32">
        <f>IF($C32=0,"",ROUND(100*COUNTIFS('Teacher Rankings'!B:B,$A32,'Teacher Rankings'!A:A,"&gt;="&amp;$B$4,'Teacher Rankings'!A:A,"&lt;="&amp;$B$5,'Teacher Rankings'!H:H,20)/$C32,0))</f>
        <v/>
      </c>
      <c r="I32">
        <f>IF($C32=0,"",ROUND(100*COUNTIFS('Teacher Rankings'!B:B,$A32,'Teacher Rankings'!A:A,"&gt;="&amp;$B$4,'Teacher Rankings'!A:A,"&lt;="&amp;$B$5,'Teacher Rankings'!G:G,20)/$C32,0))</f>
        <v/>
      </c>
    </row>
    <row r="33">
      <c r="A33">
        <f>IF(Teachers!A27="","",Teachers!A27)</f>
        <v/>
      </c>
      <c r="B33">
        <f>IF($A33="","",Teachers!B27)</f>
        <v/>
      </c>
      <c r="C33">
        <f>IF($A33="","",COUNTIFS('Teacher Rankings'!B:B,$A33,'Teacher Rankings'!A:A,"&gt;="&amp;$B$4,'Teacher Rankings'!A:A,"&lt;="&amp;$B$5))</f>
        <v/>
      </c>
      <c r="D33">
        <f>IF($C33=0,"",ROUND(AVERAGEIFS('Teacher Rankings'!I:I,'Teacher Rankings'!B:B,$A33,'Teacher Rankings'!A:A,"&gt;="&amp;$B$4,'Teacher Rankings'!A:A,"&lt;="&amp;$B$5),0))</f>
        <v/>
      </c>
      <c r="E33">
        <f>IF($C33=0,"",IFERROR(INDEX('Teacher Rankings'!I:I,MATCH(1,('Teacher Rankings'!B:B=$A33)*('Teacher Rankings'!A:A=$B$5),0)),0) - IFERROR(INDEX('Teacher Rankings'!I:I,MATCH(1,('Teacher Rankings'!B:B=$A33)*('Teacher Rankings'!A:A=$B$4),0)),0))</f>
        <v/>
      </c>
      <c r="F33">
        <f>IF($C33=0,"",ROUND(100*COUNTIFS('Teacher Rankings'!B:B,$A33,'Teacher Rankings'!A:A,"&gt;="&amp;$B$4,'Teacher Rankings'!A:A,"&lt;="&amp;$B$5,'Teacher Rankings'!F:F,20)/$C33,0))</f>
        <v/>
      </c>
      <c r="G33">
        <f>IF($C33=0,"",ROUND(100*COUNTIFS('Teacher Rankings'!B:B,$A33,'Teacher Rankings'!A:A,"&gt;="&amp;$B$4,'Teacher Rankings'!A:A,"&lt;="&amp;$B$5,'Teacher Rankings'!D:D,20)/$C33,0))</f>
        <v/>
      </c>
      <c r="H33">
        <f>IF($C33=0,"",ROUND(100*COUNTIFS('Teacher Rankings'!B:B,$A33,'Teacher Rankings'!A:A,"&gt;="&amp;$B$4,'Teacher Rankings'!A:A,"&lt;="&amp;$B$5,'Teacher Rankings'!H:H,20)/$C33,0))</f>
        <v/>
      </c>
      <c r="I33">
        <f>IF($C33=0,"",ROUND(100*COUNTIFS('Teacher Rankings'!B:B,$A33,'Teacher Rankings'!A:A,"&gt;="&amp;$B$4,'Teacher Rankings'!A:A,"&lt;="&amp;$B$5,'Teacher Rankings'!G:G,20)/$C33,0))</f>
        <v/>
      </c>
    </row>
    <row r="34">
      <c r="A34">
        <f>IF(Teachers!A28="","",Teachers!A28)</f>
        <v/>
      </c>
      <c r="B34">
        <f>IF($A34="","",Teachers!B28)</f>
        <v/>
      </c>
      <c r="C34">
        <f>IF($A34="","",COUNTIFS('Teacher Rankings'!B:B,$A34,'Teacher Rankings'!A:A,"&gt;="&amp;$B$4,'Teacher Rankings'!A:A,"&lt;="&amp;$B$5))</f>
        <v/>
      </c>
      <c r="D34">
        <f>IF($C34=0,"",ROUND(AVERAGEIFS('Teacher Rankings'!I:I,'Teacher Rankings'!B:B,$A34,'Teacher Rankings'!A:A,"&gt;="&amp;$B$4,'Teacher Rankings'!A:A,"&lt;="&amp;$B$5),0))</f>
        <v/>
      </c>
      <c r="E34">
        <f>IF($C34=0,"",IFERROR(INDEX('Teacher Rankings'!I:I,MATCH(1,('Teacher Rankings'!B:B=$A34)*('Teacher Rankings'!A:A=$B$5),0)),0) - IFERROR(INDEX('Teacher Rankings'!I:I,MATCH(1,('Teacher Rankings'!B:B=$A34)*('Teacher Rankings'!A:A=$B$4),0)),0))</f>
        <v/>
      </c>
      <c r="F34">
        <f>IF($C34=0,"",ROUND(100*COUNTIFS('Teacher Rankings'!B:B,$A34,'Teacher Rankings'!A:A,"&gt;="&amp;$B$4,'Teacher Rankings'!A:A,"&lt;="&amp;$B$5,'Teacher Rankings'!F:F,20)/$C34,0))</f>
        <v/>
      </c>
      <c r="G34">
        <f>IF($C34=0,"",ROUND(100*COUNTIFS('Teacher Rankings'!B:B,$A34,'Teacher Rankings'!A:A,"&gt;="&amp;$B$4,'Teacher Rankings'!A:A,"&lt;="&amp;$B$5,'Teacher Rankings'!D:D,20)/$C34,0))</f>
        <v/>
      </c>
      <c r="H34">
        <f>IF($C34=0,"",ROUND(100*COUNTIFS('Teacher Rankings'!B:B,$A34,'Teacher Rankings'!A:A,"&gt;="&amp;$B$4,'Teacher Rankings'!A:A,"&lt;="&amp;$B$5,'Teacher Rankings'!H:H,20)/$C34,0))</f>
        <v/>
      </c>
      <c r="I34">
        <f>IF($C34=0,"",ROUND(100*COUNTIFS('Teacher Rankings'!B:B,$A34,'Teacher Rankings'!A:A,"&gt;="&amp;$B$4,'Teacher Rankings'!A:A,"&lt;="&amp;$B$5,'Teacher Rankings'!G:G,20)/$C34,0))</f>
        <v/>
      </c>
    </row>
    <row r="35">
      <c r="A35">
        <f>IF(Teachers!A29="","",Teachers!A29)</f>
        <v/>
      </c>
      <c r="B35">
        <f>IF($A35="","",Teachers!B29)</f>
        <v/>
      </c>
      <c r="C35">
        <f>IF($A35="","",COUNTIFS('Teacher Rankings'!B:B,$A35,'Teacher Rankings'!A:A,"&gt;="&amp;$B$4,'Teacher Rankings'!A:A,"&lt;="&amp;$B$5))</f>
        <v/>
      </c>
      <c r="D35">
        <f>IF($C35=0,"",ROUND(AVERAGEIFS('Teacher Rankings'!I:I,'Teacher Rankings'!B:B,$A35,'Teacher Rankings'!A:A,"&gt;="&amp;$B$4,'Teacher Rankings'!A:A,"&lt;="&amp;$B$5),0))</f>
        <v/>
      </c>
      <c r="E35">
        <f>IF($C35=0,"",IFERROR(INDEX('Teacher Rankings'!I:I,MATCH(1,('Teacher Rankings'!B:B=$A35)*('Teacher Rankings'!A:A=$B$5),0)),0) - IFERROR(INDEX('Teacher Rankings'!I:I,MATCH(1,('Teacher Rankings'!B:B=$A35)*('Teacher Rankings'!A:A=$B$4),0)),0))</f>
        <v/>
      </c>
      <c r="F35">
        <f>IF($C35=0,"",ROUND(100*COUNTIFS('Teacher Rankings'!B:B,$A35,'Teacher Rankings'!A:A,"&gt;="&amp;$B$4,'Teacher Rankings'!A:A,"&lt;="&amp;$B$5,'Teacher Rankings'!F:F,20)/$C35,0))</f>
        <v/>
      </c>
      <c r="G35">
        <f>IF($C35=0,"",ROUND(100*COUNTIFS('Teacher Rankings'!B:B,$A35,'Teacher Rankings'!A:A,"&gt;="&amp;$B$4,'Teacher Rankings'!A:A,"&lt;="&amp;$B$5,'Teacher Rankings'!D:D,20)/$C35,0))</f>
        <v/>
      </c>
      <c r="H35">
        <f>IF($C35=0,"",ROUND(100*COUNTIFS('Teacher Rankings'!B:B,$A35,'Teacher Rankings'!A:A,"&gt;="&amp;$B$4,'Teacher Rankings'!A:A,"&lt;="&amp;$B$5,'Teacher Rankings'!H:H,20)/$C35,0))</f>
        <v/>
      </c>
      <c r="I35">
        <f>IF($C35=0,"",ROUND(100*COUNTIFS('Teacher Rankings'!B:B,$A35,'Teacher Rankings'!A:A,"&gt;="&amp;$B$4,'Teacher Rankings'!A:A,"&lt;="&amp;$B$5,'Teacher Rankings'!G:G,20)/$C35,0))</f>
        <v/>
      </c>
    </row>
    <row r="36">
      <c r="A36">
        <f>IF(Teachers!A30="","",Teachers!A30)</f>
        <v/>
      </c>
      <c r="B36">
        <f>IF($A36="","",Teachers!B30)</f>
        <v/>
      </c>
      <c r="C36">
        <f>IF($A36="","",COUNTIFS('Teacher Rankings'!B:B,$A36,'Teacher Rankings'!A:A,"&gt;="&amp;$B$4,'Teacher Rankings'!A:A,"&lt;="&amp;$B$5))</f>
        <v/>
      </c>
      <c r="D36">
        <f>IF($C36=0,"",ROUND(AVERAGEIFS('Teacher Rankings'!I:I,'Teacher Rankings'!B:B,$A36,'Teacher Rankings'!A:A,"&gt;="&amp;$B$4,'Teacher Rankings'!A:A,"&lt;="&amp;$B$5),0))</f>
        <v/>
      </c>
      <c r="E36">
        <f>IF($C36=0,"",IFERROR(INDEX('Teacher Rankings'!I:I,MATCH(1,('Teacher Rankings'!B:B=$A36)*('Teacher Rankings'!A:A=$B$5),0)),0) - IFERROR(INDEX('Teacher Rankings'!I:I,MATCH(1,('Teacher Rankings'!B:B=$A36)*('Teacher Rankings'!A:A=$B$4),0)),0))</f>
        <v/>
      </c>
      <c r="F36">
        <f>IF($C36=0,"",ROUND(100*COUNTIFS('Teacher Rankings'!B:B,$A36,'Teacher Rankings'!A:A,"&gt;="&amp;$B$4,'Teacher Rankings'!A:A,"&lt;="&amp;$B$5,'Teacher Rankings'!F:F,20)/$C36,0))</f>
        <v/>
      </c>
      <c r="G36">
        <f>IF($C36=0,"",ROUND(100*COUNTIFS('Teacher Rankings'!B:B,$A36,'Teacher Rankings'!A:A,"&gt;="&amp;$B$4,'Teacher Rankings'!A:A,"&lt;="&amp;$B$5,'Teacher Rankings'!D:D,20)/$C36,0))</f>
        <v/>
      </c>
      <c r="H36">
        <f>IF($C36=0,"",ROUND(100*COUNTIFS('Teacher Rankings'!B:B,$A36,'Teacher Rankings'!A:A,"&gt;="&amp;$B$4,'Teacher Rankings'!A:A,"&lt;="&amp;$B$5,'Teacher Rankings'!H:H,20)/$C36,0))</f>
        <v/>
      </c>
      <c r="I36">
        <f>IF($C36=0,"",ROUND(100*COUNTIFS('Teacher Rankings'!B:B,$A36,'Teacher Rankings'!A:A,"&gt;="&amp;$B$4,'Teacher Rankings'!A:A,"&lt;="&amp;$B$5,'Teacher Rankings'!G:G,20)/$C36,0))</f>
        <v/>
      </c>
    </row>
    <row r="37">
      <c r="A37">
        <f>IF(Teachers!A31="","",Teachers!A31)</f>
        <v/>
      </c>
      <c r="B37">
        <f>IF($A37="","",Teachers!B31)</f>
        <v/>
      </c>
      <c r="C37">
        <f>IF($A37="","",COUNTIFS('Teacher Rankings'!B:B,$A37,'Teacher Rankings'!A:A,"&gt;="&amp;$B$4,'Teacher Rankings'!A:A,"&lt;="&amp;$B$5))</f>
        <v/>
      </c>
      <c r="D37">
        <f>IF($C37=0,"",ROUND(AVERAGEIFS('Teacher Rankings'!I:I,'Teacher Rankings'!B:B,$A37,'Teacher Rankings'!A:A,"&gt;="&amp;$B$4,'Teacher Rankings'!A:A,"&lt;="&amp;$B$5),0))</f>
        <v/>
      </c>
      <c r="E37">
        <f>IF($C37=0,"",IFERROR(INDEX('Teacher Rankings'!I:I,MATCH(1,('Teacher Rankings'!B:B=$A37)*('Teacher Rankings'!A:A=$B$5),0)),0) - IFERROR(INDEX('Teacher Rankings'!I:I,MATCH(1,('Teacher Rankings'!B:B=$A37)*('Teacher Rankings'!A:A=$B$4),0)),0))</f>
        <v/>
      </c>
      <c r="F37">
        <f>IF($C37=0,"",ROUND(100*COUNTIFS('Teacher Rankings'!B:B,$A37,'Teacher Rankings'!A:A,"&gt;="&amp;$B$4,'Teacher Rankings'!A:A,"&lt;="&amp;$B$5,'Teacher Rankings'!F:F,20)/$C37,0))</f>
        <v/>
      </c>
      <c r="G37">
        <f>IF($C37=0,"",ROUND(100*COUNTIFS('Teacher Rankings'!B:B,$A37,'Teacher Rankings'!A:A,"&gt;="&amp;$B$4,'Teacher Rankings'!A:A,"&lt;="&amp;$B$5,'Teacher Rankings'!D:D,20)/$C37,0))</f>
        <v/>
      </c>
      <c r="H37">
        <f>IF($C37=0,"",ROUND(100*COUNTIFS('Teacher Rankings'!B:B,$A37,'Teacher Rankings'!A:A,"&gt;="&amp;$B$4,'Teacher Rankings'!A:A,"&lt;="&amp;$B$5,'Teacher Rankings'!H:H,20)/$C37,0))</f>
        <v/>
      </c>
      <c r="I37">
        <f>IF($C37=0,"",ROUND(100*COUNTIFS('Teacher Rankings'!B:B,$A37,'Teacher Rankings'!A:A,"&gt;="&amp;$B$4,'Teacher Rankings'!A:A,"&lt;="&amp;$B$5,'Teacher Rankings'!G:G,20)/$C37,0))</f>
        <v/>
      </c>
    </row>
    <row r="38">
      <c r="A38">
        <f>IF(Teachers!A32="","",Teachers!A32)</f>
        <v/>
      </c>
      <c r="B38">
        <f>IF($A38="","",Teachers!B32)</f>
        <v/>
      </c>
      <c r="C38">
        <f>IF($A38="","",COUNTIFS('Teacher Rankings'!B:B,$A38,'Teacher Rankings'!A:A,"&gt;="&amp;$B$4,'Teacher Rankings'!A:A,"&lt;="&amp;$B$5))</f>
        <v/>
      </c>
      <c r="D38">
        <f>IF($C38=0,"",ROUND(AVERAGEIFS('Teacher Rankings'!I:I,'Teacher Rankings'!B:B,$A38,'Teacher Rankings'!A:A,"&gt;="&amp;$B$4,'Teacher Rankings'!A:A,"&lt;="&amp;$B$5),0))</f>
        <v/>
      </c>
      <c r="E38">
        <f>IF($C38=0,"",IFERROR(INDEX('Teacher Rankings'!I:I,MATCH(1,('Teacher Rankings'!B:B=$A38)*('Teacher Rankings'!A:A=$B$5),0)),0) - IFERROR(INDEX('Teacher Rankings'!I:I,MATCH(1,('Teacher Rankings'!B:B=$A38)*('Teacher Rankings'!A:A=$B$4),0)),0))</f>
        <v/>
      </c>
      <c r="F38">
        <f>IF($C38=0,"",ROUND(100*COUNTIFS('Teacher Rankings'!B:B,$A38,'Teacher Rankings'!A:A,"&gt;="&amp;$B$4,'Teacher Rankings'!A:A,"&lt;="&amp;$B$5,'Teacher Rankings'!F:F,20)/$C38,0))</f>
        <v/>
      </c>
      <c r="G38">
        <f>IF($C38=0,"",ROUND(100*COUNTIFS('Teacher Rankings'!B:B,$A38,'Teacher Rankings'!A:A,"&gt;="&amp;$B$4,'Teacher Rankings'!A:A,"&lt;="&amp;$B$5,'Teacher Rankings'!D:D,20)/$C38,0))</f>
        <v/>
      </c>
      <c r="H38">
        <f>IF($C38=0,"",ROUND(100*COUNTIFS('Teacher Rankings'!B:B,$A38,'Teacher Rankings'!A:A,"&gt;="&amp;$B$4,'Teacher Rankings'!A:A,"&lt;="&amp;$B$5,'Teacher Rankings'!H:H,20)/$C38,0))</f>
        <v/>
      </c>
      <c r="I38">
        <f>IF($C38=0,"",ROUND(100*COUNTIFS('Teacher Rankings'!B:B,$A38,'Teacher Rankings'!A:A,"&gt;="&amp;$B$4,'Teacher Rankings'!A:A,"&lt;="&amp;$B$5,'Teacher Rankings'!G:G,20)/$C38,0))</f>
        <v/>
      </c>
    </row>
    <row r="39">
      <c r="A39">
        <f>IF(Teachers!A33="","",Teachers!A33)</f>
        <v/>
      </c>
      <c r="B39">
        <f>IF($A39="","",Teachers!B33)</f>
        <v/>
      </c>
      <c r="C39">
        <f>IF($A39="","",COUNTIFS('Teacher Rankings'!B:B,$A39,'Teacher Rankings'!A:A,"&gt;="&amp;$B$4,'Teacher Rankings'!A:A,"&lt;="&amp;$B$5))</f>
        <v/>
      </c>
      <c r="D39">
        <f>IF($C39=0,"",ROUND(AVERAGEIFS('Teacher Rankings'!I:I,'Teacher Rankings'!B:B,$A39,'Teacher Rankings'!A:A,"&gt;="&amp;$B$4,'Teacher Rankings'!A:A,"&lt;="&amp;$B$5),0))</f>
        <v/>
      </c>
      <c r="E39">
        <f>IF($C39=0,"",IFERROR(INDEX('Teacher Rankings'!I:I,MATCH(1,('Teacher Rankings'!B:B=$A39)*('Teacher Rankings'!A:A=$B$5),0)),0) - IFERROR(INDEX('Teacher Rankings'!I:I,MATCH(1,('Teacher Rankings'!B:B=$A39)*('Teacher Rankings'!A:A=$B$4),0)),0))</f>
        <v/>
      </c>
      <c r="F39">
        <f>IF($C39=0,"",ROUND(100*COUNTIFS('Teacher Rankings'!B:B,$A39,'Teacher Rankings'!A:A,"&gt;="&amp;$B$4,'Teacher Rankings'!A:A,"&lt;="&amp;$B$5,'Teacher Rankings'!F:F,20)/$C39,0))</f>
        <v/>
      </c>
      <c r="G39">
        <f>IF($C39=0,"",ROUND(100*COUNTIFS('Teacher Rankings'!B:B,$A39,'Teacher Rankings'!A:A,"&gt;="&amp;$B$4,'Teacher Rankings'!A:A,"&lt;="&amp;$B$5,'Teacher Rankings'!D:D,20)/$C39,0))</f>
        <v/>
      </c>
      <c r="H39">
        <f>IF($C39=0,"",ROUND(100*COUNTIFS('Teacher Rankings'!B:B,$A39,'Teacher Rankings'!A:A,"&gt;="&amp;$B$4,'Teacher Rankings'!A:A,"&lt;="&amp;$B$5,'Teacher Rankings'!H:H,20)/$C39,0))</f>
        <v/>
      </c>
      <c r="I39">
        <f>IF($C39=0,"",ROUND(100*COUNTIFS('Teacher Rankings'!B:B,$A39,'Teacher Rankings'!A:A,"&gt;="&amp;$B$4,'Teacher Rankings'!A:A,"&lt;="&amp;$B$5,'Teacher Rankings'!G:G,20)/$C39,0))</f>
        <v/>
      </c>
    </row>
    <row r="40">
      <c r="A40">
        <f>IF(Teachers!A34="","",Teachers!A34)</f>
        <v/>
      </c>
      <c r="B40">
        <f>IF($A40="","",Teachers!B34)</f>
        <v/>
      </c>
      <c r="C40">
        <f>IF($A40="","",COUNTIFS('Teacher Rankings'!B:B,$A40,'Teacher Rankings'!A:A,"&gt;="&amp;$B$4,'Teacher Rankings'!A:A,"&lt;="&amp;$B$5))</f>
        <v/>
      </c>
      <c r="D40">
        <f>IF($C40=0,"",ROUND(AVERAGEIFS('Teacher Rankings'!I:I,'Teacher Rankings'!B:B,$A40,'Teacher Rankings'!A:A,"&gt;="&amp;$B$4,'Teacher Rankings'!A:A,"&lt;="&amp;$B$5),0))</f>
        <v/>
      </c>
      <c r="E40">
        <f>IF($C40=0,"",IFERROR(INDEX('Teacher Rankings'!I:I,MATCH(1,('Teacher Rankings'!B:B=$A40)*('Teacher Rankings'!A:A=$B$5),0)),0) - IFERROR(INDEX('Teacher Rankings'!I:I,MATCH(1,('Teacher Rankings'!B:B=$A40)*('Teacher Rankings'!A:A=$B$4),0)),0))</f>
        <v/>
      </c>
      <c r="F40">
        <f>IF($C40=0,"",ROUND(100*COUNTIFS('Teacher Rankings'!B:B,$A40,'Teacher Rankings'!A:A,"&gt;="&amp;$B$4,'Teacher Rankings'!A:A,"&lt;="&amp;$B$5,'Teacher Rankings'!F:F,20)/$C40,0))</f>
        <v/>
      </c>
      <c r="G40">
        <f>IF($C40=0,"",ROUND(100*COUNTIFS('Teacher Rankings'!B:B,$A40,'Teacher Rankings'!A:A,"&gt;="&amp;$B$4,'Teacher Rankings'!A:A,"&lt;="&amp;$B$5,'Teacher Rankings'!D:D,20)/$C40,0))</f>
        <v/>
      </c>
      <c r="H40">
        <f>IF($C40=0,"",ROUND(100*COUNTIFS('Teacher Rankings'!B:B,$A40,'Teacher Rankings'!A:A,"&gt;="&amp;$B$4,'Teacher Rankings'!A:A,"&lt;="&amp;$B$5,'Teacher Rankings'!H:H,20)/$C40,0))</f>
        <v/>
      </c>
      <c r="I40">
        <f>IF($C40=0,"",ROUND(100*COUNTIFS('Teacher Rankings'!B:B,$A40,'Teacher Rankings'!A:A,"&gt;="&amp;$B$4,'Teacher Rankings'!A:A,"&lt;="&amp;$B$5,'Teacher Rankings'!G:G,20)/$C40,0))</f>
        <v/>
      </c>
    </row>
    <row r="41">
      <c r="A41">
        <f>IF(Teachers!A35="","",Teachers!A35)</f>
        <v/>
      </c>
      <c r="B41">
        <f>IF($A41="","",Teachers!B35)</f>
        <v/>
      </c>
      <c r="C41">
        <f>IF($A41="","",COUNTIFS('Teacher Rankings'!B:B,$A41,'Teacher Rankings'!A:A,"&gt;="&amp;$B$4,'Teacher Rankings'!A:A,"&lt;="&amp;$B$5))</f>
        <v/>
      </c>
      <c r="D41">
        <f>IF($C41=0,"",ROUND(AVERAGEIFS('Teacher Rankings'!I:I,'Teacher Rankings'!B:B,$A41,'Teacher Rankings'!A:A,"&gt;="&amp;$B$4,'Teacher Rankings'!A:A,"&lt;="&amp;$B$5),0))</f>
        <v/>
      </c>
      <c r="E41">
        <f>IF($C41=0,"",IFERROR(INDEX('Teacher Rankings'!I:I,MATCH(1,('Teacher Rankings'!B:B=$A41)*('Teacher Rankings'!A:A=$B$5),0)),0) - IFERROR(INDEX('Teacher Rankings'!I:I,MATCH(1,('Teacher Rankings'!B:B=$A41)*('Teacher Rankings'!A:A=$B$4),0)),0))</f>
        <v/>
      </c>
      <c r="F41">
        <f>IF($C41=0,"",ROUND(100*COUNTIFS('Teacher Rankings'!B:B,$A41,'Teacher Rankings'!A:A,"&gt;="&amp;$B$4,'Teacher Rankings'!A:A,"&lt;="&amp;$B$5,'Teacher Rankings'!F:F,20)/$C41,0))</f>
        <v/>
      </c>
      <c r="G41">
        <f>IF($C41=0,"",ROUND(100*COUNTIFS('Teacher Rankings'!B:B,$A41,'Teacher Rankings'!A:A,"&gt;="&amp;$B$4,'Teacher Rankings'!A:A,"&lt;="&amp;$B$5,'Teacher Rankings'!D:D,20)/$C41,0))</f>
        <v/>
      </c>
      <c r="H41">
        <f>IF($C41=0,"",ROUND(100*COUNTIFS('Teacher Rankings'!B:B,$A41,'Teacher Rankings'!A:A,"&gt;="&amp;$B$4,'Teacher Rankings'!A:A,"&lt;="&amp;$B$5,'Teacher Rankings'!H:H,20)/$C41,0))</f>
        <v/>
      </c>
      <c r="I41">
        <f>IF($C41=0,"",ROUND(100*COUNTIFS('Teacher Rankings'!B:B,$A41,'Teacher Rankings'!A:A,"&gt;="&amp;$B$4,'Teacher Rankings'!A:A,"&lt;="&amp;$B$5,'Teacher Rankings'!G:G,20)/$C41,0))</f>
        <v/>
      </c>
    </row>
    <row r="42">
      <c r="A42">
        <f>IF(Teachers!A36="","",Teachers!A36)</f>
        <v/>
      </c>
      <c r="B42">
        <f>IF($A42="","",Teachers!B36)</f>
        <v/>
      </c>
      <c r="C42">
        <f>IF($A42="","",COUNTIFS('Teacher Rankings'!B:B,$A42,'Teacher Rankings'!A:A,"&gt;="&amp;$B$4,'Teacher Rankings'!A:A,"&lt;="&amp;$B$5))</f>
        <v/>
      </c>
      <c r="D42">
        <f>IF($C42=0,"",ROUND(AVERAGEIFS('Teacher Rankings'!I:I,'Teacher Rankings'!B:B,$A42,'Teacher Rankings'!A:A,"&gt;="&amp;$B$4,'Teacher Rankings'!A:A,"&lt;="&amp;$B$5),0))</f>
        <v/>
      </c>
      <c r="E42">
        <f>IF($C42=0,"",IFERROR(INDEX('Teacher Rankings'!I:I,MATCH(1,('Teacher Rankings'!B:B=$A42)*('Teacher Rankings'!A:A=$B$5),0)),0) - IFERROR(INDEX('Teacher Rankings'!I:I,MATCH(1,('Teacher Rankings'!B:B=$A42)*('Teacher Rankings'!A:A=$B$4),0)),0))</f>
        <v/>
      </c>
      <c r="F42">
        <f>IF($C42=0,"",ROUND(100*COUNTIFS('Teacher Rankings'!B:B,$A42,'Teacher Rankings'!A:A,"&gt;="&amp;$B$4,'Teacher Rankings'!A:A,"&lt;="&amp;$B$5,'Teacher Rankings'!F:F,20)/$C42,0))</f>
        <v/>
      </c>
      <c r="G42">
        <f>IF($C42=0,"",ROUND(100*COUNTIFS('Teacher Rankings'!B:B,$A42,'Teacher Rankings'!A:A,"&gt;="&amp;$B$4,'Teacher Rankings'!A:A,"&lt;="&amp;$B$5,'Teacher Rankings'!D:D,20)/$C42,0))</f>
        <v/>
      </c>
      <c r="H42">
        <f>IF($C42=0,"",ROUND(100*COUNTIFS('Teacher Rankings'!B:B,$A42,'Teacher Rankings'!A:A,"&gt;="&amp;$B$4,'Teacher Rankings'!A:A,"&lt;="&amp;$B$5,'Teacher Rankings'!H:H,20)/$C42,0))</f>
        <v/>
      </c>
      <c r="I42">
        <f>IF($C42=0,"",ROUND(100*COUNTIFS('Teacher Rankings'!B:B,$A42,'Teacher Rankings'!A:A,"&gt;="&amp;$B$4,'Teacher Rankings'!A:A,"&lt;="&amp;$B$5,'Teacher Rankings'!G:G,20)/$C42,0))</f>
        <v/>
      </c>
    </row>
    <row r="43">
      <c r="A43">
        <f>IF(Teachers!A37="","",Teachers!A37)</f>
        <v/>
      </c>
      <c r="B43">
        <f>IF($A43="","",Teachers!B37)</f>
        <v/>
      </c>
      <c r="C43">
        <f>IF($A43="","",COUNTIFS('Teacher Rankings'!B:B,$A43,'Teacher Rankings'!A:A,"&gt;="&amp;$B$4,'Teacher Rankings'!A:A,"&lt;="&amp;$B$5))</f>
        <v/>
      </c>
      <c r="D43">
        <f>IF($C43=0,"",ROUND(AVERAGEIFS('Teacher Rankings'!I:I,'Teacher Rankings'!B:B,$A43,'Teacher Rankings'!A:A,"&gt;="&amp;$B$4,'Teacher Rankings'!A:A,"&lt;="&amp;$B$5),0))</f>
        <v/>
      </c>
      <c r="E43">
        <f>IF($C43=0,"",IFERROR(INDEX('Teacher Rankings'!I:I,MATCH(1,('Teacher Rankings'!B:B=$A43)*('Teacher Rankings'!A:A=$B$5),0)),0) - IFERROR(INDEX('Teacher Rankings'!I:I,MATCH(1,('Teacher Rankings'!B:B=$A43)*('Teacher Rankings'!A:A=$B$4),0)),0))</f>
        <v/>
      </c>
      <c r="F43">
        <f>IF($C43=0,"",ROUND(100*COUNTIFS('Teacher Rankings'!B:B,$A43,'Teacher Rankings'!A:A,"&gt;="&amp;$B$4,'Teacher Rankings'!A:A,"&lt;="&amp;$B$5,'Teacher Rankings'!F:F,20)/$C43,0))</f>
        <v/>
      </c>
      <c r="G43">
        <f>IF($C43=0,"",ROUND(100*COUNTIFS('Teacher Rankings'!B:B,$A43,'Teacher Rankings'!A:A,"&gt;="&amp;$B$4,'Teacher Rankings'!A:A,"&lt;="&amp;$B$5,'Teacher Rankings'!D:D,20)/$C43,0))</f>
        <v/>
      </c>
      <c r="H43">
        <f>IF($C43=0,"",ROUND(100*COUNTIFS('Teacher Rankings'!B:B,$A43,'Teacher Rankings'!A:A,"&gt;="&amp;$B$4,'Teacher Rankings'!A:A,"&lt;="&amp;$B$5,'Teacher Rankings'!H:H,20)/$C43,0))</f>
        <v/>
      </c>
      <c r="I43">
        <f>IF($C43=0,"",ROUND(100*COUNTIFS('Teacher Rankings'!B:B,$A43,'Teacher Rankings'!A:A,"&gt;="&amp;$B$4,'Teacher Rankings'!A:A,"&lt;="&amp;$B$5,'Teacher Rankings'!G:G,20)/$C43,0))</f>
        <v/>
      </c>
    </row>
    <row r="44">
      <c r="A44">
        <f>IF(Teachers!A38="","",Teachers!A38)</f>
        <v/>
      </c>
      <c r="B44">
        <f>IF($A44="","",Teachers!B38)</f>
        <v/>
      </c>
      <c r="C44">
        <f>IF($A44="","",COUNTIFS('Teacher Rankings'!B:B,$A44,'Teacher Rankings'!A:A,"&gt;="&amp;$B$4,'Teacher Rankings'!A:A,"&lt;="&amp;$B$5))</f>
        <v/>
      </c>
      <c r="D44">
        <f>IF($C44=0,"",ROUND(AVERAGEIFS('Teacher Rankings'!I:I,'Teacher Rankings'!B:B,$A44,'Teacher Rankings'!A:A,"&gt;="&amp;$B$4,'Teacher Rankings'!A:A,"&lt;="&amp;$B$5),0))</f>
        <v/>
      </c>
      <c r="E44">
        <f>IF($C44=0,"",IFERROR(INDEX('Teacher Rankings'!I:I,MATCH(1,('Teacher Rankings'!B:B=$A44)*('Teacher Rankings'!A:A=$B$5),0)),0) - IFERROR(INDEX('Teacher Rankings'!I:I,MATCH(1,('Teacher Rankings'!B:B=$A44)*('Teacher Rankings'!A:A=$B$4),0)),0))</f>
        <v/>
      </c>
      <c r="F44">
        <f>IF($C44=0,"",ROUND(100*COUNTIFS('Teacher Rankings'!B:B,$A44,'Teacher Rankings'!A:A,"&gt;="&amp;$B$4,'Teacher Rankings'!A:A,"&lt;="&amp;$B$5,'Teacher Rankings'!F:F,20)/$C44,0))</f>
        <v/>
      </c>
      <c r="G44">
        <f>IF($C44=0,"",ROUND(100*COUNTIFS('Teacher Rankings'!B:B,$A44,'Teacher Rankings'!A:A,"&gt;="&amp;$B$4,'Teacher Rankings'!A:A,"&lt;="&amp;$B$5,'Teacher Rankings'!D:D,20)/$C44,0))</f>
        <v/>
      </c>
      <c r="H44">
        <f>IF($C44=0,"",ROUND(100*COUNTIFS('Teacher Rankings'!B:B,$A44,'Teacher Rankings'!A:A,"&gt;="&amp;$B$4,'Teacher Rankings'!A:A,"&lt;="&amp;$B$5,'Teacher Rankings'!H:H,20)/$C44,0))</f>
        <v/>
      </c>
      <c r="I44">
        <f>IF($C44=0,"",ROUND(100*COUNTIFS('Teacher Rankings'!B:B,$A44,'Teacher Rankings'!A:A,"&gt;="&amp;$B$4,'Teacher Rankings'!A:A,"&lt;="&amp;$B$5,'Teacher Rankings'!G:G,20)/$C44,0))</f>
        <v/>
      </c>
    </row>
    <row r="45">
      <c r="A45">
        <f>IF(Teachers!A39="","",Teachers!A39)</f>
        <v/>
      </c>
      <c r="B45">
        <f>IF($A45="","",Teachers!B39)</f>
        <v/>
      </c>
      <c r="C45">
        <f>IF($A45="","",COUNTIFS('Teacher Rankings'!B:B,$A45,'Teacher Rankings'!A:A,"&gt;="&amp;$B$4,'Teacher Rankings'!A:A,"&lt;="&amp;$B$5))</f>
        <v/>
      </c>
      <c r="D45">
        <f>IF($C45=0,"",ROUND(AVERAGEIFS('Teacher Rankings'!I:I,'Teacher Rankings'!B:B,$A45,'Teacher Rankings'!A:A,"&gt;="&amp;$B$4,'Teacher Rankings'!A:A,"&lt;="&amp;$B$5),0))</f>
        <v/>
      </c>
      <c r="E45">
        <f>IF($C45=0,"",IFERROR(INDEX('Teacher Rankings'!I:I,MATCH(1,('Teacher Rankings'!B:B=$A45)*('Teacher Rankings'!A:A=$B$5),0)),0) - IFERROR(INDEX('Teacher Rankings'!I:I,MATCH(1,('Teacher Rankings'!B:B=$A45)*('Teacher Rankings'!A:A=$B$4),0)),0))</f>
        <v/>
      </c>
      <c r="F45">
        <f>IF($C45=0,"",ROUND(100*COUNTIFS('Teacher Rankings'!B:B,$A45,'Teacher Rankings'!A:A,"&gt;="&amp;$B$4,'Teacher Rankings'!A:A,"&lt;="&amp;$B$5,'Teacher Rankings'!F:F,20)/$C45,0))</f>
        <v/>
      </c>
      <c r="G45">
        <f>IF($C45=0,"",ROUND(100*COUNTIFS('Teacher Rankings'!B:B,$A45,'Teacher Rankings'!A:A,"&gt;="&amp;$B$4,'Teacher Rankings'!A:A,"&lt;="&amp;$B$5,'Teacher Rankings'!D:D,20)/$C45,0))</f>
        <v/>
      </c>
      <c r="H45">
        <f>IF($C45=0,"",ROUND(100*COUNTIFS('Teacher Rankings'!B:B,$A45,'Teacher Rankings'!A:A,"&gt;="&amp;$B$4,'Teacher Rankings'!A:A,"&lt;="&amp;$B$5,'Teacher Rankings'!H:H,20)/$C45,0))</f>
        <v/>
      </c>
      <c r="I45">
        <f>IF($C45=0,"",ROUND(100*COUNTIFS('Teacher Rankings'!B:B,$A45,'Teacher Rankings'!A:A,"&gt;="&amp;$B$4,'Teacher Rankings'!A:A,"&lt;="&amp;$B$5,'Teacher Rankings'!G:G,20)/$C45,0))</f>
        <v/>
      </c>
    </row>
    <row r="46">
      <c r="A46">
        <f>IF(Teachers!A40="","",Teachers!A40)</f>
        <v/>
      </c>
      <c r="B46">
        <f>IF($A46="","",Teachers!B40)</f>
        <v/>
      </c>
      <c r="C46">
        <f>IF($A46="","",COUNTIFS('Teacher Rankings'!B:B,$A46,'Teacher Rankings'!A:A,"&gt;="&amp;$B$4,'Teacher Rankings'!A:A,"&lt;="&amp;$B$5))</f>
        <v/>
      </c>
      <c r="D46">
        <f>IF($C46=0,"",ROUND(AVERAGEIFS('Teacher Rankings'!I:I,'Teacher Rankings'!B:B,$A46,'Teacher Rankings'!A:A,"&gt;="&amp;$B$4,'Teacher Rankings'!A:A,"&lt;="&amp;$B$5),0))</f>
        <v/>
      </c>
      <c r="E46">
        <f>IF($C46=0,"",IFERROR(INDEX('Teacher Rankings'!I:I,MATCH(1,('Teacher Rankings'!B:B=$A46)*('Teacher Rankings'!A:A=$B$5),0)),0) - IFERROR(INDEX('Teacher Rankings'!I:I,MATCH(1,('Teacher Rankings'!B:B=$A46)*('Teacher Rankings'!A:A=$B$4),0)),0))</f>
        <v/>
      </c>
      <c r="F46">
        <f>IF($C46=0,"",ROUND(100*COUNTIFS('Teacher Rankings'!B:B,$A46,'Teacher Rankings'!A:A,"&gt;="&amp;$B$4,'Teacher Rankings'!A:A,"&lt;="&amp;$B$5,'Teacher Rankings'!F:F,20)/$C46,0))</f>
        <v/>
      </c>
      <c r="G46">
        <f>IF($C46=0,"",ROUND(100*COUNTIFS('Teacher Rankings'!B:B,$A46,'Teacher Rankings'!A:A,"&gt;="&amp;$B$4,'Teacher Rankings'!A:A,"&lt;="&amp;$B$5,'Teacher Rankings'!D:D,20)/$C46,0))</f>
        <v/>
      </c>
      <c r="H46">
        <f>IF($C46=0,"",ROUND(100*COUNTIFS('Teacher Rankings'!B:B,$A46,'Teacher Rankings'!A:A,"&gt;="&amp;$B$4,'Teacher Rankings'!A:A,"&lt;="&amp;$B$5,'Teacher Rankings'!H:H,20)/$C46,0))</f>
        <v/>
      </c>
      <c r="I46">
        <f>IF($C46=0,"",ROUND(100*COUNTIFS('Teacher Rankings'!B:B,$A46,'Teacher Rankings'!A:A,"&gt;="&amp;$B$4,'Teacher Rankings'!A:A,"&lt;="&amp;$B$5,'Teacher Rankings'!G:G,20)/$C46,0))</f>
        <v/>
      </c>
    </row>
    <row r="47">
      <c r="A47">
        <f>IF(Teachers!A41="","",Teachers!A41)</f>
        <v/>
      </c>
      <c r="B47">
        <f>IF($A47="","",Teachers!B41)</f>
        <v/>
      </c>
      <c r="C47">
        <f>IF($A47="","",COUNTIFS('Teacher Rankings'!B:B,$A47,'Teacher Rankings'!A:A,"&gt;="&amp;$B$4,'Teacher Rankings'!A:A,"&lt;="&amp;$B$5))</f>
        <v/>
      </c>
      <c r="D47">
        <f>IF($C47=0,"",ROUND(AVERAGEIFS('Teacher Rankings'!I:I,'Teacher Rankings'!B:B,$A47,'Teacher Rankings'!A:A,"&gt;="&amp;$B$4,'Teacher Rankings'!A:A,"&lt;="&amp;$B$5),0))</f>
        <v/>
      </c>
      <c r="E47">
        <f>IF($C47=0,"",IFERROR(INDEX('Teacher Rankings'!I:I,MATCH(1,('Teacher Rankings'!B:B=$A47)*('Teacher Rankings'!A:A=$B$5),0)),0) - IFERROR(INDEX('Teacher Rankings'!I:I,MATCH(1,('Teacher Rankings'!B:B=$A47)*('Teacher Rankings'!A:A=$B$4),0)),0))</f>
        <v/>
      </c>
      <c r="F47">
        <f>IF($C47=0,"",ROUND(100*COUNTIFS('Teacher Rankings'!B:B,$A47,'Teacher Rankings'!A:A,"&gt;="&amp;$B$4,'Teacher Rankings'!A:A,"&lt;="&amp;$B$5,'Teacher Rankings'!F:F,20)/$C47,0))</f>
        <v/>
      </c>
      <c r="G47">
        <f>IF($C47=0,"",ROUND(100*COUNTIFS('Teacher Rankings'!B:B,$A47,'Teacher Rankings'!A:A,"&gt;="&amp;$B$4,'Teacher Rankings'!A:A,"&lt;="&amp;$B$5,'Teacher Rankings'!D:D,20)/$C47,0))</f>
        <v/>
      </c>
      <c r="H47">
        <f>IF($C47=0,"",ROUND(100*COUNTIFS('Teacher Rankings'!B:B,$A47,'Teacher Rankings'!A:A,"&gt;="&amp;$B$4,'Teacher Rankings'!A:A,"&lt;="&amp;$B$5,'Teacher Rankings'!H:H,20)/$C47,0))</f>
        <v/>
      </c>
      <c r="I47">
        <f>IF($C47=0,"",ROUND(100*COUNTIFS('Teacher Rankings'!B:B,$A47,'Teacher Rankings'!A:A,"&gt;="&amp;$B$4,'Teacher Rankings'!A:A,"&lt;="&amp;$B$5,'Teacher Rankings'!G:G,20)/$C47,0))</f>
        <v/>
      </c>
    </row>
    <row r="48">
      <c r="A48">
        <f>IF(Teachers!A42="","",Teachers!A42)</f>
        <v/>
      </c>
      <c r="B48">
        <f>IF($A48="","",Teachers!B42)</f>
        <v/>
      </c>
      <c r="C48">
        <f>IF($A48="","",COUNTIFS('Teacher Rankings'!B:B,$A48,'Teacher Rankings'!A:A,"&gt;="&amp;$B$4,'Teacher Rankings'!A:A,"&lt;="&amp;$B$5))</f>
        <v/>
      </c>
      <c r="D48">
        <f>IF($C48=0,"",ROUND(AVERAGEIFS('Teacher Rankings'!I:I,'Teacher Rankings'!B:B,$A48,'Teacher Rankings'!A:A,"&gt;="&amp;$B$4,'Teacher Rankings'!A:A,"&lt;="&amp;$B$5),0))</f>
        <v/>
      </c>
      <c r="E48">
        <f>IF($C48=0,"",IFERROR(INDEX('Teacher Rankings'!I:I,MATCH(1,('Teacher Rankings'!B:B=$A48)*('Teacher Rankings'!A:A=$B$5),0)),0) - IFERROR(INDEX('Teacher Rankings'!I:I,MATCH(1,('Teacher Rankings'!B:B=$A48)*('Teacher Rankings'!A:A=$B$4),0)),0))</f>
        <v/>
      </c>
      <c r="F48">
        <f>IF($C48=0,"",ROUND(100*COUNTIFS('Teacher Rankings'!B:B,$A48,'Teacher Rankings'!A:A,"&gt;="&amp;$B$4,'Teacher Rankings'!A:A,"&lt;="&amp;$B$5,'Teacher Rankings'!F:F,20)/$C48,0))</f>
        <v/>
      </c>
      <c r="G48">
        <f>IF($C48=0,"",ROUND(100*COUNTIFS('Teacher Rankings'!B:B,$A48,'Teacher Rankings'!A:A,"&gt;="&amp;$B$4,'Teacher Rankings'!A:A,"&lt;="&amp;$B$5,'Teacher Rankings'!D:D,20)/$C48,0))</f>
        <v/>
      </c>
      <c r="H48">
        <f>IF($C48=0,"",ROUND(100*COUNTIFS('Teacher Rankings'!B:B,$A48,'Teacher Rankings'!A:A,"&gt;="&amp;$B$4,'Teacher Rankings'!A:A,"&lt;="&amp;$B$5,'Teacher Rankings'!H:H,20)/$C48,0))</f>
        <v/>
      </c>
      <c r="I48">
        <f>IF($C48=0,"",ROUND(100*COUNTIFS('Teacher Rankings'!B:B,$A48,'Teacher Rankings'!A:A,"&gt;="&amp;$B$4,'Teacher Rankings'!A:A,"&lt;="&amp;$B$5,'Teacher Rankings'!G:G,20)/$C48,0))</f>
        <v/>
      </c>
    </row>
    <row r="49">
      <c r="A49">
        <f>IF(Teachers!A43="","",Teachers!A43)</f>
        <v/>
      </c>
      <c r="B49">
        <f>IF($A49="","",Teachers!B43)</f>
        <v/>
      </c>
      <c r="C49">
        <f>IF($A49="","",COUNTIFS('Teacher Rankings'!B:B,$A49,'Teacher Rankings'!A:A,"&gt;="&amp;$B$4,'Teacher Rankings'!A:A,"&lt;="&amp;$B$5))</f>
        <v/>
      </c>
      <c r="D49">
        <f>IF($C49=0,"",ROUND(AVERAGEIFS('Teacher Rankings'!I:I,'Teacher Rankings'!B:B,$A49,'Teacher Rankings'!A:A,"&gt;="&amp;$B$4,'Teacher Rankings'!A:A,"&lt;="&amp;$B$5),0))</f>
        <v/>
      </c>
      <c r="E49">
        <f>IF($C49=0,"",IFERROR(INDEX('Teacher Rankings'!I:I,MATCH(1,('Teacher Rankings'!B:B=$A49)*('Teacher Rankings'!A:A=$B$5),0)),0) - IFERROR(INDEX('Teacher Rankings'!I:I,MATCH(1,('Teacher Rankings'!B:B=$A49)*('Teacher Rankings'!A:A=$B$4),0)),0))</f>
        <v/>
      </c>
      <c r="F49">
        <f>IF($C49=0,"",ROUND(100*COUNTIFS('Teacher Rankings'!B:B,$A49,'Teacher Rankings'!A:A,"&gt;="&amp;$B$4,'Teacher Rankings'!A:A,"&lt;="&amp;$B$5,'Teacher Rankings'!F:F,20)/$C49,0))</f>
        <v/>
      </c>
      <c r="G49">
        <f>IF($C49=0,"",ROUND(100*COUNTIFS('Teacher Rankings'!B:B,$A49,'Teacher Rankings'!A:A,"&gt;="&amp;$B$4,'Teacher Rankings'!A:A,"&lt;="&amp;$B$5,'Teacher Rankings'!D:D,20)/$C49,0))</f>
        <v/>
      </c>
      <c r="H49">
        <f>IF($C49=0,"",ROUND(100*COUNTIFS('Teacher Rankings'!B:B,$A49,'Teacher Rankings'!A:A,"&gt;="&amp;$B$4,'Teacher Rankings'!A:A,"&lt;="&amp;$B$5,'Teacher Rankings'!H:H,20)/$C49,0))</f>
        <v/>
      </c>
      <c r="I49">
        <f>IF($C49=0,"",ROUND(100*COUNTIFS('Teacher Rankings'!B:B,$A49,'Teacher Rankings'!A:A,"&gt;="&amp;$B$4,'Teacher Rankings'!A:A,"&lt;="&amp;$B$5,'Teacher Rankings'!G:G,20)/$C49,0))</f>
        <v/>
      </c>
    </row>
    <row r="50">
      <c r="A50">
        <f>IF(Teachers!A44="","",Teachers!A44)</f>
        <v/>
      </c>
      <c r="B50">
        <f>IF($A50="","",Teachers!B44)</f>
        <v/>
      </c>
      <c r="C50">
        <f>IF($A50="","",COUNTIFS('Teacher Rankings'!B:B,$A50,'Teacher Rankings'!A:A,"&gt;="&amp;$B$4,'Teacher Rankings'!A:A,"&lt;="&amp;$B$5))</f>
        <v/>
      </c>
      <c r="D50">
        <f>IF($C50=0,"",ROUND(AVERAGEIFS('Teacher Rankings'!I:I,'Teacher Rankings'!B:B,$A50,'Teacher Rankings'!A:A,"&gt;="&amp;$B$4,'Teacher Rankings'!A:A,"&lt;="&amp;$B$5),0))</f>
        <v/>
      </c>
      <c r="E50">
        <f>IF($C50=0,"",IFERROR(INDEX('Teacher Rankings'!I:I,MATCH(1,('Teacher Rankings'!B:B=$A50)*('Teacher Rankings'!A:A=$B$5),0)),0) - IFERROR(INDEX('Teacher Rankings'!I:I,MATCH(1,('Teacher Rankings'!B:B=$A50)*('Teacher Rankings'!A:A=$B$4),0)),0))</f>
        <v/>
      </c>
      <c r="F50">
        <f>IF($C50=0,"",ROUND(100*COUNTIFS('Teacher Rankings'!B:B,$A50,'Teacher Rankings'!A:A,"&gt;="&amp;$B$4,'Teacher Rankings'!A:A,"&lt;="&amp;$B$5,'Teacher Rankings'!F:F,20)/$C50,0))</f>
        <v/>
      </c>
      <c r="G50">
        <f>IF($C50=0,"",ROUND(100*COUNTIFS('Teacher Rankings'!B:B,$A50,'Teacher Rankings'!A:A,"&gt;="&amp;$B$4,'Teacher Rankings'!A:A,"&lt;="&amp;$B$5,'Teacher Rankings'!D:D,20)/$C50,0))</f>
        <v/>
      </c>
      <c r="H50">
        <f>IF($C50=0,"",ROUND(100*COUNTIFS('Teacher Rankings'!B:B,$A50,'Teacher Rankings'!A:A,"&gt;="&amp;$B$4,'Teacher Rankings'!A:A,"&lt;="&amp;$B$5,'Teacher Rankings'!H:H,20)/$C50,0))</f>
        <v/>
      </c>
      <c r="I50">
        <f>IF($C50=0,"",ROUND(100*COUNTIFS('Teacher Rankings'!B:B,$A50,'Teacher Rankings'!A:A,"&gt;="&amp;$B$4,'Teacher Rankings'!A:A,"&lt;="&amp;$B$5,'Teacher Rankings'!G:G,20)/$C50,0))</f>
        <v/>
      </c>
    </row>
    <row r="51">
      <c r="A51">
        <f>IF(Teachers!A45="","",Teachers!A45)</f>
        <v/>
      </c>
      <c r="B51">
        <f>IF($A51="","",Teachers!B45)</f>
        <v/>
      </c>
      <c r="C51">
        <f>IF($A51="","",COUNTIFS('Teacher Rankings'!B:B,$A51,'Teacher Rankings'!A:A,"&gt;="&amp;$B$4,'Teacher Rankings'!A:A,"&lt;="&amp;$B$5))</f>
        <v/>
      </c>
      <c r="D51">
        <f>IF($C51=0,"",ROUND(AVERAGEIFS('Teacher Rankings'!I:I,'Teacher Rankings'!B:B,$A51,'Teacher Rankings'!A:A,"&gt;="&amp;$B$4,'Teacher Rankings'!A:A,"&lt;="&amp;$B$5),0))</f>
        <v/>
      </c>
      <c r="E51">
        <f>IF($C51=0,"",IFERROR(INDEX('Teacher Rankings'!I:I,MATCH(1,('Teacher Rankings'!B:B=$A51)*('Teacher Rankings'!A:A=$B$5),0)),0) - IFERROR(INDEX('Teacher Rankings'!I:I,MATCH(1,('Teacher Rankings'!B:B=$A51)*('Teacher Rankings'!A:A=$B$4),0)),0))</f>
        <v/>
      </c>
      <c r="F51">
        <f>IF($C51=0,"",ROUND(100*COUNTIFS('Teacher Rankings'!B:B,$A51,'Teacher Rankings'!A:A,"&gt;="&amp;$B$4,'Teacher Rankings'!A:A,"&lt;="&amp;$B$5,'Teacher Rankings'!F:F,20)/$C51,0))</f>
        <v/>
      </c>
      <c r="G51">
        <f>IF($C51=0,"",ROUND(100*COUNTIFS('Teacher Rankings'!B:B,$A51,'Teacher Rankings'!A:A,"&gt;="&amp;$B$4,'Teacher Rankings'!A:A,"&lt;="&amp;$B$5,'Teacher Rankings'!D:D,20)/$C51,0))</f>
        <v/>
      </c>
      <c r="H51">
        <f>IF($C51=0,"",ROUND(100*COUNTIFS('Teacher Rankings'!B:B,$A51,'Teacher Rankings'!A:A,"&gt;="&amp;$B$4,'Teacher Rankings'!A:A,"&lt;="&amp;$B$5,'Teacher Rankings'!H:H,20)/$C51,0))</f>
        <v/>
      </c>
      <c r="I51">
        <f>IF($C51=0,"",ROUND(100*COUNTIFS('Teacher Rankings'!B:B,$A51,'Teacher Rankings'!A:A,"&gt;="&amp;$B$4,'Teacher Rankings'!A:A,"&lt;="&amp;$B$5,'Teacher Rankings'!G:G,20)/$C51,0))</f>
        <v/>
      </c>
    </row>
    <row r="52">
      <c r="A52">
        <f>IF(Teachers!A46="","",Teachers!A46)</f>
        <v/>
      </c>
      <c r="B52">
        <f>IF($A52="","",Teachers!B46)</f>
        <v/>
      </c>
      <c r="C52">
        <f>IF($A52="","",COUNTIFS('Teacher Rankings'!B:B,$A52,'Teacher Rankings'!A:A,"&gt;="&amp;$B$4,'Teacher Rankings'!A:A,"&lt;="&amp;$B$5))</f>
        <v/>
      </c>
      <c r="D52">
        <f>IF($C52=0,"",ROUND(AVERAGEIFS('Teacher Rankings'!I:I,'Teacher Rankings'!B:B,$A52,'Teacher Rankings'!A:A,"&gt;="&amp;$B$4,'Teacher Rankings'!A:A,"&lt;="&amp;$B$5),0))</f>
        <v/>
      </c>
      <c r="E52">
        <f>IF($C52=0,"",IFERROR(INDEX('Teacher Rankings'!I:I,MATCH(1,('Teacher Rankings'!B:B=$A52)*('Teacher Rankings'!A:A=$B$5),0)),0) - IFERROR(INDEX('Teacher Rankings'!I:I,MATCH(1,('Teacher Rankings'!B:B=$A52)*('Teacher Rankings'!A:A=$B$4),0)),0))</f>
        <v/>
      </c>
      <c r="F52">
        <f>IF($C52=0,"",ROUND(100*COUNTIFS('Teacher Rankings'!B:B,$A52,'Teacher Rankings'!A:A,"&gt;="&amp;$B$4,'Teacher Rankings'!A:A,"&lt;="&amp;$B$5,'Teacher Rankings'!F:F,20)/$C52,0))</f>
        <v/>
      </c>
      <c r="G52">
        <f>IF($C52=0,"",ROUND(100*COUNTIFS('Teacher Rankings'!B:B,$A52,'Teacher Rankings'!A:A,"&gt;="&amp;$B$4,'Teacher Rankings'!A:A,"&lt;="&amp;$B$5,'Teacher Rankings'!D:D,20)/$C52,0))</f>
        <v/>
      </c>
      <c r="H52">
        <f>IF($C52=0,"",ROUND(100*COUNTIFS('Teacher Rankings'!B:B,$A52,'Teacher Rankings'!A:A,"&gt;="&amp;$B$4,'Teacher Rankings'!A:A,"&lt;="&amp;$B$5,'Teacher Rankings'!H:H,20)/$C52,0))</f>
        <v/>
      </c>
      <c r="I52">
        <f>IF($C52=0,"",ROUND(100*COUNTIFS('Teacher Rankings'!B:B,$A52,'Teacher Rankings'!A:A,"&gt;="&amp;$B$4,'Teacher Rankings'!A:A,"&lt;="&amp;$B$5,'Teacher Rankings'!G:G,20)/$C52,0))</f>
        <v/>
      </c>
    </row>
    <row r="53">
      <c r="A53">
        <f>IF(Teachers!A47="","",Teachers!A47)</f>
        <v/>
      </c>
      <c r="B53">
        <f>IF($A53="","",Teachers!B47)</f>
        <v/>
      </c>
      <c r="C53">
        <f>IF($A53="","",COUNTIFS('Teacher Rankings'!B:B,$A53,'Teacher Rankings'!A:A,"&gt;="&amp;$B$4,'Teacher Rankings'!A:A,"&lt;="&amp;$B$5))</f>
        <v/>
      </c>
      <c r="D53">
        <f>IF($C53=0,"",ROUND(AVERAGEIFS('Teacher Rankings'!I:I,'Teacher Rankings'!B:B,$A53,'Teacher Rankings'!A:A,"&gt;="&amp;$B$4,'Teacher Rankings'!A:A,"&lt;="&amp;$B$5),0))</f>
        <v/>
      </c>
      <c r="E53">
        <f>IF($C53=0,"",IFERROR(INDEX('Teacher Rankings'!I:I,MATCH(1,('Teacher Rankings'!B:B=$A53)*('Teacher Rankings'!A:A=$B$5),0)),0) - IFERROR(INDEX('Teacher Rankings'!I:I,MATCH(1,('Teacher Rankings'!B:B=$A53)*('Teacher Rankings'!A:A=$B$4),0)),0))</f>
        <v/>
      </c>
      <c r="F53">
        <f>IF($C53=0,"",ROUND(100*COUNTIFS('Teacher Rankings'!B:B,$A53,'Teacher Rankings'!A:A,"&gt;="&amp;$B$4,'Teacher Rankings'!A:A,"&lt;="&amp;$B$5,'Teacher Rankings'!F:F,20)/$C53,0))</f>
        <v/>
      </c>
      <c r="G53">
        <f>IF($C53=0,"",ROUND(100*COUNTIFS('Teacher Rankings'!B:B,$A53,'Teacher Rankings'!A:A,"&gt;="&amp;$B$4,'Teacher Rankings'!A:A,"&lt;="&amp;$B$5,'Teacher Rankings'!D:D,20)/$C53,0))</f>
        <v/>
      </c>
      <c r="H53">
        <f>IF($C53=0,"",ROUND(100*COUNTIFS('Teacher Rankings'!B:B,$A53,'Teacher Rankings'!A:A,"&gt;="&amp;$B$4,'Teacher Rankings'!A:A,"&lt;="&amp;$B$5,'Teacher Rankings'!H:H,20)/$C53,0))</f>
        <v/>
      </c>
      <c r="I53">
        <f>IF($C53=0,"",ROUND(100*COUNTIFS('Teacher Rankings'!B:B,$A53,'Teacher Rankings'!A:A,"&gt;="&amp;$B$4,'Teacher Rankings'!A:A,"&lt;="&amp;$B$5,'Teacher Rankings'!G:G,20)/$C53,0))</f>
        <v/>
      </c>
    </row>
    <row r="54">
      <c r="A54">
        <f>IF(Teachers!A48="","",Teachers!A48)</f>
        <v/>
      </c>
      <c r="B54">
        <f>IF($A54="","",Teachers!B48)</f>
        <v/>
      </c>
      <c r="C54">
        <f>IF($A54="","",COUNTIFS('Teacher Rankings'!B:B,$A54,'Teacher Rankings'!A:A,"&gt;="&amp;$B$4,'Teacher Rankings'!A:A,"&lt;="&amp;$B$5))</f>
        <v/>
      </c>
      <c r="D54">
        <f>IF($C54=0,"",ROUND(AVERAGEIFS('Teacher Rankings'!I:I,'Teacher Rankings'!B:B,$A54,'Teacher Rankings'!A:A,"&gt;="&amp;$B$4,'Teacher Rankings'!A:A,"&lt;="&amp;$B$5),0))</f>
        <v/>
      </c>
      <c r="E54">
        <f>IF($C54=0,"",IFERROR(INDEX('Teacher Rankings'!I:I,MATCH(1,('Teacher Rankings'!B:B=$A54)*('Teacher Rankings'!A:A=$B$5),0)),0) - IFERROR(INDEX('Teacher Rankings'!I:I,MATCH(1,('Teacher Rankings'!B:B=$A54)*('Teacher Rankings'!A:A=$B$4),0)),0))</f>
        <v/>
      </c>
      <c r="F54">
        <f>IF($C54=0,"",ROUND(100*COUNTIFS('Teacher Rankings'!B:B,$A54,'Teacher Rankings'!A:A,"&gt;="&amp;$B$4,'Teacher Rankings'!A:A,"&lt;="&amp;$B$5,'Teacher Rankings'!F:F,20)/$C54,0))</f>
        <v/>
      </c>
      <c r="G54">
        <f>IF($C54=0,"",ROUND(100*COUNTIFS('Teacher Rankings'!B:B,$A54,'Teacher Rankings'!A:A,"&gt;="&amp;$B$4,'Teacher Rankings'!A:A,"&lt;="&amp;$B$5,'Teacher Rankings'!D:D,20)/$C54,0))</f>
        <v/>
      </c>
      <c r="H54">
        <f>IF($C54=0,"",ROUND(100*COUNTIFS('Teacher Rankings'!B:B,$A54,'Teacher Rankings'!A:A,"&gt;="&amp;$B$4,'Teacher Rankings'!A:A,"&lt;="&amp;$B$5,'Teacher Rankings'!H:H,20)/$C54,0))</f>
        <v/>
      </c>
      <c r="I54">
        <f>IF($C54=0,"",ROUND(100*COUNTIFS('Teacher Rankings'!B:B,$A54,'Teacher Rankings'!A:A,"&gt;="&amp;$B$4,'Teacher Rankings'!A:A,"&lt;="&amp;$B$5,'Teacher Rankings'!G:G,20)/$C54,0))</f>
        <v/>
      </c>
    </row>
    <row r="55">
      <c r="A55">
        <f>IF(Teachers!A49="","",Teachers!A49)</f>
        <v/>
      </c>
      <c r="B55">
        <f>IF($A55="","",Teachers!B49)</f>
        <v/>
      </c>
      <c r="C55">
        <f>IF($A55="","",COUNTIFS('Teacher Rankings'!B:B,$A55,'Teacher Rankings'!A:A,"&gt;="&amp;$B$4,'Teacher Rankings'!A:A,"&lt;="&amp;$B$5))</f>
        <v/>
      </c>
      <c r="D55">
        <f>IF($C55=0,"",ROUND(AVERAGEIFS('Teacher Rankings'!I:I,'Teacher Rankings'!B:B,$A55,'Teacher Rankings'!A:A,"&gt;="&amp;$B$4,'Teacher Rankings'!A:A,"&lt;="&amp;$B$5),0))</f>
        <v/>
      </c>
      <c r="E55">
        <f>IF($C55=0,"",IFERROR(INDEX('Teacher Rankings'!I:I,MATCH(1,('Teacher Rankings'!B:B=$A55)*('Teacher Rankings'!A:A=$B$5),0)),0) - IFERROR(INDEX('Teacher Rankings'!I:I,MATCH(1,('Teacher Rankings'!B:B=$A55)*('Teacher Rankings'!A:A=$B$4),0)),0))</f>
        <v/>
      </c>
      <c r="F55">
        <f>IF($C55=0,"",ROUND(100*COUNTIFS('Teacher Rankings'!B:B,$A55,'Teacher Rankings'!A:A,"&gt;="&amp;$B$4,'Teacher Rankings'!A:A,"&lt;="&amp;$B$5,'Teacher Rankings'!F:F,20)/$C55,0))</f>
        <v/>
      </c>
      <c r="G55">
        <f>IF($C55=0,"",ROUND(100*COUNTIFS('Teacher Rankings'!B:B,$A55,'Teacher Rankings'!A:A,"&gt;="&amp;$B$4,'Teacher Rankings'!A:A,"&lt;="&amp;$B$5,'Teacher Rankings'!D:D,20)/$C55,0))</f>
        <v/>
      </c>
      <c r="H55">
        <f>IF($C55=0,"",ROUND(100*COUNTIFS('Teacher Rankings'!B:B,$A55,'Teacher Rankings'!A:A,"&gt;="&amp;$B$4,'Teacher Rankings'!A:A,"&lt;="&amp;$B$5,'Teacher Rankings'!H:H,20)/$C55,0))</f>
        <v/>
      </c>
      <c r="I55">
        <f>IF($C55=0,"",ROUND(100*COUNTIFS('Teacher Rankings'!B:B,$A55,'Teacher Rankings'!A:A,"&gt;="&amp;$B$4,'Teacher Rankings'!A:A,"&lt;="&amp;$B$5,'Teacher Rankings'!G:G,20)/$C55,0))</f>
        <v/>
      </c>
    </row>
    <row r="56">
      <c r="A56">
        <f>IF(Teachers!A50="","",Teachers!A50)</f>
        <v/>
      </c>
      <c r="B56">
        <f>IF($A56="","",Teachers!B50)</f>
        <v/>
      </c>
      <c r="C56">
        <f>IF($A56="","",COUNTIFS('Teacher Rankings'!B:B,$A56,'Teacher Rankings'!A:A,"&gt;="&amp;$B$4,'Teacher Rankings'!A:A,"&lt;="&amp;$B$5))</f>
        <v/>
      </c>
      <c r="D56">
        <f>IF($C56=0,"",ROUND(AVERAGEIFS('Teacher Rankings'!I:I,'Teacher Rankings'!B:B,$A56,'Teacher Rankings'!A:A,"&gt;="&amp;$B$4,'Teacher Rankings'!A:A,"&lt;="&amp;$B$5),0))</f>
        <v/>
      </c>
      <c r="E56">
        <f>IF($C56=0,"",IFERROR(INDEX('Teacher Rankings'!I:I,MATCH(1,('Teacher Rankings'!B:B=$A56)*('Teacher Rankings'!A:A=$B$5),0)),0) - IFERROR(INDEX('Teacher Rankings'!I:I,MATCH(1,('Teacher Rankings'!B:B=$A56)*('Teacher Rankings'!A:A=$B$4),0)),0))</f>
        <v/>
      </c>
      <c r="F56">
        <f>IF($C56=0,"",ROUND(100*COUNTIFS('Teacher Rankings'!B:B,$A56,'Teacher Rankings'!A:A,"&gt;="&amp;$B$4,'Teacher Rankings'!A:A,"&lt;="&amp;$B$5,'Teacher Rankings'!F:F,20)/$C56,0))</f>
        <v/>
      </c>
      <c r="G56">
        <f>IF($C56=0,"",ROUND(100*COUNTIFS('Teacher Rankings'!B:B,$A56,'Teacher Rankings'!A:A,"&gt;="&amp;$B$4,'Teacher Rankings'!A:A,"&lt;="&amp;$B$5,'Teacher Rankings'!D:D,20)/$C56,0))</f>
        <v/>
      </c>
      <c r="H56">
        <f>IF($C56=0,"",ROUND(100*COUNTIFS('Teacher Rankings'!B:B,$A56,'Teacher Rankings'!A:A,"&gt;="&amp;$B$4,'Teacher Rankings'!A:A,"&lt;="&amp;$B$5,'Teacher Rankings'!H:H,20)/$C56,0))</f>
        <v/>
      </c>
      <c r="I56">
        <f>IF($C56=0,"",ROUND(100*COUNTIFS('Teacher Rankings'!B:B,$A56,'Teacher Rankings'!A:A,"&gt;="&amp;$B$4,'Teacher Rankings'!A:A,"&lt;="&amp;$B$5,'Teacher Rankings'!G:G,20)/$C56,0))</f>
        <v/>
      </c>
    </row>
    <row r="57">
      <c r="A57">
        <f>IF(Teachers!A51="","",Teachers!A51)</f>
        <v/>
      </c>
      <c r="B57">
        <f>IF($A57="","",Teachers!B51)</f>
        <v/>
      </c>
      <c r="C57">
        <f>IF($A57="","",COUNTIFS('Teacher Rankings'!B:B,$A57,'Teacher Rankings'!A:A,"&gt;="&amp;$B$4,'Teacher Rankings'!A:A,"&lt;="&amp;$B$5))</f>
        <v/>
      </c>
      <c r="D57">
        <f>IF($C57=0,"",ROUND(AVERAGEIFS('Teacher Rankings'!I:I,'Teacher Rankings'!B:B,$A57,'Teacher Rankings'!A:A,"&gt;="&amp;$B$4,'Teacher Rankings'!A:A,"&lt;="&amp;$B$5),0))</f>
        <v/>
      </c>
      <c r="E57">
        <f>IF($C57=0,"",IFERROR(INDEX('Teacher Rankings'!I:I,MATCH(1,('Teacher Rankings'!B:B=$A57)*('Teacher Rankings'!A:A=$B$5),0)),0) - IFERROR(INDEX('Teacher Rankings'!I:I,MATCH(1,('Teacher Rankings'!B:B=$A57)*('Teacher Rankings'!A:A=$B$4),0)),0))</f>
        <v/>
      </c>
      <c r="F57">
        <f>IF($C57=0,"",ROUND(100*COUNTIFS('Teacher Rankings'!B:B,$A57,'Teacher Rankings'!A:A,"&gt;="&amp;$B$4,'Teacher Rankings'!A:A,"&lt;="&amp;$B$5,'Teacher Rankings'!F:F,20)/$C57,0))</f>
        <v/>
      </c>
      <c r="G57">
        <f>IF($C57=0,"",ROUND(100*COUNTIFS('Teacher Rankings'!B:B,$A57,'Teacher Rankings'!A:A,"&gt;="&amp;$B$4,'Teacher Rankings'!A:A,"&lt;="&amp;$B$5,'Teacher Rankings'!D:D,20)/$C57,0))</f>
        <v/>
      </c>
      <c r="H57">
        <f>IF($C57=0,"",ROUND(100*COUNTIFS('Teacher Rankings'!B:B,$A57,'Teacher Rankings'!A:A,"&gt;="&amp;$B$4,'Teacher Rankings'!A:A,"&lt;="&amp;$B$5,'Teacher Rankings'!H:H,20)/$C57,0))</f>
        <v/>
      </c>
      <c r="I57">
        <f>IF($C57=0,"",ROUND(100*COUNTIFS('Teacher Rankings'!B:B,$A57,'Teacher Rankings'!A:A,"&gt;="&amp;$B$4,'Teacher Rankings'!A:A,"&lt;="&amp;$B$5,'Teacher Rankings'!G:G,20)/$C57,0))</f>
        <v/>
      </c>
    </row>
    <row r="58">
      <c r="A58">
        <f>IF(Teachers!A52="","",Teachers!A52)</f>
        <v/>
      </c>
      <c r="B58">
        <f>IF($A58="","",Teachers!B52)</f>
        <v/>
      </c>
      <c r="C58">
        <f>IF($A58="","",COUNTIFS('Teacher Rankings'!B:B,$A58,'Teacher Rankings'!A:A,"&gt;="&amp;$B$4,'Teacher Rankings'!A:A,"&lt;="&amp;$B$5))</f>
        <v/>
      </c>
      <c r="D58">
        <f>IF($C58=0,"",ROUND(AVERAGEIFS('Teacher Rankings'!I:I,'Teacher Rankings'!B:B,$A58,'Teacher Rankings'!A:A,"&gt;="&amp;$B$4,'Teacher Rankings'!A:A,"&lt;="&amp;$B$5),0))</f>
        <v/>
      </c>
      <c r="E58">
        <f>IF($C58=0,"",IFERROR(INDEX('Teacher Rankings'!I:I,MATCH(1,('Teacher Rankings'!B:B=$A58)*('Teacher Rankings'!A:A=$B$5),0)),0) - IFERROR(INDEX('Teacher Rankings'!I:I,MATCH(1,('Teacher Rankings'!B:B=$A58)*('Teacher Rankings'!A:A=$B$4),0)),0))</f>
        <v/>
      </c>
      <c r="F58">
        <f>IF($C58=0,"",ROUND(100*COUNTIFS('Teacher Rankings'!B:B,$A58,'Teacher Rankings'!A:A,"&gt;="&amp;$B$4,'Teacher Rankings'!A:A,"&lt;="&amp;$B$5,'Teacher Rankings'!F:F,20)/$C58,0))</f>
        <v/>
      </c>
      <c r="G58">
        <f>IF($C58=0,"",ROUND(100*COUNTIFS('Teacher Rankings'!B:B,$A58,'Teacher Rankings'!A:A,"&gt;="&amp;$B$4,'Teacher Rankings'!A:A,"&lt;="&amp;$B$5,'Teacher Rankings'!D:D,20)/$C58,0))</f>
        <v/>
      </c>
      <c r="H58">
        <f>IF($C58=0,"",ROUND(100*COUNTIFS('Teacher Rankings'!B:B,$A58,'Teacher Rankings'!A:A,"&gt;="&amp;$B$4,'Teacher Rankings'!A:A,"&lt;="&amp;$B$5,'Teacher Rankings'!H:H,20)/$C58,0))</f>
        <v/>
      </c>
      <c r="I58">
        <f>IF($C58=0,"",ROUND(100*COUNTIFS('Teacher Rankings'!B:B,$A58,'Teacher Rankings'!A:A,"&gt;="&amp;$B$4,'Teacher Rankings'!A:A,"&lt;="&amp;$B$5,'Teacher Rankings'!G:G,20)/$C58,0))</f>
        <v/>
      </c>
    </row>
    <row r="59">
      <c r="A59">
        <f>IF(Teachers!A53="","",Teachers!A53)</f>
        <v/>
      </c>
      <c r="B59">
        <f>IF($A59="","",Teachers!B53)</f>
        <v/>
      </c>
      <c r="C59">
        <f>IF($A59="","",COUNTIFS('Teacher Rankings'!B:B,$A59,'Teacher Rankings'!A:A,"&gt;="&amp;$B$4,'Teacher Rankings'!A:A,"&lt;="&amp;$B$5))</f>
        <v/>
      </c>
      <c r="D59">
        <f>IF($C59=0,"",ROUND(AVERAGEIFS('Teacher Rankings'!I:I,'Teacher Rankings'!B:B,$A59,'Teacher Rankings'!A:A,"&gt;="&amp;$B$4,'Teacher Rankings'!A:A,"&lt;="&amp;$B$5),0))</f>
        <v/>
      </c>
      <c r="E59">
        <f>IF($C59=0,"",IFERROR(INDEX('Teacher Rankings'!I:I,MATCH(1,('Teacher Rankings'!B:B=$A59)*('Teacher Rankings'!A:A=$B$5),0)),0) - IFERROR(INDEX('Teacher Rankings'!I:I,MATCH(1,('Teacher Rankings'!B:B=$A59)*('Teacher Rankings'!A:A=$B$4),0)),0))</f>
        <v/>
      </c>
      <c r="F59">
        <f>IF($C59=0,"",ROUND(100*COUNTIFS('Teacher Rankings'!B:B,$A59,'Teacher Rankings'!A:A,"&gt;="&amp;$B$4,'Teacher Rankings'!A:A,"&lt;="&amp;$B$5,'Teacher Rankings'!F:F,20)/$C59,0))</f>
        <v/>
      </c>
      <c r="G59">
        <f>IF($C59=0,"",ROUND(100*COUNTIFS('Teacher Rankings'!B:B,$A59,'Teacher Rankings'!A:A,"&gt;="&amp;$B$4,'Teacher Rankings'!A:A,"&lt;="&amp;$B$5,'Teacher Rankings'!D:D,20)/$C59,0))</f>
        <v/>
      </c>
      <c r="H59">
        <f>IF($C59=0,"",ROUND(100*COUNTIFS('Teacher Rankings'!B:B,$A59,'Teacher Rankings'!A:A,"&gt;="&amp;$B$4,'Teacher Rankings'!A:A,"&lt;="&amp;$B$5,'Teacher Rankings'!H:H,20)/$C59,0))</f>
        <v/>
      </c>
      <c r="I59">
        <f>IF($C59=0,"",ROUND(100*COUNTIFS('Teacher Rankings'!B:B,$A59,'Teacher Rankings'!A:A,"&gt;="&amp;$B$4,'Teacher Rankings'!A:A,"&lt;="&amp;$B$5,'Teacher Rankings'!G:G,20)/$C59,0))</f>
        <v/>
      </c>
    </row>
    <row r="60">
      <c r="A60">
        <f>IF(Teachers!A54="","",Teachers!A54)</f>
        <v/>
      </c>
      <c r="B60">
        <f>IF($A60="","",Teachers!B54)</f>
        <v/>
      </c>
      <c r="C60">
        <f>IF($A60="","",COUNTIFS('Teacher Rankings'!B:B,$A60,'Teacher Rankings'!A:A,"&gt;="&amp;$B$4,'Teacher Rankings'!A:A,"&lt;="&amp;$B$5))</f>
        <v/>
      </c>
      <c r="D60">
        <f>IF($C60=0,"",ROUND(AVERAGEIFS('Teacher Rankings'!I:I,'Teacher Rankings'!B:B,$A60,'Teacher Rankings'!A:A,"&gt;="&amp;$B$4,'Teacher Rankings'!A:A,"&lt;="&amp;$B$5),0))</f>
        <v/>
      </c>
      <c r="E60">
        <f>IF($C60=0,"",IFERROR(INDEX('Teacher Rankings'!I:I,MATCH(1,('Teacher Rankings'!B:B=$A60)*('Teacher Rankings'!A:A=$B$5),0)),0) - IFERROR(INDEX('Teacher Rankings'!I:I,MATCH(1,('Teacher Rankings'!B:B=$A60)*('Teacher Rankings'!A:A=$B$4),0)),0))</f>
        <v/>
      </c>
      <c r="F60">
        <f>IF($C60=0,"",ROUND(100*COUNTIFS('Teacher Rankings'!B:B,$A60,'Teacher Rankings'!A:A,"&gt;="&amp;$B$4,'Teacher Rankings'!A:A,"&lt;="&amp;$B$5,'Teacher Rankings'!F:F,20)/$C60,0))</f>
        <v/>
      </c>
      <c r="G60">
        <f>IF($C60=0,"",ROUND(100*COUNTIFS('Teacher Rankings'!B:B,$A60,'Teacher Rankings'!A:A,"&gt;="&amp;$B$4,'Teacher Rankings'!A:A,"&lt;="&amp;$B$5,'Teacher Rankings'!D:D,20)/$C60,0))</f>
        <v/>
      </c>
      <c r="H60">
        <f>IF($C60=0,"",ROUND(100*COUNTIFS('Teacher Rankings'!B:B,$A60,'Teacher Rankings'!A:A,"&gt;="&amp;$B$4,'Teacher Rankings'!A:A,"&lt;="&amp;$B$5,'Teacher Rankings'!H:H,20)/$C60,0))</f>
        <v/>
      </c>
      <c r="I60">
        <f>IF($C60=0,"",ROUND(100*COUNTIFS('Teacher Rankings'!B:B,$A60,'Teacher Rankings'!A:A,"&gt;="&amp;$B$4,'Teacher Rankings'!A:A,"&lt;="&amp;$B$5,'Teacher Rankings'!G:G,20)/$C60,0))</f>
        <v/>
      </c>
    </row>
    <row r="61">
      <c r="A61">
        <f>IF(Teachers!A55="","",Teachers!A55)</f>
        <v/>
      </c>
      <c r="B61">
        <f>IF($A61="","",Teachers!B55)</f>
        <v/>
      </c>
      <c r="C61">
        <f>IF($A61="","",COUNTIFS('Teacher Rankings'!B:B,$A61,'Teacher Rankings'!A:A,"&gt;="&amp;$B$4,'Teacher Rankings'!A:A,"&lt;="&amp;$B$5))</f>
        <v/>
      </c>
      <c r="D61">
        <f>IF($C61=0,"",ROUND(AVERAGEIFS('Teacher Rankings'!I:I,'Teacher Rankings'!B:B,$A61,'Teacher Rankings'!A:A,"&gt;="&amp;$B$4,'Teacher Rankings'!A:A,"&lt;="&amp;$B$5),0))</f>
        <v/>
      </c>
      <c r="E61">
        <f>IF($C61=0,"",IFERROR(INDEX('Teacher Rankings'!I:I,MATCH(1,('Teacher Rankings'!B:B=$A61)*('Teacher Rankings'!A:A=$B$5),0)),0) - IFERROR(INDEX('Teacher Rankings'!I:I,MATCH(1,('Teacher Rankings'!B:B=$A61)*('Teacher Rankings'!A:A=$B$4),0)),0))</f>
        <v/>
      </c>
      <c r="F61">
        <f>IF($C61=0,"",ROUND(100*COUNTIFS('Teacher Rankings'!B:B,$A61,'Teacher Rankings'!A:A,"&gt;="&amp;$B$4,'Teacher Rankings'!A:A,"&lt;="&amp;$B$5,'Teacher Rankings'!F:F,20)/$C61,0))</f>
        <v/>
      </c>
      <c r="G61">
        <f>IF($C61=0,"",ROUND(100*COUNTIFS('Teacher Rankings'!B:B,$A61,'Teacher Rankings'!A:A,"&gt;="&amp;$B$4,'Teacher Rankings'!A:A,"&lt;="&amp;$B$5,'Teacher Rankings'!D:D,20)/$C61,0))</f>
        <v/>
      </c>
      <c r="H61">
        <f>IF($C61=0,"",ROUND(100*COUNTIFS('Teacher Rankings'!B:B,$A61,'Teacher Rankings'!A:A,"&gt;="&amp;$B$4,'Teacher Rankings'!A:A,"&lt;="&amp;$B$5,'Teacher Rankings'!H:H,20)/$C61,0))</f>
        <v/>
      </c>
      <c r="I61">
        <f>IF($C61=0,"",ROUND(100*COUNTIFS('Teacher Rankings'!B:B,$A61,'Teacher Rankings'!A:A,"&gt;="&amp;$B$4,'Teacher Rankings'!A:A,"&lt;="&amp;$B$5,'Teacher Rankings'!G:G,20)/$C61,0))</f>
        <v/>
      </c>
    </row>
    <row r="62">
      <c r="A62">
        <f>IF(Teachers!A56="","",Teachers!A56)</f>
        <v/>
      </c>
      <c r="B62">
        <f>IF($A62="","",Teachers!B56)</f>
        <v/>
      </c>
      <c r="C62">
        <f>IF($A62="","",COUNTIFS('Teacher Rankings'!B:B,$A62,'Teacher Rankings'!A:A,"&gt;="&amp;$B$4,'Teacher Rankings'!A:A,"&lt;="&amp;$B$5))</f>
        <v/>
      </c>
      <c r="D62">
        <f>IF($C62=0,"",ROUND(AVERAGEIFS('Teacher Rankings'!I:I,'Teacher Rankings'!B:B,$A62,'Teacher Rankings'!A:A,"&gt;="&amp;$B$4,'Teacher Rankings'!A:A,"&lt;="&amp;$B$5),0))</f>
        <v/>
      </c>
      <c r="E62">
        <f>IF($C62=0,"",IFERROR(INDEX('Teacher Rankings'!I:I,MATCH(1,('Teacher Rankings'!B:B=$A62)*('Teacher Rankings'!A:A=$B$5),0)),0) - IFERROR(INDEX('Teacher Rankings'!I:I,MATCH(1,('Teacher Rankings'!B:B=$A62)*('Teacher Rankings'!A:A=$B$4),0)),0))</f>
        <v/>
      </c>
      <c r="F62">
        <f>IF($C62=0,"",ROUND(100*COUNTIFS('Teacher Rankings'!B:B,$A62,'Teacher Rankings'!A:A,"&gt;="&amp;$B$4,'Teacher Rankings'!A:A,"&lt;="&amp;$B$5,'Teacher Rankings'!F:F,20)/$C62,0))</f>
        <v/>
      </c>
      <c r="G62">
        <f>IF($C62=0,"",ROUND(100*COUNTIFS('Teacher Rankings'!B:B,$A62,'Teacher Rankings'!A:A,"&gt;="&amp;$B$4,'Teacher Rankings'!A:A,"&lt;="&amp;$B$5,'Teacher Rankings'!D:D,20)/$C62,0))</f>
        <v/>
      </c>
      <c r="H62">
        <f>IF($C62=0,"",ROUND(100*COUNTIFS('Teacher Rankings'!B:B,$A62,'Teacher Rankings'!A:A,"&gt;="&amp;$B$4,'Teacher Rankings'!A:A,"&lt;="&amp;$B$5,'Teacher Rankings'!H:H,20)/$C62,0))</f>
        <v/>
      </c>
      <c r="I62">
        <f>IF($C62=0,"",ROUND(100*COUNTIFS('Teacher Rankings'!B:B,$A62,'Teacher Rankings'!A:A,"&gt;="&amp;$B$4,'Teacher Rankings'!A:A,"&lt;="&amp;$B$5,'Teacher Rankings'!G:G,20)/$C62,0))</f>
        <v/>
      </c>
    </row>
    <row r="63">
      <c r="A63">
        <f>IF(Teachers!A57="","",Teachers!A57)</f>
        <v/>
      </c>
      <c r="B63">
        <f>IF($A63="","",Teachers!B57)</f>
        <v/>
      </c>
      <c r="C63">
        <f>IF($A63="","",COUNTIFS('Teacher Rankings'!B:B,$A63,'Teacher Rankings'!A:A,"&gt;="&amp;$B$4,'Teacher Rankings'!A:A,"&lt;="&amp;$B$5))</f>
        <v/>
      </c>
      <c r="D63">
        <f>IF($C63=0,"",ROUND(AVERAGEIFS('Teacher Rankings'!I:I,'Teacher Rankings'!B:B,$A63,'Teacher Rankings'!A:A,"&gt;="&amp;$B$4,'Teacher Rankings'!A:A,"&lt;="&amp;$B$5),0))</f>
        <v/>
      </c>
      <c r="E63">
        <f>IF($C63=0,"",IFERROR(INDEX('Teacher Rankings'!I:I,MATCH(1,('Teacher Rankings'!B:B=$A63)*('Teacher Rankings'!A:A=$B$5),0)),0) - IFERROR(INDEX('Teacher Rankings'!I:I,MATCH(1,('Teacher Rankings'!B:B=$A63)*('Teacher Rankings'!A:A=$B$4),0)),0))</f>
        <v/>
      </c>
      <c r="F63">
        <f>IF($C63=0,"",ROUND(100*COUNTIFS('Teacher Rankings'!B:B,$A63,'Teacher Rankings'!A:A,"&gt;="&amp;$B$4,'Teacher Rankings'!A:A,"&lt;="&amp;$B$5,'Teacher Rankings'!F:F,20)/$C63,0))</f>
        <v/>
      </c>
      <c r="G63">
        <f>IF($C63=0,"",ROUND(100*COUNTIFS('Teacher Rankings'!B:B,$A63,'Teacher Rankings'!A:A,"&gt;="&amp;$B$4,'Teacher Rankings'!A:A,"&lt;="&amp;$B$5,'Teacher Rankings'!D:D,20)/$C63,0))</f>
        <v/>
      </c>
      <c r="H63">
        <f>IF($C63=0,"",ROUND(100*COUNTIFS('Teacher Rankings'!B:B,$A63,'Teacher Rankings'!A:A,"&gt;="&amp;$B$4,'Teacher Rankings'!A:A,"&lt;="&amp;$B$5,'Teacher Rankings'!H:H,20)/$C63,0))</f>
        <v/>
      </c>
      <c r="I63">
        <f>IF($C63=0,"",ROUND(100*COUNTIFS('Teacher Rankings'!B:B,$A63,'Teacher Rankings'!A:A,"&gt;="&amp;$B$4,'Teacher Rankings'!A:A,"&lt;="&amp;$B$5,'Teacher Rankings'!G:G,20)/$C63,0))</f>
        <v/>
      </c>
    </row>
    <row r="64">
      <c r="A64">
        <f>IF(Teachers!A58="","",Teachers!A58)</f>
        <v/>
      </c>
      <c r="B64">
        <f>IF($A64="","",Teachers!B58)</f>
        <v/>
      </c>
      <c r="C64">
        <f>IF($A64="","",COUNTIFS('Teacher Rankings'!B:B,$A64,'Teacher Rankings'!A:A,"&gt;="&amp;$B$4,'Teacher Rankings'!A:A,"&lt;="&amp;$B$5))</f>
        <v/>
      </c>
      <c r="D64">
        <f>IF($C64=0,"",ROUND(AVERAGEIFS('Teacher Rankings'!I:I,'Teacher Rankings'!B:B,$A64,'Teacher Rankings'!A:A,"&gt;="&amp;$B$4,'Teacher Rankings'!A:A,"&lt;="&amp;$B$5),0))</f>
        <v/>
      </c>
      <c r="E64">
        <f>IF($C64=0,"",IFERROR(INDEX('Teacher Rankings'!I:I,MATCH(1,('Teacher Rankings'!B:B=$A64)*('Teacher Rankings'!A:A=$B$5),0)),0) - IFERROR(INDEX('Teacher Rankings'!I:I,MATCH(1,('Teacher Rankings'!B:B=$A64)*('Teacher Rankings'!A:A=$B$4),0)),0))</f>
        <v/>
      </c>
      <c r="F64">
        <f>IF($C64=0,"",ROUND(100*COUNTIFS('Teacher Rankings'!B:B,$A64,'Teacher Rankings'!A:A,"&gt;="&amp;$B$4,'Teacher Rankings'!A:A,"&lt;="&amp;$B$5,'Teacher Rankings'!F:F,20)/$C64,0))</f>
        <v/>
      </c>
      <c r="G64">
        <f>IF($C64=0,"",ROUND(100*COUNTIFS('Teacher Rankings'!B:B,$A64,'Teacher Rankings'!A:A,"&gt;="&amp;$B$4,'Teacher Rankings'!A:A,"&lt;="&amp;$B$5,'Teacher Rankings'!D:D,20)/$C64,0))</f>
        <v/>
      </c>
      <c r="H64">
        <f>IF($C64=0,"",ROUND(100*COUNTIFS('Teacher Rankings'!B:B,$A64,'Teacher Rankings'!A:A,"&gt;="&amp;$B$4,'Teacher Rankings'!A:A,"&lt;="&amp;$B$5,'Teacher Rankings'!H:H,20)/$C64,0))</f>
        <v/>
      </c>
      <c r="I64">
        <f>IF($C64=0,"",ROUND(100*COUNTIFS('Teacher Rankings'!B:B,$A64,'Teacher Rankings'!A:A,"&gt;="&amp;$B$4,'Teacher Rankings'!A:A,"&lt;="&amp;$B$5,'Teacher Rankings'!G:G,20)/$C64,0))</f>
        <v/>
      </c>
    </row>
    <row r="65">
      <c r="A65">
        <f>IF(Teachers!A59="","",Teachers!A59)</f>
        <v/>
      </c>
      <c r="B65">
        <f>IF($A65="","",Teachers!B59)</f>
        <v/>
      </c>
      <c r="C65">
        <f>IF($A65="","",COUNTIFS('Teacher Rankings'!B:B,$A65,'Teacher Rankings'!A:A,"&gt;="&amp;$B$4,'Teacher Rankings'!A:A,"&lt;="&amp;$B$5))</f>
        <v/>
      </c>
      <c r="D65">
        <f>IF($C65=0,"",ROUND(AVERAGEIFS('Teacher Rankings'!I:I,'Teacher Rankings'!B:B,$A65,'Teacher Rankings'!A:A,"&gt;="&amp;$B$4,'Teacher Rankings'!A:A,"&lt;="&amp;$B$5),0))</f>
        <v/>
      </c>
      <c r="E65">
        <f>IF($C65=0,"",IFERROR(INDEX('Teacher Rankings'!I:I,MATCH(1,('Teacher Rankings'!B:B=$A65)*('Teacher Rankings'!A:A=$B$5),0)),0) - IFERROR(INDEX('Teacher Rankings'!I:I,MATCH(1,('Teacher Rankings'!B:B=$A65)*('Teacher Rankings'!A:A=$B$4),0)),0))</f>
        <v/>
      </c>
      <c r="F65">
        <f>IF($C65=0,"",ROUND(100*COUNTIFS('Teacher Rankings'!B:B,$A65,'Teacher Rankings'!A:A,"&gt;="&amp;$B$4,'Teacher Rankings'!A:A,"&lt;="&amp;$B$5,'Teacher Rankings'!F:F,20)/$C65,0))</f>
        <v/>
      </c>
      <c r="G65">
        <f>IF($C65=0,"",ROUND(100*COUNTIFS('Teacher Rankings'!B:B,$A65,'Teacher Rankings'!A:A,"&gt;="&amp;$B$4,'Teacher Rankings'!A:A,"&lt;="&amp;$B$5,'Teacher Rankings'!D:D,20)/$C65,0))</f>
        <v/>
      </c>
      <c r="H65">
        <f>IF($C65=0,"",ROUND(100*COUNTIFS('Teacher Rankings'!B:B,$A65,'Teacher Rankings'!A:A,"&gt;="&amp;$B$4,'Teacher Rankings'!A:A,"&lt;="&amp;$B$5,'Teacher Rankings'!H:H,20)/$C65,0))</f>
        <v/>
      </c>
      <c r="I65">
        <f>IF($C65=0,"",ROUND(100*COUNTIFS('Teacher Rankings'!B:B,$A65,'Teacher Rankings'!A:A,"&gt;="&amp;$B$4,'Teacher Rankings'!A:A,"&lt;="&amp;$B$5,'Teacher Rankings'!G:G,20)/$C65,0))</f>
        <v/>
      </c>
    </row>
    <row r="66">
      <c r="A66">
        <f>IF(Teachers!A60="","",Teachers!A60)</f>
        <v/>
      </c>
      <c r="B66">
        <f>IF($A66="","",Teachers!B60)</f>
        <v/>
      </c>
      <c r="C66">
        <f>IF($A66="","",COUNTIFS('Teacher Rankings'!B:B,$A66,'Teacher Rankings'!A:A,"&gt;="&amp;$B$4,'Teacher Rankings'!A:A,"&lt;="&amp;$B$5))</f>
        <v/>
      </c>
      <c r="D66">
        <f>IF($C66=0,"",ROUND(AVERAGEIFS('Teacher Rankings'!I:I,'Teacher Rankings'!B:B,$A66,'Teacher Rankings'!A:A,"&gt;="&amp;$B$4,'Teacher Rankings'!A:A,"&lt;="&amp;$B$5),0))</f>
        <v/>
      </c>
      <c r="E66">
        <f>IF($C66=0,"",IFERROR(INDEX('Teacher Rankings'!I:I,MATCH(1,('Teacher Rankings'!B:B=$A66)*('Teacher Rankings'!A:A=$B$5),0)),0) - IFERROR(INDEX('Teacher Rankings'!I:I,MATCH(1,('Teacher Rankings'!B:B=$A66)*('Teacher Rankings'!A:A=$B$4),0)),0))</f>
        <v/>
      </c>
      <c r="F66">
        <f>IF($C66=0,"",ROUND(100*COUNTIFS('Teacher Rankings'!B:B,$A66,'Teacher Rankings'!A:A,"&gt;="&amp;$B$4,'Teacher Rankings'!A:A,"&lt;="&amp;$B$5,'Teacher Rankings'!F:F,20)/$C66,0))</f>
        <v/>
      </c>
      <c r="G66">
        <f>IF($C66=0,"",ROUND(100*COUNTIFS('Teacher Rankings'!B:B,$A66,'Teacher Rankings'!A:A,"&gt;="&amp;$B$4,'Teacher Rankings'!A:A,"&lt;="&amp;$B$5,'Teacher Rankings'!D:D,20)/$C66,0))</f>
        <v/>
      </c>
      <c r="H66">
        <f>IF($C66=0,"",ROUND(100*COUNTIFS('Teacher Rankings'!B:B,$A66,'Teacher Rankings'!A:A,"&gt;="&amp;$B$4,'Teacher Rankings'!A:A,"&lt;="&amp;$B$5,'Teacher Rankings'!H:H,20)/$C66,0))</f>
        <v/>
      </c>
      <c r="I66">
        <f>IF($C66=0,"",ROUND(100*COUNTIFS('Teacher Rankings'!B:B,$A66,'Teacher Rankings'!A:A,"&gt;="&amp;$B$4,'Teacher Rankings'!A:A,"&lt;="&amp;$B$5,'Teacher Rankings'!G:G,20)/$C66,0))</f>
        <v/>
      </c>
    </row>
    <row r="67">
      <c r="A67">
        <f>IF(Teachers!A61="","",Teachers!A61)</f>
        <v/>
      </c>
      <c r="B67">
        <f>IF($A67="","",Teachers!B61)</f>
        <v/>
      </c>
      <c r="C67">
        <f>IF($A67="","",COUNTIFS('Teacher Rankings'!B:B,$A67,'Teacher Rankings'!A:A,"&gt;="&amp;$B$4,'Teacher Rankings'!A:A,"&lt;="&amp;$B$5))</f>
        <v/>
      </c>
      <c r="D67">
        <f>IF($C67=0,"",ROUND(AVERAGEIFS('Teacher Rankings'!I:I,'Teacher Rankings'!B:B,$A67,'Teacher Rankings'!A:A,"&gt;="&amp;$B$4,'Teacher Rankings'!A:A,"&lt;="&amp;$B$5),0))</f>
        <v/>
      </c>
      <c r="E67">
        <f>IF($C67=0,"",IFERROR(INDEX('Teacher Rankings'!I:I,MATCH(1,('Teacher Rankings'!B:B=$A67)*('Teacher Rankings'!A:A=$B$5),0)),0) - IFERROR(INDEX('Teacher Rankings'!I:I,MATCH(1,('Teacher Rankings'!B:B=$A67)*('Teacher Rankings'!A:A=$B$4),0)),0))</f>
        <v/>
      </c>
      <c r="F67">
        <f>IF($C67=0,"",ROUND(100*COUNTIFS('Teacher Rankings'!B:B,$A67,'Teacher Rankings'!A:A,"&gt;="&amp;$B$4,'Teacher Rankings'!A:A,"&lt;="&amp;$B$5,'Teacher Rankings'!F:F,20)/$C67,0))</f>
        <v/>
      </c>
      <c r="G67">
        <f>IF($C67=0,"",ROUND(100*COUNTIFS('Teacher Rankings'!B:B,$A67,'Teacher Rankings'!A:A,"&gt;="&amp;$B$4,'Teacher Rankings'!A:A,"&lt;="&amp;$B$5,'Teacher Rankings'!D:D,20)/$C67,0))</f>
        <v/>
      </c>
      <c r="H67">
        <f>IF($C67=0,"",ROUND(100*COUNTIFS('Teacher Rankings'!B:B,$A67,'Teacher Rankings'!A:A,"&gt;="&amp;$B$4,'Teacher Rankings'!A:A,"&lt;="&amp;$B$5,'Teacher Rankings'!H:H,20)/$C67,0))</f>
        <v/>
      </c>
      <c r="I67">
        <f>IF($C67=0,"",ROUND(100*COUNTIFS('Teacher Rankings'!B:B,$A67,'Teacher Rankings'!A:A,"&gt;="&amp;$B$4,'Teacher Rankings'!A:A,"&lt;="&amp;$B$5,'Teacher Rankings'!G:G,20)/$C67,0))</f>
        <v/>
      </c>
    </row>
    <row r="68">
      <c r="A68">
        <f>IF(Teachers!A62="","",Teachers!A62)</f>
        <v/>
      </c>
      <c r="B68">
        <f>IF($A68="","",Teachers!B62)</f>
        <v/>
      </c>
      <c r="C68">
        <f>IF($A68="","",COUNTIFS('Teacher Rankings'!B:B,$A68,'Teacher Rankings'!A:A,"&gt;="&amp;$B$4,'Teacher Rankings'!A:A,"&lt;="&amp;$B$5))</f>
        <v/>
      </c>
      <c r="D68">
        <f>IF($C68=0,"",ROUND(AVERAGEIFS('Teacher Rankings'!I:I,'Teacher Rankings'!B:B,$A68,'Teacher Rankings'!A:A,"&gt;="&amp;$B$4,'Teacher Rankings'!A:A,"&lt;="&amp;$B$5),0))</f>
        <v/>
      </c>
      <c r="E68">
        <f>IF($C68=0,"",IFERROR(INDEX('Teacher Rankings'!I:I,MATCH(1,('Teacher Rankings'!B:B=$A68)*('Teacher Rankings'!A:A=$B$5),0)),0) - IFERROR(INDEX('Teacher Rankings'!I:I,MATCH(1,('Teacher Rankings'!B:B=$A68)*('Teacher Rankings'!A:A=$B$4),0)),0))</f>
        <v/>
      </c>
      <c r="F68">
        <f>IF($C68=0,"",ROUND(100*COUNTIFS('Teacher Rankings'!B:B,$A68,'Teacher Rankings'!A:A,"&gt;="&amp;$B$4,'Teacher Rankings'!A:A,"&lt;="&amp;$B$5,'Teacher Rankings'!F:F,20)/$C68,0))</f>
        <v/>
      </c>
      <c r="G68">
        <f>IF($C68=0,"",ROUND(100*COUNTIFS('Teacher Rankings'!B:B,$A68,'Teacher Rankings'!A:A,"&gt;="&amp;$B$4,'Teacher Rankings'!A:A,"&lt;="&amp;$B$5,'Teacher Rankings'!D:D,20)/$C68,0))</f>
        <v/>
      </c>
      <c r="H68">
        <f>IF($C68=0,"",ROUND(100*COUNTIFS('Teacher Rankings'!B:B,$A68,'Teacher Rankings'!A:A,"&gt;="&amp;$B$4,'Teacher Rankings'!A:A,"&lt;="&amp;$B$5,'Teacher Rankings'!H:H,20)/$C68,0))</f>
        <v/>
      </c>
      <c r="I68">
        <f>IF($C68=0,"",ROUND(100*COUNTIFS('Teacher Rankings'!B:B,$A68,'Teacher Rankings'!A:A,"&gt;="&amp;$B$4,'Teacher Rankings'!A:A,"&lt;="&amp;$B$5,'Teacher Rankings'!G:G,20)/$C68,0))</f>
        <v/>
      </c>
    </row>
    <row r="69">
      <c r="A69">
        <f>IF(Teachers!A63="","",Teachers!A63)</f>
        <v/>
      </c>
      <c r="B69">
        <f>IF($A69="","",Teachers!B63)</f>
        <v/>
      </c>
      <c r="C69">
        <f>IF($A69="","",COUNTIFS('Teacher Rankings'!B:B,$A69,'Teacher Rankings'!A:A,"&gt;="&amp;$B$4,'Teacher Rankings'!A:A,"&lt;="&amp;$B$5))</f>
        <v/>
      </c>
      <c r="D69">
        <f>IF($C69=0,"",ROUND(AVERAGEIFS('Teacher Rankings'!I:I,'Teacher Rankings'!B:B,$A69,'Teacher Rankings'!A:A,"&gt;="&amp;$B$4,'Teacher Rankings'!A:A,"&lt;="&amp;$B$5),0))</f>
        <v/>
      </c>
      <c r="E69">
        <f>IF($C69=0,"",IFERROR(INDEX('Teacher Rankings'!I:I,MATCH(1,('Teacher Rankings'!B:B=$A69)*('Teacher Rankings'!A:A=$B$5),0)),0) - IFERROR(INDEX('Teacher Rankings'!I:I,MATCH(1,('Teacher Rankings'!B:B=$A69)*('Teacher Rankings'!A:A=$B$4),0)),0))</f>
        <v/>
      </c>
      <c r="F69">
        <f>IF($C69=0,"",ROUND(100*COUNTIFS('Teacher Rankings'!B:B,$A69,'Teacher Rankings'!A:A,"&gt;="&amp;$B$4,'Teacher Rankings'!A:A,"&lt;="&amp;$B$5,'Teacher Rankings'!F:F,20)/$C69,0))</f>
        <v/>
      </c>
      <c r="G69">
        <f>IF($C69=0,"",ROUND(100*COUNTIFS('Teacher Rankings'!B:B,$A69,'Teacher Rankings'!A:A,"&gt;="&amp;$B$4,'Teacher Rankings'!A:A,"&lt;="&amp;$B$5,'Teacher Rankings'!D:D,20)/$C69,0))</f>
        <v/>
      </c>
      <c r="H69">
        <f>IF($C69=0,"",ROUND(100*COUNTIFS('Teacher Rankings'!B:B,$A69,'Teacher Rankings'!A:A,"&gt;="&amp;$B$4,'Teacher Rankings'!A:A,"&lt;="&amp;$B$5,'Teacher Rankings'!H:H,20)/$C69,0))</f>
        <v/>
      </c>
      <c r="I69">
        <f>IF($C69=0,"",ROUND(100*COUNTIFS('Teacher Rankings'!B:B,$A69,'Teacher Rankings'!A:A,"&gt;="&amp;$B$4,'Teacher Rankings'!A:A,"&lt;="&amp;$B$5,'Teacher Rankings'!G:G,20)/$C69,0))</f>
        <v/>
      </c>
    </row>
    <row r="70">
      <c r="A70">
        <f>IF(Teachers!A64="","",Teachers!A64)</f>
        <v/>
      </c>
      <c r="B70">
        <f>IF($A70="","",Teachers!B64)</f>
        <v/>
      </c>
      <c r="C70">
        <f>IF($A70="","",COUNTIFS('Teacher Rankings'!B:B,$A70,'Teacher Rankings'!A:A,"&gt;="&amp;$B$4,'Teacher Rankings'!A:A,"&lt;="&amp;$B$5))</f>
        <v/>
      </c>
      <c r="D70">
        <f>IF($C70=0,"",ROUND(AVERAGEIFS('Teacher Rankings'!I:I,'Teacher Rankings'!B:B,$A70,'Teacher Rankings'!A:A,"&gt;="&amp;$B$4,'Teacher Rankings'!A:A,"&lt;="&amp;$B$5),0))</f>
        <v/>
      </c>
      <c r="E70">
        <f>IF($C70=0,"",IFERROR(INDEX('Teacher Rankings'!I:I,MATCH(1,('Teacher Rankings'!B:B=$A70)*('Teacher Rankings'!A:A=$B$5),0)),0) - IFERROR(INDEX('Teacher Rankings'!I:I,MATCH(1,('Teacher Rankings'!B:B=$A70)*('Teacher Rankings'!A:A=$B$4),0)),0))</f>
        <v/>
      </c>
      <c r="F70">
        <f>IF($C70=0,"",ROUND(100*COUNTIFS('Teacher Rankings'!B:B,$A70,'Teacher Rankings'!A:A,"&gt;="&amp;$B$4,'Teacher Rankings'!A:A,"&lt;="&amp;$B$5,'Teacher Rankings'!F:F,20)/$C70,0))</f>
        <v/>
      </c>
      <c r="G70">
        <f>IF($C70=0,"",ROUND(100*COUNTIFS('Teacher Rankings'!B:B,$A70,'Teacher Rankings'!A:A,"&gt;="&amp;$B$4,'Teacher Rankings'!A:A,"&lt;="&amp;$B$5,'Teacher Rankings'!D:D,20)/$C70,0))</f>
        <v/>
      </c>
      <c r="H70">
        <f>IF($C70=0,"",ROUND(100*COUNTIFS('Teacher Rankings'!B:B,$A70,'Teacher Rankings'!A:A,"&gt;="&amp;$B$4,'Teacher Rankings'!A:A,"&lt;="&amp;$B$5,'Teacher Rankings'!H:H,20)/$C70,0))</f>
        <v/>
      </c>
      <c r="I70">
        <f>IF($C70=0,"",ROUND(100*COUNTIFS('Teacher Rankings'!B:B,$A70,'Teacher Rankings'!A:A,"&gt;="&amp;$B$4,'Teacher Rankings'!A:A,"&lt;="&amp;$B$5,'Teacher Rankings'!G:G,20)/$C70,0))</f>
        <v/>
      </c>
    </row>
    <row r="71">
      <c r="A71">
        <f>IF(Teachers!A65="","",Teachers!A65)</f>
        <v/>
      </c>
      <c r="B71">
        <f>IF($A71="","",Teachers!B65)</f>
        <v/>
      </c>
      <c r="C71">
        <f>IF($A71="","",COUNTIFS('Teacher Rankings'!B:B,$A71,'Teacher Rankings'!A:A,"&gt;="&amp;$B$4,'Teacher Rankings'!A:A,"&lt;="&amp;$B$5))</f>
        <v/>
      </c>
      <c r="D71">
        <f>IF($C71=0,"",ROUND(AVERAGEIFS('Teacher Rankings'!I:I,'Teacher Rankings'!B:B,$A71,'Teacher Rankings'!A:A,"&gt;="&amp;$B$4,'Teacher Rankings'!A:A,"&lt;="&amp;$B$5),0))</f>
        <v/>
      </c>
      <c r="E71">
        <f>IF($C71=0,"",IFERROR(INDEX('Teacher Rankings'!I:I,MATCH(1,('Teacher Rankings'!B:B=$A71)*('Teacher Rankings'!A:A=$B$5),0)),0) - IFERROR(INDEX('Teacher Rankings'!I:I,MATCH(1,('Teacher Rankings'!B:B=$A71)*('Teacher Rankings'!A:A=$B$4),0)),0))</f>
        <v/>
      </c>
      <c r="F71">
        <f>IF($C71=0,"",ROUND(100*COUNTIFS('Teacher Rankings'!B:B,$A71,'Teacher Rankings'!A:A,"&gt;="&amp;$B$4,'Teacher Rankings'!A:A,"&lt;="&amp;$B$5,'Teacher Rankings'!F:F,20)/$C71,0))</f>
        <v/>
      </c>
      <c r="G71">
        <f>IF($C71=0,"",ROUND(100*COUNTIFS('Teacher Rankings'!B:B,$A71,'Teacher Rankings'!A:A,"&gt;="&amp;$B$4,'Teacher Rankings'!A:A,"&lt;="&amp;$B$5,'Teacher Rankings'!D:D,20)/$C71,0))</f>
        <v/>
      </c>
      <c r="H71">
        <f>IF($C71=0,"",ROUND(100*COUNTIFS('Teacher Rankings'!B:B,$A71,'Teacher Rankings'!A:A,"&gt;="&amp;$B$4,'Teacher Rankings'!A:A,"&lt;="&amp;$B$5,'Teacher Rankings'!H:H,20)/$C71,0))</f>
        <v/>
      </c>
      <c r="I71">
        <f>IF($C71=0,"",ROUND(100*COUNTIFS('Teacher Rankings'!B:B,$A71,'Teacher Rankings'!A:A,"&gt;="&amp;$B$4,'Teacher Rankings'!A:A,"&lt;="&amp;$B$5,'Teacher Rankings'!G:G,20)/$C71,0))</f>
        <v/>
      </c>
    </row>
    <row r="72">
      <c r="A72">
        <f>IF(Teachers!A66="","",Teachers!A66)</f>
        <v/>
      </c>
      <c r="B72">
        <f>IF($A72="","",Teachers!B66)</f>
        <v/>
      </c>
      <c r="C72">
        <f>IF($A72="","",COUNTIFS('Teacher Rankings'!B:B,$A72,'Teacher Rankings'!A:A,"&gt;="&amp;$B$4,'Teacher Rankings'!A:A,"&lt;="&amp;$B$5))</f>
        <v/>
      </c>
      <c r="D72">
        <f>IF($C72=0,"",ROUND(AVERAGEIFS('Teacher Rankings'!I:I,'Teacher Rankings'!B:B,$A72,'Teacher Rankings'!A:A,"&gt;="&amp;$B$4,'Teacher Rankings'!A:A,"&lt;="&amp;$B$5),0))</f>
        <v/>
      </c>
      <c r="E72">
        <f>IF($C72=0,"",IFERROR(INDEX('Teacher Rankings'!I:I,MATCH(1,('Teacher Rankings'!B:B=$A72)*('Teacher Rankings'!A:A=$B$5),0)),0) - IFERROR(INDEX('Teacher Rankings'!I:I,MATCH(1,('Teacher Rankings'!B:B=$A72)*('Teacher Rankings'!A:A=$B$4),0)),0))</f>
        <v/>
      </c>
      <c r="F72">
        <f>IF($C72=0,"",ROUND(100*COUNTIFS('Teacher Rankings'!B:B,$A72,'Teacher Rankings'!A:A,"&gt;="&amp;$B$4,'Teacher Rankings'!A:A,"&lt;="&amp;$B$5,'Teacher Rankings'!F:F,20)/$C72,0))</f>
        <v/>
      </c>
      <c r="G72">
        <f>IF($C72=0,"",ROUND(100*COUNTIFS('Teacher Rankings'!B:B,$A72,'Teacher Rankings'!A:A,"&gt;="&amp;$B$4,'Teacher Rankings'!A:A,"&lt;="&amp;$B$5,'Teacher Rankings'!D:D,20)/$C72,0))</f>
        <v/>
      </c>
      <c r="H72">
        <f>IF($C72=0,"",ROUND(100*COUNTIFS('Teacher Rankings'!B:B,$A72,'Teacher Rankings'!A:A,"&gt;="&amp;$B$4,'Teacher Rankings'!A:A,"&lt;="&amp;$B$5,'Teacher Rankings'!H:H,20)/$C72,0))</f>
        <v/>
      </c>
      <c r="I72">
        <f>IF($C72=0,"",ROUND(100*COUNTIFS('Teacher Rankings'!B:B,$A72,'Teacher Rankings'!A:A,"&gt;="&amp;$B$4,'Teacher Rankings'!A:A,"&lt;="&amp;$B$5,'Teacher Rankings'!G:G,20)/$C72,0))</f>
        <v/>
      </c>
    </row>
    <row r="73">
      <c r="A73">
        <f>IF(Teachers!A67="","",Teachers!A67)</f>
        <v/>
      </c>
      <c r="B73">
        <f>IF($A73="","",Teachers!B67)</f>
        <v/>
      </c>
      <c r="C73">
        <f>IF($A73="","",COUNTIFS('Teacher Rankings'!B:B,$A73,'Teacher Rankings'!A:A,"&gt;="&amp;$B$4,'Teacher Rankings'!A:A,"&lt;="&amp;$B$5))</f>
        <v/>
      </c>
      <c r="D73">
        <f>IF($C73=0,"",ROUND(AVERAGEIFS('Teacher Rankings'!I:I,'Teacher Rankings'!B:B,$A73,'Teacher Rankings'!A:A,"&gt;="&amp;$B$4,'Teacher Rankings'!A:A,"&lt;="&amp;$B$5),0))</f>
        <v/>
      </c>
      <c r="E73">
        <f>IF($C73=0,"",IFERROR(INDEX('Teacher Rankings'!I:I,MATCH(1,('Teacher Rankings'!B:B=$A73)*('Teacher Rankings'!A:A=$B$5),0)),0) - IFERROR(INDEX('Teacher Rankings'!I:I,MATCH(1,('Teacher Rankings'!B:B=$A73)*('Teacher Rankings'!A:A=$B$4),0)),0))</f>
        <v/>
      </c>
      <c r="F73">
        <f>IF($C73=0,"",ROUND(100*COUNTIFS('Teacher Rankings'!B:B,$A73,'Teacher Rankings'!A:A,"&gt;="&amp;$B$4,'Teacher Rankings'!A:A,"&lt;="&amp;$B$5,'Teacher Rankings'!F:F,20)/$C73,0))</f>
        <v/>
      </c>
      <c r="G73">
        <f>IF($C73=0,"",ROUND(100*COUNTIFS('Teacher Rankings'!B:B,$A73,'Teacher Rankings'!A:A,"&gt;="&amp;$B$4,'Teacher Rankings'!A:A,"&lt;="&amp;$B$5,'Teacher Rankings'!D:D,20)/$C73,0))</f>
        <v/>
      </c>
      <c r="H73">
        <f>IF($C73=0,"",ROUND(100*COUNTIFS('Teacher Rankings'!B:B,$A73,'Teacher Rankings'!A:A,"&gt;="&amp;$B$4,'Teacher Rankings'!A:A,"&lt;="&amp;$B$5,'Teacher Rankings'!H:H,20)/$C73,0))</f>
        <v/>
      </c>
      <c r="I73">
        <f>IF($C73=0,"",ROUND(100*COUNTIFS('Teacher Rankings'!B:B,$A73,'Teacher Rankings'!A:A,"&gt;="&amp;$B$4,'Teacher Rankings'!A:A,"&lt;="&amp;$B$5,'Teacher Rankings'!G:G,20)/$C73,0))</f>
        <v/>
      </c>
    </row>
    <row r="74">
      <c r="A74">
        <f>IF(Teachers!A68="","",Teachers!A68)</f>
        <v/>
      </c>
      <c r="B74">
        <f>IF($A74="","",Teachers!B68)</f>
        <v/>
      </c>
      <c r="C74">
        <f>IF($A74="","",COUNTIFS('Teacher Rankings'!B:B,$A74,'Teacher Rankings'!A:A,"&gt;="&amp;$B$4,'Teacher Rankings'!A:A,"&lt;="&amp;$B$5))</f>
        <v/>
      </c>
      <c r="D74">
        <f>IF($C74=0,"",ROUND(AVERAGEIFS('Teacher Rankings'!I:I,'Teacher Rankings'!B:B,$A74,'Teacher Rankings'!A:A,"&gt;="&amp;$B$4,'Teacher Rankings'!A:A,"&lt;="&amp;$B$5),0))</f>
        <v/>
      </c>
      <c r="E74">
        <f>IF($C74=0,"",IFERROR(INDEX('Teacher Rankings'!I:I,MATCH(1,('Teacher Rankings'!B:B=$A74)*('Teacher Rankings'!A:A=$B$5),0)),0) - IFERROR(INDEX('Teacher Rankings'!I:I,MATCH(1,('Teacher Rankings'!B:B=$A74)*('Teacher Rankings'!A:A=$B$4),0)),0))</f>
        <v/>
      </c>
      <c r="F74">
        <f>IF($C74=0,"",ROUND(100*COUNTIFS('Teacher Rankings'!B:B,$A74,'Teacher Rankings'!A:A,"&gt;="&amp;$B$4,'Teacher Rankings'!A:A,"&lt;="&amp;$B$5,'Teacher Rankings'!F:F,20)/$C74,0))</f>
        <v/>
      </c>
      <c r="G74">
        <f>IF($C74=0,"",ROUND(100*COUNTIFS('Teacher Rankings'!B:B,$A74,'Teacher Rankings'!A:A,"&gt;="&amp;$B$4,'Teacher Rankings'!A:A,"&lt;="&amp;$B$5,'Teacher Rankings'!D:D,20)/$C74,0))</f>
        <v/>
      </c>
      <c r="H74">
        <f>IF($C74=0,"",ROUND(100*COUNTIFS('Teacher Rankings'!B:B,$A74,'Teacher Rankings'!A:A,"&gt;="&amp;$B$4,'Teacher Rankings'!A:A,"&lt;="&amp;$B$5,'Teacher Rankings'!H:H,20)/$C74,0))</f>
        <v/>
      </c>
      <c r="I74">
        <f>IF($C74=0,"",ROUND(100*COUNTIFS('Teacher Rankings'!B:B,$A74,'Teacher Rankings'!A:A,"&gt;="&amp;$B$4,'Teacher Rankings'!A:A,"&lt;="&amp;$B$5,'Teacher Rankings'!G:G,20)/$C74,0))</f>
        <v/>
      </c>
    </row>
    <row r="75">
      <c r="A75">
        <f>IF(Teachers!A69="","",Teachers!A69)</f>
        <v/>
      </c>
      <c r="B75">
        <f>IF($A75="","",Teachers!B69)</f>
        <v/>
      </c>
      <c r="C75">
        <f>IF($A75="","",COUNTIFS('Teacher Rankings'!B:B,$A75,'Teacher Rankings'!A:A,"&gt;="&amp;$B$4,'Teacher Rankings'!A:A,"&lt;="&amp;$B$5))</f>
        <v/>
      </c>
      <c r="D75">
        <f>IF($C75=0,"",ROUND(AVERAGEIFS('Teacher Rankings'!I:I,'Teacher Rankings'!B:B,$A75,'Teacher Rankings'!A:A,"&gt;="&amp;$B$4,'Teacher Rankings'!A:A,"&lt;="&amp;$B$5),0))</f>
        <v/>
      </c>
      <c r="E75">
        <f>IF($C75=0,"",IFERROR(INDEX('Teacher Rankings'!I:I,MATCH(1,('Teacher Rankings'!B:B=$A75)*('Teacher Rankings'!A:A=$B$5),0)),0) - IFERROR(INDEX('Teacher Rankings'!I:I,MATCH(1,('Teacher Rankings'!B:B=$A75)*('Teacher Rankings'!A:A=$B$4),0)),0))</f>
        <v/>
      </c>
      <c r="F75">
        <f>IF($C75=0,"",ROUND(100*COUNTIFS('Teacher Rankings'!B:B,$A75,'Teacher Rankings'!A:A,"&gt;="&amp;$B$4,'Teacher Rankings'!A:A,"&lt;="&amp;$B$5,'Teacher Rankings'!F:F,20)/$C75,0))</f>
        <v/>
      </c>
      <c r="G75">
        <f>IF($C75=0,"",ROUND(100*COUNTIFS('Teacher Rankings'!B:B,$A75,'Teacher Rankings'!A:A,"&gt;="&amp;$B$4,'Teacher Rankings'!A:A,"&lt;="&amp;$B$5,'Teacher Rankings'!D:D,20)/$C75,0))</f>
        <v/>
      </c>
      <c r="H75">
        <f>IF($C75=0,"",ROUND(100*COUNTIFS('Teacher Rankings'!B:B,$A75,'Teacher Rankings'!A:A,"&gt;="&amp;$B$4,'Teacher Rankings'!A:A,"&lt;="&amp;$B$5,'Teacher Rankings'!H:H,20)/$C75,0))</f>
        <v/>
      </c>
      <c r="I75">
        <f>IF($C75=0,"",ROUND(100*COUNTIFS('Teacher Rankings'!B:B,$A75,'Teacher Rankings'!A:A,"&gt;="&amp;$B$4,'Teacher Rankings'!A:A,"&lt;="&amp;$B$5,'Teacher Rankings'!G:G,20)/$C75,0))</f>
        <v/>
      </c>
    </row>
    <row r="76">
      <c r="A76">
        <f>IF(Teachers!A70="","",Teachers!A70)</f>
        <v/>
      </c>
      <c r="B76">
        <f>IF($A76="","",Teachers!B70)</f>
        <v/>
      </c>
      <c r="C76">
        <f>IF($A76="","",COUNTIFS('Teacher Rankings'!B:B,$A76,'Teacher Rankings'!A:A,"&gt;="&amp;$B$4,'Teacher Rankings'!A:A,"&lt;="&amp;$B$5))</f>
        <v/>
      </c>
      <c r="D76">
        <f>IF($C76=0,"",ROUND(AVERAGEIFS('Teacher Rankings'!I:I,'Teacher Rankings'!B:B,$A76,'Teacher Rankings'!A:A,"&gt;="&amp;$B$4,'Teacher Rankings'!A:A,"&lt;="&amp;$B$5),0))</f>
        <v/>
      </c>
      <c r="E76">
        <f>IF($C76=0,"",IFERROR(INDEX('Teacher Rankings'!I:I,MATCH(1,('Teacher Rankings'!B:B=$A76)*('Teacher Rankings'!A:A=$B$5),0)),0) - IFERROR(INDEX('Teacher Rankings'!I:I,MATCH(1,('Teacher Rankings'!B:B=$A76)*('Teacher Rankings'!A:A=$B$4),0)),0))</f>
        <v/>
      </c>
      <c r="F76">
        <f>IF($C76=0,"",ROUND(100*COUNTIFS('Teacher Rankings'!B:B,$A76,'Teacher Rankings'!A:A,"&gt;="&amp;$B$4,'Teacher Rankings'!A:A,"&lt;="&amp;$B$5,'Teacher Rankings'!F:F,20)/$C76,0))</f>
        <v/>
      </c>
      <c r="G76">
        <f>IF($C76=0,"",ROUND(100*COUNTIFS('Teacher Rankings'!B:B,$A76,'Teacher Rankings'!A:A,"&gt;="&amp;$B$4,'Teacher Rankings'!A:A,"&lt;="&amp;$B$5,'Teacher Rankings'!D:D,20)/$C76,0))</f>
        <v/>
      </c>
      <c r="H76">
        <f>IF($C76=0,"",ROUND(100*COUNTIFS('Teacher Rankings'!B:B,$A76,'Teacher Rankings'!A:A,"&gt;="&amp;$B$4,'Teacher Rankings'!A:A,"&lt;="&amp;$B$5,'Teacher Rankings'!H:H,20)/$C76,0))</f>
        <v/>
      </c>
      <c r="I76">
        <f>IF($C76=0,"",ROUND(100*COUNTIFS('Teacher Rankings'!B:B,$A76,'Teacher Rankings'!A:A,"&gt;="&amp;$B$4,'Teacher Rankings'!A:A,"&lt;="&amp;$B$5,'Teacher Rankings'!G:G,20)/$C76,0))</f>
        <v/>
      </c>
    </row>
    <row r="77">
      <c r="A77">
        <f>IF(Teachers!A71="","",Teachers!A71)</f>
        <v/>
      </c>
      <c r="B77">
        <f>IF($A77="","",Teachers!B71)</f>
        <v/>
      </c>
      <c r="C77">
        <f>IF($A77="","",COUNTIFS('Teacher Rankings'!B:B,$A77,'Teacher Rankings'!A:A,"&gt;="&amp;$B$4,'Teacher Rankings'!A:A,"&lt;="&amp;$B$5))</f>
        <v/>
      </c>
      <c r="D77">
        <f>IF($C77=0,"",ROUND(AVERAGEIFS('Teacher Rankings'!I:I,'Teacher Rankings'!B:B,$A77,'Teacher Rankings'!A:A,"&gt;="&amp;$B$4,'Teacher Rankings'!A:A,"&lt;="&amp;$B$5),0))</f>
        <v/>
      </c>
      <c r="E77">
        <f>IF($C77=0,"",IFERROR(INDEX('Teacher Rankings'!I:I,MATCH(1,('Teacher Rankings'!B:B=$A77)*('Teacher Rankings'!A:A=$B$5),0)),0) - IFERROR(INDEX('Teacher Rankings'!I:I,MATCH(1,('Teacher Rankings'!B:B=$A77)*('Teacher Rankings'!A:A=$B$4),0)),0))</f>
        <v/>
      </c>
      <c r="F77">
        <f>IF($C77=0,"",ROUND(100*COUNTIFS('Teacher Rankings'!B:B,$A77,'Teacher Rankings'!A:A,"&gt;="&amp;$B$4,'Teacher Rankings'!A:A,"&lt;="&amp;$B$5,'Teacher Rankings'!F:F,20)/$C77,0))</f>
        <v/>
      </c>
      <c r="G77">
        <f>IF($C77=0,"",ROUND(100*COUNTIFS('Teacher Rankings'!B:B,$A77,'Teacher Rankings'!A:A,"&gt;="&amp;$B$4,'Teacher Rankings'!A:A,"&lt;="&amp;$B$5,'Teacher Rankings'!D:D,20)/$C77,0))</f>
        <v/>
      </c>
      <c r="H77">
        <f>IF($C77=0,"",ROUND(100*COUNTIFS('Teacher Rankings'!B:B,$A77,'Teacher Rankings'!A:A,"&gt;="&amp;$B$4,'Teacher Rankings'!A:A,"&lt;="&amp;$B$5,'Teacher Rankings'!H:H,20)/$C77,0))</f>
        <v/>
      </c>
      <c r="I77">
        <f>IF($C77=0,"",ROUND(100*COUNTIFS('Teacher Rankings'!B:B,$A77,'Teacher Rankings'!A:A,"&gt;="&amp;$B$4,'Teacher Rankings'!A:A,"&lt;="&amp;$B$5,'Teacher Rankings'!G:G,20)/$C77,0))</f>
        <v/>
      </c>
    </row>
    <row r="78">
      <c r="A78">
        <f>IF(Teachers!A72="","",Teachers!A72)</f>
        <v/>
      </c>
      <c r="B78">
        <f>IF($A78="","",Teachers!B72)</f>
        <v/>
      </c>
      <c r="C78">
        <f>IF($A78="","",COUNTIFS('Teacher Rankings'!B:B,$A78,'Teacher Rankings'!A:A,"&gt;="&amp;$B$4,'Teacher Rankings'!A:A,"&lt;="&amp;$B$5))</f>
        <v/>
      </c>
      <c r="D78">
        <f>IF($C78=0,"",ROUND(AVERAGEIFS('Teacher Rankings'!I:I,'Teacher Rankings'!B:B,$A78,'Teacher Rankings'!A:A,"&gt;="&amp;$B$4,'Teacher Rankings'!A:A,"&lt;="&amp;$B$5),0))</f>
        <v/>
      </c>
      <c r="E78">
        <f>IF($C78=0,"",IFERROR(INDEX('Teacher Rankings'!I:I,MATCH(1,('Teacher Rankings'!B:B=$A78)*('Teacher Rankings'!A:A=$B$5),0)),0) - IFERROR(INDEX('Teacher Rankings'!I:I,MATCH(1,('Teacher Rankings'!B:B=$A78)*('Teacher Rankings'!A:A=$B$4),0)),0))</f>
        <v/>
      </c>
      <c r="F78">
        <f>IF($C78=0,"",ROUND(100*COUNTIFS('Teacher Rankings'!B:B,$A78,'Teacher Rankings'!A:A,"&gt;="&amp;$B$4,'Teacher Rankings'!A:A,"&lt;="&amp;$B$5,'Teacher Rankings'!F:F,20)/$C78,0))</f>
        <v/>
      </c>
      <c r="G78">
        <f>IF($C78=0,"",ROUND(100*COUNTIFS('Teacher Rankings'!B:B,$A78,'Teacher Rankings'!A:A,"&gt;="&amp;$B$4,'Teacher Rankings'!A:A,"&lt;="&amp;$B$5,'Teacher Rankings'!D:D,20)/$C78,0))</f>
        <v/>
      </c>
      <c r="H78">
        <f>IF($C78=0,"",ROUND(100*COUNTIFS('Teacher Rankings'!B:B,$A78,'Teacher Rankings'!A:A,"&gt;="&amp;$B$4,'Teacher Rankings'!A:A,"&lt;="&amp;$B$5,'Teacher Rankings'!H:H,20)/$C78,0))</f>
        <v/>
      </c>
      <c r="I78">
        <f>IF($C78=0,"",ROUND(100*COUNTIFS('Teacher Rankings'!B:B,$A78,'Teacher Rankings'!A:A,"&gt;="&amp;$B$4,'Teacher Rankings'!A:A,"&lt;="&amp;$B$5,'Teacher Rankings'!G:G,20)/$C78,0))</f>
        <v/>
      </c>
    </row>
    <row r="79">
      <c r="A79">
        <f>IF(Teachers!A73="","",Teachers!A73)</f>
        <v/>
      </c>
      <c r="B79">
        <f>IF($A79="","",Teachers!B73)</f>
        <v/>
      </c>
      <c r="C79">
        <f>IF($A79="","",COUNTIFS('Teacher Rankings'!B:B,$A79,'Teacher Rankings'!A:A,"&gt;="&amp;$B$4,'Teacher Rankings'!A:A,"&lt;="&amp;$B$5))</f>
        <v/>
      </c>
      <c r="D79">
        <f>IF($C79=0,"",ROUND(AVERAGEIFS('Teacher Rankings'!I:I,'Teacher Rankings'!B:B,$A79,'Teacher Rankings'!A:A,"&gt;="&amp;$B$4,'Teacher Rankings'!A:A,"&lt;="&amp;$B$5),0))</f>
        <v/>
      </c>
      <c r="E79">
        <f>IF($C79=0,"",IFERROR(INDEX('Teacher Rankings'!I:I,MATCH(1,('Teacher Rankings'!B:B=$A79)*('Teacher Rankings'!A:A=$B$5),0)),0) - IFERROR(INDEX('Teacher Rankings'!I:I,MATCH(1,('Teacher Rankings'!B:B=$A79)*('Teacher Rankings'!A:A=$B$4),0)),0))</f>
        <v/>
      </c>
      <c r="F79">
        <f>IF($C79=0,"",ROUND(100*COUNTIFS('Teacher Rankings'!B:B,$A79,'Teacher Rankings'!A:A,"&gt;="&amp;$B$4,'Teacher Rankings'!A:A,"&lt;="&amp;$B$5,'Teacher Rankings'!F:F,20)/$C79,0))</f>
        <v/>
      </c>
      <c r="G79">
        <f>IF($C79=0,"",ROUND(100*COUNTIFS('Teacher Rankings'!B:B,$A79,'Teacher Rankings'!A:A,"&gt;="&amp;$B$4,'Teacher Rankings'!A:A,"&lt;="&amp;$B$5,'Teacher Rankings'!D:D,20)/$C79,0))</f>
        <v/>
      </c>
      <c r="H79">
        <f>IF($C79=0,"",ROUND(100*COUNTIFS('Teacher Rankings'!B:B,$A79,'Teacher Rankings'!A:A,"&gt;="&amp;$B$4,'Teacher Rankings'!A:A,"&lt;="&amp;$B$5,'Teacher Rankings'!H:H,20)/$C79,0))</f>
        <v/>
      </c>
      <c r="I79">
        <f>IF($C79=0,"",ROUND(100*COUNTIFS('Teacher Rankings'!B:B,$A79,'Teacher Rankings'!A:A,"&gt;="&amp;$B$4,'Teacher Rankings'!A:A,"&lt;="&amp;$B$5,'Teacher Rankings'!G:G,20)/$C79,0))</f>
        <v/>
      </c>
    </row>
    <row r="80">
      <c r="A80">
        <f>IF(Teachers!A74="","",Teachers!A74)</f>
        <v/>
      </c>
      <c r="B80">
        <f>IF($A80="","",Teachers!B74)</f>
        <v/>
      </c>
      <c r="C80">
        <f>IF($A80="","",COUNTIFS('Teacher Rankings'!B:B,$A80,'Teacher Rankings'!A:A,"&gt;="&amp;$B$4,'Teacher Rankings'!A:A,"&lt;="&amp;$B$5))</f>
        <v/>
      </c>
      <c r="D80">
        <f>IF($C80=0,"",ROUND(AVERAGEIFS('Teacher Rankings'!I:I,'Teacher Rankings'!B:B,$A80,'Teacher Rankings'!A:A,"&gt;="&amp;$B$4,'Teacher Rankings'!A:A,"&lt;="&amp;$B$5),0))</f>
        <v/>
      </c>
      <c r="E80">
        <f>IF($C80=0,"",IFERROR(INDEX('Teacher Rankings'!I:I,MATCH(1,('Teacher Rankings'!B:B=$A80)*('Teacher Rankings'!A:A=$B$5),0)),0) - IFERROR(INDEX('Teacher Rankings'!I:I,MATCH(1,('Teacher Rankings'!B:B=$A80)*('Teacher Rankings'!A:A=$B$4),0)),0))</f>
        <v/>
      </c>
      <c r="F80">
        <f>IF($C80=0,"",ROUND(100*COUNTIFS('Teacher Rankings'!B:B,$A80,'Teacher Rankings'!A:A,"&gt;="&amp;$B$4,'Teacher Rankings'!A:A,"&lt;="&amp;$B$5,'Teacher Rankings'!F:F,20)/$C80,0))</f>
        <v/>
      </c>
      <c r="G80">
        <f>IF($C80=0,"",ROUND(100*COUNTIFS('Teacher Rankings'!B:B,$A80,'Teacher Rankings'!A:A,"&gt;="&amp;$B$4,'Teacher Rankings'!A:A,"&lt;="&amp;$B$5,'Teacher Rankings'!D:D,20)/$C80,0))</f>
        <v/>
      </c>
      <c r="H80">
        <f>IF($C80=0,"",ROUND(100*COUNTIFS('Teacher Rankings'!B:B,$A80,'Teacher Rankings'!A:A,"&gt;="&amp;$B$4,'Teacher Rankings'!A:A,"&lt;="&amp;$B$5,'Teacher Rankings'!H:H,20)/$C80,0))</f>
        <v/>
      </c>
      <c r="I80">
        <f>IF($C80=0,"",ROUND(100*COUNTIFS('Teacher Rankings'!B:B,$A80,'Teacher Rankings'!A:A,"&gt;="&amp;$B$4,'Teacher Rankings'!A:A,"&lt;="&amp;$B$5,'Teacher Rankings'!G:G,20)/$C80,0))</f>
        <v/>
      </c>
    </row>
    <row r="81">
      <c r="A81">
        <f>IF(Teachers!A75="","",Teachers!A75)</f>
        <v/>
      </c>
      <c r="B81">
        <f>IF($A81="","",Teachers!B75)</f>
        <v/>
      </c>
      <c r="C81">
        <f>IF($A81="","",COUNTIFS('Teacher Rankings'!B:B,$A81,'Teacher Rankings'!A:A,"&gt;="&amp;$B$4,'Teacher Rankings'!A:A,"&lt;="&amp;$B$5))</f>
        <v/>
      </c>
      <c r="D81">
        <f>IF($C81=0,"",ROUND(AVERAGEIFS('Teacher Rankings'!I:I,'Teacher Rankings'!B:B,$A81,'Teacher Rankings'!A:A,"&gt;="&amp;$B$4,'Teacher Rankings'!A:A,"&lt;="&amp;$B$5),0))</f>
        <v/>
      </c>
      <c r="E81">
        <f>IF($C81=0,"",IFERROR(INDEX('Teacher Rankings'!I:I,MATCH(1,('Teacher Rankings'!B:B=$A81)*('Teacher Rankings'!A:A=$B$5),0)),0) - IFERROR(INDEX('Teacher Rankings'!I:I,MATCH(1,('Teacher Rankings'!B:B=$A81)*('Teacher Rankings'!A:A=$B$4),0)),0))</f>
        <v/>
      </c>
      <c r="F81">
        <f>IF($C81=0,"",ROUND(100*COUNTIFS('Teacher Rankings'!B:B,$A81,'Teacher Rankings'!A:A,"&gt;="&amp;$B$4,'Teacher Rankings'!A:A,"&lt;="&amp;$B$5,'Teacher Rankings'!F:F,20)/$C81,0))</f>
        <v/>
      </c>
      <c r="G81">
        <f>IF($C81=0,"",ROUND(100*COUNTIFS('Teacher Rankings'!B:B,$A81,'Teacher Rankings'!A:A,"&gt;="&amp;$B$4,'Teacher Rankings'!A:A,"&lt;="&amp;$B$5,'Teacher Rankings'!D:D,20)/$C81,0))</f>
        <v/>
      </c>
      <c r="H81">
        <f>IF($C81=0,"",ROUND(100*COUNTIFS('Teacher Rankings'!B:B,$A81,'Teacher Rankings'!A:A,"&gt;="&amp;$B$4,'Teacher Rankings'!A:A,"&lt;="&amp;$B$5,'Teacher Rankings'!H:H,20)/$C81,0))</f>
        <v/>
      </c>
      <c r="I81">
        <f>IF($C81=0,"",ROUND(100*COUNTIFS('Teacher Rankings'!B:B,$A81,'Teacher Rankings'!A:A,"&gt;="&amp;$B$4,'Teacher Rankings'!A:A,"&lt;="&amp;$B$5,'Teacher Rankings'!G:G,20)/$C81,0))</f>
        <v/>
      </c>
    </row>
    <row r="82">
      <c r="A82">
        <f>IF(Teachers!A76="","",Teachers!A76)</f>
        <v/>
      </c>
      <c r="B82">
        <f>IF($A82="","",Teachers!B76)</f>
        <v/>
      </c>
      <c r="C82">
        <f>IF($A82="","",COUNTIFS('Teacher Rankings'!B:B,$A82,'Teacher Rankings'!A:A,"&gt;="&amp;$B$4,'Teacher Rankings'!A:A,"&lt;="&amp;$B$5))</f>
        <v/>
      </c>
      <c r="D82">
        <f>IF($C82=0,"",ROUND(AVERAGEIFS('Teacher Rankings'!I:I,'Teacher Rankings'!B:B,$A82,'Teacher Rankings'!A:A,"&gt;="&amp;$B$4,'Teacher Rankings'!A:A,"&lt;="&amp;$B$5),0))</f>
        <v/>
      </c>
      <c r="E82">
        <f>IF($C82=0,"",IFERROR(INDEX('Teacher Rankings'!I:I,MATCH(1,('Teacher Rankings'!B:B=$A82)*('Teacher Rankings'!A:A=$B$5),0)),0) - IFERROR(INDEX('Teacher Rankings'!I:I,MATCH(1,('Teacher Rankings'!B:B=$A82)*('Teacher Rankings'!A:A=$B$4),0)),0))</f>
        <v/>
      </c>
      <c r="F82">
        <f>IF($C82=0,"",ROUND(100*COUNTIFS('Teacher Rankings'!B:B,$A82,'Teacher Rankings'!A:A,"&gt;="&amp;$B$4,'Teacher Rankings'!A:A,"&lt;="&amp;$B$5,'Teacher Rankings'!F:F,20)/$C82,0))</f>
        <v/>
      </c>
      <c r="G82">
        <f>IF($C82=0,"",ROUND(100*COUNTIFS('Teacher Rankings'!B:B,$A82,'Teacher Rankings'!A:A,"&gt;="&amp;$B$4,'Teacher Rankings'!A:A,"&lt;="&amp;$B$5,'Teacher Rankings'!D:D,20)/$C82,0))</f>
        <v/>
      </c>
      <c r="H82">
        <f>IF($C82=0,"",ROUND(100*COUNTIFS('Teacher Rankings'!B:B,$A82,'Teacher Rankings'!A:A,"&gt;="&amp;$B$4,'Teacher Rankings'!A:A,"&lt;="&amp;$B$5,'Teacher Rankings'!H:H,20)/$C82,0))</f>
        <v/>
      </c>
      <c r="I82">
        <f>IF($C82=0,"",ROUND(100*COUNTIFS('Teacher Rankings'!B:B,$A82,'Teacher Rankings'!A:A,"&gt;="&amp;$B$4,'Teacher Rankings'!A:A,"&lt;="&amp;$B$5,'Teacher Rankings'!G:G,20)/$C82,0))</f>
        <v/>
      </c>
    </row>
    <row r="83">
      <c r="A83">
        <f>IF(Teachers!A77="","",Teachers!A77)</f>
        <v/>
      </c>
      <c r="B83">
        <f>IF($A83="","",Teachers!B77)</f>
        <v/>
      </c>
      <c r="C83">
        <f>IF($A83="","",COUNTIFS('Teacher Rankings'!B:B,$A83,'Teacher Rankings'!A:A,"&gt;="&amp;$B$4,'Teacher Rankings'!A:A,"&lt;="&amp;$B$5))</f>
        <v/>
      </c>
      <c r="D83">
        <f>IF($C83=0,"",ROUND(AVERAGEIFS('Teacher Rankings'!I:I,'Teacher Rankings'!B:B,$A83,'Teacher Rankings'!A:A,"&gt;="&amp;$B$4,'Teacher Rankings'!A:A,"&lt;="&amp;$B$5),0))</f>
        <v/>
      </c>
      <c r="E83">
        <f>IF($C83=0,"",IFERROR(INDEX('Teacher Rankings'!I:I,MATCH(1,('Teacher Rankings'!B:B=$A83)*('Teacher Rankings'!A:A=$B$5),0)),0) - IFERROR(INDEX('Teacher Rankings'!I:I,MATCH(1,('Teacher Rankings'!B:B=$A83)*('Teacher Rankings'!A:A=$B$4),0)),0))</f>
        <v/>
      </c>
      <c r="F83">
        <f>IF($C83=0,"",ROUND(100*COUNTIFS('Teacher Rankings'!B:B,$A83,'Teacher Rankings'!A:A,"&gt;="&amp;$B$4,'Teacher Rankings'!A:A,"&lt;="&amp;$B$5,'Teacher Rankings'!F:F,20)/$C83,0))</f>
        <v/>
      </c>
      <c r="G83">
        <f>IF($C83=0,"",ROUND(100*COUNTIFS('Teacher Rankings'!B:B,$A83,'Teacher Rankings'!A:A,"&gt;="&amp;$B$4,'Teacher Rankings'!A:A,"&lt;="&amp;$B$5,'Teacher Rankings'!D:D,20)/$C83,0))</f>
        <v/>
      </c>
      <c r="H83">
        <f>IF($C83=0,"",ROUND(100*COUNTIFS('Teacher Rankings'!B:B,$A83,'Teacher Rankings'!A:A,"&gt;="&amp;$B$4,'Teacher Rankings'!A:A,"&lt;="&amp;$B$5,'Teacher Rankings'!H:H,20)/$C83,0))</f>
        <v/>
      </c>
      <c r="I83">
        <f>IF($C83=0,"",ROUND(100*COUNTIFS('Teacher Rankings'!B:B,$A83,'Teacher Rankings'!A:A,"&gt;="&amp;$B$4,'Teacher Rankings'!A:A,"&lt;="&amp;$B$5,'Teacher Rankings'!G:G,20)/$C83,0))</f>
        <v/>
      </c>
    </row>
    <row r="84">
      <c r="A84">
        <f>IF(Teachers!A78="","",Teachers!A78)</f>
        <v/>
      </c>
      <c r="B84">
        <f>IF($A84="","",Teachers!B78)</f>
        <v/>
      </c>
      <c r="C84">
        <f>IF($A84="","",COUNTIFS('Teacher Rankings'!B:B,$A84,'Teacher Rankings'!A:A,"&gt;="&amp;$B$4,'Teacher Rankings'!A:A,"&lt;="&amp;$B$5))</f>
        <v/>
      </c>
      <c r="D84">
        <f>IF($C84=0,"",ROUND(AVERAGEIFS('Teacher Rankings'!I:I,'Teacher Rankings'!B:B,$A84,'Teacher Rankings'!A:A,"&gt;="&amp;$B$4,'Teacher Rankings'!A:A,"&lt;="&amp;$B$5),0))</f>
        <v/>
      </c>
      <c r="E84">
        <f>IF($C84=0,"",IFERROR(INDEX('Teacher Rankings'!I:I,MATCH(1,('Teacher Rankings'!B:B=$A84)*('Teacher Rankings'!A:A=$B$5),0)),0) - IFERROR(INDEX('Teacher Rankings'!I:I,MATCH(1,('Teacher Rankings'!B:B=$A84)*('Teacher Rankings'!A:A=$B$4),0)),0))</f>
        <v/>
      </c>
      <c r="F84">
        <f>IF($C84=0,"",ROUND(100*COUNTIFS('Teacher Rankings'!B:B,$A84,'Teacher Rankings'!A:A,"&gt;="&amp;$B$4,'Teacher Rankings'!A:A,"&lt;="&amp;$B$5,'Teacher Rankings'!F:F,20)/$C84,0))</f>
        <v/>
      </c>
      <c r="G84">
        <f>IF($C84=0,"",ROUND(100*COUNTIFS('Teacher Rankings'!B:B,$A84,'Teacher Rankings'!A:A,"&gt;="&amp;$B$4,'Teacher Rankings'!A:A,"&lt;="&amp;$B$5,'Teacher Rankings'!D:D,20)/$C84,0))</f>
        <v/>
      </c>
      <c r="H84">
        <f>IF($C84=0,"",ROUND(100*COUNTIFS('Teacher Rankings'!B:B,$A84,'Teacher Rankings'!A:A,"&gt;="&amp;$B$4,'Teacher Rankings'!A:A,"&lt;="&amp;$B$5,'Teacher Rankings'!H:H,20)/$C84,0))</f>
        <v/>
      </c>
      <c r="I84">
        <f>IF($C84=0,"",ROUND(100*COUNTIFS('Teacher Rankings'!B:B,$A84,'Teacher Rankings'!A:A,"&gt;="&amp;$B$4,'Teacher Rankings'!A:A,"&lt;="&amp;$B$5,'Teacher Rankings'!G:G,20)/$C84,0))</f>
        <v/>
      </c>
    </row>
    <row r="85">
      <c r="A85">
        <f>IF(Teachers!A79="","",Teachers!A79)</f>
        <v/>
      </c>
      <c r="B85">
        <f>IF($A85="","",Teachers!B79)</f>
        <v/>
      </c>
      <c r="C85">
        <f>IF($A85="","",COUNTIFS('Teacher Rankings'!B:B,$A85,'Teacher Rankings'!A:A,"&gt;="&amp;$B$4,'Teacher Rankings'!A:A,"&lt;="&amp;$B$5))</f>
        <v/>
      </c>
      <c r="D85">
        <f>IF($C85=0,"",ROUND(AVERAGEIFS('Teacher Rankings'!I:I,'Teacher Rankings'!B:B,$A85,'Teacher Rankings'!A:A,"&gt;="&amp;$B$4,'Teacher Rankings'!A:A,"&lt;="&amp;$B$5),0))</f>
        <v/>
      </c>
      <c r="E85">
        <f>IF($C85=0,"",IFERROR(INDEX('Teacher Rankings'!I:I,MATCH(1,('Teacher Rankings'!B:B=$A85)*('Teacher Rankings'!A:A=$B$5),0)),0) - IFERROR(INDEX('Teacher Rankings'!I:I,MATCH(1,('Teacher Rankings'!B:B=$A85)*('Teacher Rankings'!A:A=$B$4),0)),0))</f>
        <v/>
      </c>
      <c r="F85">
        <f>IF($C85=0,"",ROUND(100*COUNTIFS('Teacher Rankings'!B:B,$A85,'Teacher Rankings'!A:A,"&gt;="&amp;$B$4,'Teacher Rankings'!A:A,"&lt;="&amp;$B$5,'Teacher Rankings'!F:F,20)/$C85,0))</f>
        <v/>
      </c>
      <c r="G85">
        <f>IF($C85=0,"",ROUND(100*COUNTIFS('Teacher Rankings'!B:B,$A85,'Teacher Rankings'!A:A,"&gt;="&amp;$B$4,'Teacher Rankings'!A:A,"&lt;="&amp;$B$5,'Teacher Rankings'!D:D,20)/$C85,0))</f>
        <v/>
      </c>
      <c r="H85">
        <f>IF($C85=0,"",ROUND(100*COUNTIFS('Teacher Rankings'!B:B,$A85,'Teacher Rankings'!A:A,"&gt;="&amp;$B$4,'Teacher Rankings'!A:A,"&lt;="&amp;$B$5,'Teacher Rankings'!H:H,20)/$C85,0))</f>
        <v/>
      </c>
      <c r="I85">
        <f>IF($C85=0,"",ROUND(100*COUNTIFS('Teacher Rankings'!B:B,$A85,'Teacher Rankings'!A:A,"&gt;="&amp;$B$4,'Teacher Rankings'!A:A,"&lt;="&amp;$B$5,'Teacher Rankings'!G:G,20)/$C85,0))</f>
        <v/>
      </c>
    </row>
    <row r="86">
      <c r="A86">
        <f>IF(Teachers!A80="","",Teachers!A80)</f>
        <v/>
      </c>
      <c r="B86">
        <f>IF($A86="","",Teachers!B80)</f>
        <v/>
      </c>
      <c r="C86">
        <f>IF($A86="","",COUNTIFS('Teacher Rankings'!B:B,$A86,'Teacher Rankings'!A:A,"&gt;="&amp;$B$4,'Teacher Rankings'!A:A,"&lt;="&amp;$B$5))</f>
        <v/>
      </c>
      <c r="D86">
        <f>IF($C86=0,"",ROUND(AVERAGEIFS('Teacher Rankings'!I:I,'Teacher Rankings'!B:B,$A86,'Teacher Rankings'!A:A,"&gt;="&amp;$B$4,'Teacher Rankings'!A:A,"&lt;="&amp;$B$5),0))</f>
        <v/>
      </c>
      <c r="E86">
        <f>IF($C86=0,"",IFERROR(INDEX('Teacher Rankings'!I:I,MATCH(1,('Teacher Rankings'!B:B=$A86)*('Teacher Rankings'!A:A=$B$5),0)),0) - IFERROR(INDEX('Teacher Rankings'!I:I,MATCH(1,('Teacher Rankings'!B:B=$A86)*('Teacher Rankings'!A:A=$B$4),0)),0))</f>
        <v/>
      </c>
      <c r="F86">
        <f>IF($C86=0,"",ROUND(100*COUNTIFS('Teacher Rankings'!B:B,$A86,'Teacher Rankings'!A:A,"&gt;="&amp;$B$4,'Teacher Rankings'!A:A,"&lt;="&amp;$B$5,'Teacher Rankings'!F:F,20)/$C86,0))</f>
        <v/>
      </c>
      <c r="G86">
        <f>IF($C86=0,"",ROUND(100*COUNTIFS('Teacher Rankings'!B:B,$A86,'Teacher Rankings'!A:A,"&gt;="&amp;$B$4,'Teacher Rankings'!A:A,"&lt;="&amp;$B$5,'Teacher Rankings'!D:D,20)/$C86,0))</f>
        <v/>
      </c>
      <c r="H86">
        <f>IF($C86=0,"",ROUND(100*COUNTIFS('Teacher Rankings'!B:B,$A86,'Teacher Rankings'!A:A,"&gt;="&amp;$B$4,'Teacher Rankings'!A:A,"&lt;="&amp;$B$5,'Teacher Rankings'!H:H,20)/$C86,0))</f>
        <v/>
      </c>
      <c r="I86">
        <f>IF($C86=0,"",ROUND(100*COUNTIFS('Teacher Rankings'!B:B,$A86,'Teacher Rankings'!A:A,"&gt;="&amp;$B$4,'Teacher Rankings'!A:A,"&lt;="&amp;$B$5,'Teacher Rankings'!G:G,20)/$C86,0))</f>
        <v/>
      </c>
    </row>
    <row r="87">
      <c r="A87">
        <f>IF(Teachers!A81="","",Teachers!A81)</f>
        <v/>
      </c>
      <c r="B87">
        <f>IF($A87="","",Teachers!B81)</f>
        <v/>
      </c>
      <c r="C87">
        <f>IF($A87="","",COUNTIFS('Teacher Rankings'!B:B,$A87,'Teacher Rankings'!A:A,"&gt;="&amp;$B$4,'Teacher Rankings'!A:A,"&lt;="&amp;$B$5))</f>
        <v/>
      </c>
      <c r="D87">
        <f>IF($C87=0,"",ROUND(AVERAGEIFS('Teacher Rankings'!I:I,'Teacher Rankings'!B:B,$A87,'Teacher Rankings'!A:A,"&gt;="&amp;$B$4,'Teacher Rankings'!A:A,"&lt;="&amp;$B$5),0))</f>
        <v/>
      </c>
      <c r="E87">
        <f>IF($C87=0,"",IFERROR(INDEX('Teacher Rankings'!I:I,MATCH(1,('Teacher Rankings'!B:B=$A87)*('Teacher Rankings'!A:A=$B$5),0)),0) - IFERROR(INDEX('Teacher Rankings'!I:I,MATCH(1,('Teacher Rankings'!B:B=$A87)*('Teacher Rankings'!A:A=$B$4),0)),0))</f>
        <v/>
      </c>
      <c r="F87">
        <f>IF($C87=0,"",ROUND(100*COUNTIFS('Teacher Rankings'!B:B,$A87,'Teacher Rankings'!A:A,"&gt;="&amp;$B$4,'Teacher Rankings'!A:A,"&lt;="&amp;$B$5,'Teacher Rankings'!F:F,20)/$C87,0))</f>
        <v/>
      </c>
      <c r="G87">
        <f>IF($C87=0,"",ROUND(100*COUNTIFS('Teacher Rankings'!B:B,$A87,'Teacher Rankings'!A:A,"&gt;="&amp;$B$4,'Teacher Rankings'!A:A,"&lt;="&amp;$B$5,'Teacher Rankings'!D:D,20)/$C87,0))</f>
        <v/>
      </c>
      <c r="H87">
        <f>IF($C87=0,"",ROUND(100*COUNTIFS('Teacher Rankings'!B:B,$A87,'Teacher Rankings'!A:A,"&gt;="&amp;$B$4,'Teacher Rankings'!A:A,"&lt;="&amp;$B$5,'Teacher Rankings'!H:H,20)/$C87,0))</f>
        <v/>
      </c>
      <c r="I87">
        <f>IF($C87=0,"",ROUND(100*COUNTIFS('Teacher Rankings'!B:B,$A87,'Teacher Rankings'!A:A,"&gt;="&amp;$B$4,'Teacher Rankings'!A:A,"&lt;="&amp;$B$5,'Teacher Rankings'!G:G,20)/$C87,0))</f>
        <v/>
      </c>
    </row>
    <row r="88">
      <c r="A88">
        <f>IF(Teachers!A82="","",Teachers!A82)</f>
        <v/>
      </c>
      <c r="B88">
        <f>IF($A88="","",Teachers!B82)</f>
        <v/>
      </c>
      <c r="C88">
        <f>IF($A88="","",COUNTIFS('Teacher Rankings'!B:B,$A88,'Teacher Rankings'!A:A,"&gt;="&amp;$B$4,'Teacher Rankings'!A:A,"&lt;="&amp;$B$5))</f>
        <v/>
      </c>
      <c r="D88">
        <f>IF($C88=0,"",ROUND(AVERAGEIFS('Teacher Rankings'!I:I,'Teacher Rankings'!B:B,$A88,'Teacher Rankings'!A:A,"&gt;="&amp;$B$4,'Teacher Rankings'!A:A,"&lt;="&amp;$B$5),0))</f>
        <v/>
      </c>
      <c r="E88">
        <f>IF($C88=0,"",IFERROR(INDEX('Teacher Rankings'!I:I,MATCH(1,('Teacher Rankings'!B:B=$A88)*('Teacher Rankings'!A:A=$B$5),0)),0) - IFERROR(INDEX('Teacher Rankings'!I:I,MATCH(1,('Teacher Rankings'!B:B=$A88)*('Teacher Rankings'!A:A=$B$4),0)),0))</f>
        <v/>
      </c>
      <c r="F88">
        <f>IF($C88=0,"",ROUND(100*COUNTIFS('Teacher Rankings'!B:B,$A88,'Teacher Rankings'!A:A,"&gt;="&amp;$B$4,'Teacher Rankings'!A:A,"&lt;="&amp;$B$5,'Teacher Rankings'!F:F,20)/$C88,0))</f>
        <v/>
      </c>
      <c r="G88">
        <f>IF($C88=0,"",ROUND(100*COUNTIFS('Teacher Rankings'!B:B,$A88,'Teacher Rankings'!A:A,"&gt;="&amp;$B$4,'Teacher Rankings'!A:A,"&lt;="&amp;$B$5,'Teacher Rankings'!D:D,20)/$C88,0))</f>
        <v/>
      </c>
      <c r="H88">
        <f>IF($C88=0,"",ROUND(100*COUNTIFS('Teacher Rankings'!B:B,$A88,'Teacher Rankings'!A:A,"&gt;="&amp;$B$4,'Teacher Rankings'!A:A,"&lt;="&amp;$B$5,'Teacher Rankings'!H:H,20)/$C88,0))</f>
        <v/>
      </c>
      <c r="I88">
        <f>IF($C88=0,"",ROUND(100*COUNTIFS('Teacher Rankings'!B:B,$A88,'Teacher Rankings'!A:A,"&gt;="&amp;$B$4,'Teacher Rankings'!A:A,"&lt;="&amp;$B$5,'Teacher Rankings'!G:G,20)/$C88,0))</f>
        <v/>
      </c>
    </row>
    <row r="89">
      <c r="A89">
        <f>IF(Teachers!A83="","",Teachers!A83)</f>
        <v/>
      </c>
      <c r="B89">
        <f>IF($A89="","",Teachers!B83)</f>
        <v/>
      </c>
      <c r="C89">
        <f>IF($A89="","",COUNTIFS('Teacher Rankings'!B:B,$A89,'Teacher Rankings'!A:A,"&gt;="&amp;$B$4,'Teacher Rankings'!A:A,"&lt;="&amp;$B$5))</f>
        <v/>
      </c>
      <c r="D89">
        <f>IF($C89=0,"",ROUND(AVERAGEIFS('Teacher Rankings'!I:I,'Teacher Rankings'!B:B,$A89,'Teacher Rankings'!A:A,"&gt;="&amp;$B$4,'Teacher Rankings'!A:A,"&lt;="&amp;$B$5),0))</f>
        <v/>
      </c>
      <c r="E89">
        <f>IF($C89=0,"",IFERROR(INDEX('Teacher Rankings'!I:I,MATCH(1,('Teacher Rankings'!B:B=$A89)*('Teacher Rankings'!A:A=$B$5),0)),0) - IFERROR(INDEX('Teacher Rankings'!I:I,MATCH(1,('Teacher Rankings'!B:B=$A89)*('Teacher Rankings'!A:A=$B$4),0)),0))</f>
        <v/>
      </c>
      <c r="F89">
        <f>IF($C89=0,"",ROUND(100*COUNTIFS('Teacher Rankings'!B:B,$A89,'Teacher Rankings'!A:A,"&gt;="&amp;$B$4,'Teacher Rankings'!A:A,"&lt;="&amp;$B$5,'Teacher Rankings'!F:F,20)/$C89,0))</f>
        <v/>
      </c>
      <c r="G89">
        <f>IF($C89=0,"",ROUND(100*COUNTIFS('Teacher Rankings'!B:B,$A89,'Teacher Rankings'!A:A,"&gt;="&amp;$B$4,'Teacher Rankings'!A:A,"&lt;="&amp;$B$5,'Teacher Rankings'!D:D,20)/$C89,0))</f>
        <v/>
      </c>
      <c r="H89">
        <f>IF($C89=0,"",ROUND(100*COUNTIFS('Teacher Rankings'!B:B,$A89,'Teacher Rankings'!A:A,"&gt;="&amp;$B$4,'Teacher Rankings'!A:A,"&lt;="&amp;$B$5,'Teacher Rankings'!H:H,20)/$C89,0))</f>
        <v/>
      </c>
      <c r="I89">
        <f>IF($C89=0,"",ROUND(100*COUNTIFS('Teacher Rankings'!B:B,$A89,'Teacher Rankings'!A:A,"&gt;="&amp;$B$4,'Teacher Rankings'!A:A,"&lt;="&amp;$B$5,'Teacher Rankings'!G:G,20)/$C89,0))</f>
        <v/>
      </c>
    </row>
    <row r="90">
      <c r="A90">
        <f>IF(Teachers!A84="","",Teachers!A84)</f>
        <v/>
      </c>
      <c r="B90">
        <f>IF($A90="","",Teachers!B84)</f>
        <v/>
      </c>
      <c r="C90">
        <f>IF($A90="","",COUNTIFS('Teacher Rankings'!B:B,$A90,'Teacher Rankings'!A:A,"&gt;="&amp;$B$4,'Teacher Rankings'!A:A,"&lt;="&amp;$B$5))</f>
        <v/>
      </c>
      <c r="D90">
        <f>IF($C90=0,"",ROUND(AVERAGEIFS('Teacher Rankings'!I:I,'Teacher Rankings'!B:B,$A90,'Teacher Rankings'!A:A,"&gt;="&amp;$B$4,'Teacher Rankings'!A:A,"&lt;="&amp;$B$5),0))</f>
        <v/>
      </c>
      <c r="E90">
        <f>IF($C90=0,"",IFERROR(INDEX('Teacher Rankings'!I:I,MATCH(1,('Teacher Rankings'!B:B=$A90)*('Teacher Rankings'!A:A=$B$5),0)),0) - IFERROR(INDEX('Teacher Rankings'!I:I,MATCH(1,('Teacher Rankings'!B:B=$A90)*('Teacher Rankings'!A:A=$B$4),0)),0))</f>
        <v/>
      </c>
      <c r="F90">
        <f>IF($C90=0,"",ROUND(100*COUNTIFS('Teacher Rankings'!B:B,$A90,'Teacher Rankings'!A:A,"&gt;="&amp;$B$4,'Teacher Rankings'!A:A,"&lt;="&amp;$B$5,'Teacher Rankings'!F:F,20)/$C90,0))</f>
        <v/>
      </c>
      <c r="G90">
        <f>IF($C90=0,"",ROUND(100*COUNTIFS('Teacher Rankings'!B:B,$A90,'Teacher Rankings'!A:A,"&gt;="&amp;$B$4,'Teacher Rankings'!A:A,"&lt;="&amp;$B$5,'Teacher Rankings'!D:D,20)/$C90,0))</f>
        <v/>
      </c>
      <c r="H90">
        <f>IF($C90=0,"",ROUND(100*COUNTIFS('Teacher Rankings'!B:B,$A90,'Teacher Rankings'!A:A,"&gt;="&amp;$B$4,'Teacher Rankings'!A:A,"&lt;="&amp;$B$5,'Teacher Rankings'!H:H,20)/$C90,0))</f>
        <v/>
      </c>
      <c r="I90">
        <f>IF($C90=0,"",ROUND(100*COUNTIFS('Teacher Rankings'!B:B,$A90,'Teacher Rankings'!A:A,"&gt;="&amp;$B$4,'Teacher Rankings'!A:A,"&lt;="&amp;$B$5,'Teacher Rankings'!G:G,20)/$C90,0))</f>
        <v/>
      </c>
    </row>
    <row r="91">
      <c r="A91">
        <f>IF(Teachers!A85="","",Teachers!A85)</f>
        <v/>
      </c>
      <c r="B91">
        <f>IF($A91="","",Teachers!B85)</f>
        <v/>
      </c>
      <c r="C91">
        <f>IF($A91="","",COUNTIFS('Teacher Rankings'!B:B,$A91,'Teacher Rankings'!A:A,"&gt;="&amp;$B$4,'Teacher Rankings'!A:A,"&lt;="&amp;$B$5))</f>
        <v/>
      </c>
      <c r="D91">
        <f>IF($C91=0,"",ROUND(AVERAGEIFS('Teacher Rankings'!I:I,'Teacher Rankings'!B:B,$A91,'Teacher Rankings'!A:A,"&gt;="&amp;$B$4,'Teacher Rankings'!A:A,"&lt;="&amp;$B$5),0))</f>
        <v/>
      </c>
      <c r="E91">
        <f>IF($C91=0,"",IFERROR(INDEX('Teacher Rankings'!I:I,MATCH(1,('Teacher Rankings'!B:B=$A91)*('Teacher Rankings'!A:A=$B$5),0)),0) - IFERROR(INDEX('Teacher Rankings'!I:I,MATCH(1,('Teacher Rankings'!B:B=$A91)*('Teacher Rankings'!A:A=$B$4),0)),0))</f>
        <v/>
      </c>
      <c r="F91">
        <f>IF($C91=0,"",ROUND(100*COUNTIFS('Teacher Rankings'!B:B,$A91,'Teacher Rankings'!A:A,"&gt;="&amp;$B$4,'Teacher Rankings'!A:A,"&lt;="&amp;$B$5,'Teacher Rankings'!F:F,20)/$C91,0))</f>
        <v/>
      </c>
      <c r="G91">
        <f>IF($C91=0,"",ROUND(100*COUNTIFS('Teacher Rankings'!B:B,$A91,'Teacher Rankings'!A:A,"&gt;="&amp;$B$4,'Teacher Rankings'!A:A,"&lt;="&amp;$B$5,'Teacher Rankings'!D:D,20)/$C91,0))</f>
        <v/>
      </c>
      <c r="H91">
        <f>IF($C91=0,"",ROUND(100*COUNTIFS('Teacher Rankings'!B:B,$A91,'Teacher Rankings'!A:A,"&gt;="&amp;$B$4,'Teacher Rankings'!A:A,"&lt;="&amp;$B$5,'Teacher Rankings'!H:H,20)/$C91,0))</f>
        <v/>
      </c>
      <c r="I91">
        <f>IF($C91=0,"",ROUND(100*COUNTIFS('Teacher Rankings'!B:B,$A91,'Teacher Rankings'!A:A,"&gt;="&amp;$B$4,'Teacher Rankings'!A:A,"&lt;="&amp;$B$5,'Teacher Rankings'!G:G,20)/$C91,0))</f>
        <v/>
      </c>
    </row>
    <row r="92">
      <c r="A92">
        <f>IF(Teachers!A86="","",Teachers!A86)</f>
        <v/>
      </c>
      <c r="B92">
        <f>IF($A92="","",Teachers!B86)</f>
        <v/>
      </c>
      <c r="C92">
        <f>IF($A92="","",COUNTIFS('Teacher Rankings'!B:B,$A92,'Teacher Rankings'!A:A,"&gt;="&amp;$B$4,'Teacher Rankings'!A:A,"&lt;="&amp;$B$5))</f>
        <v/>
      </c>
      <c r="D92">
        <f>IF($C92=0,"",ROUND(AVERAGEIFS('Teacher Rankings'!I:I,'Teacher Rankings'!B:B,$A92,'Teacher Rankings'!A:A,"&gt;="&amp;$B$4,'Teacher Rankings'!A:A,"&lt;="&amp;$B$5),0))</f>
        <v/>
      </c>
      <c r="E92">
        <f>IF($C92=0,"",IFERROR(INDEX('Teacher Rankings'!I:I,MATCH(1,('Teacher Rankings'!B:B=$A92)*('Teacher Rankings'!A:A=$B$5),0)),0) - IFERROR(INDEX('Teacher Rankings'!I:I,MATCH(1,('Teacher Rankings'!B:B=$A92)*('Teacher Rankings'!A:A=$B$4),0)),0))</f>
        <v/>
      </c>
      <c r="F92">
        <f>IF($C92=0,"",ROUND(100*COUNTIFS('Teacher Rankings'!B:B,$A92,'Teacher Rankings'!A:A,"&gt;="&amp;$B$4,'Teacher Rankings'!A:A,"&lt;="&amp;$B$5,'Teacher Rankings'!F:F,20)/$C92,0))</f>
        <v/>
      </c>
      <c r="G92">
        <f>IF($C92=0,"",ROUND(100*COUNTIFS('Teacher Rankings'!B:B,$A92,'Teacher Rankings'!A:A,"&gt;="&amp;$B$4,'Teacher Rankings'!A:A,"&lt;="&amp;$B$5,'Teacher Rankings'!D:D,20)/$C92,0))</f>
        <v/>
      </c>
      <c r="H92">
        <f>IF($C92=0,"",ROUND(100*COUNTIFS('Teacher Rankings'!B:B,$A92,'Teacher Rankings'!A:A,"&gt;="&amp;$B$4,'Teacher Rankings'!A:A,"&lt;="&amp;$B$5,'Teacher Rankings'!H:H,20)/$C92,0))</f>
        <v/>
      </c>
      <c r="I92">
        <f>IF($C92=0,"",ROUND(100*COUNTIFS('Teacher Rankings'!B:B,$A92,'Teacher Rankings'!A:A,"&gt;="&amp;$B$4,'Teacher Rankings'!A:A,"&lt;="&amp;$B$5,'Teacher Rankings'!G:G,20)/$C92,0))</f>
        <v/>
      </c>
    </row>
    <row r="93">
      <c r="A93">
        <f>IF(Teachers!A87="","",Teachers!A87)</f>
        <v/>
      </c>
      <c r="B93">
        <f>IF($A93="","",Teachers!B87)</f>
        <v/>
      </c>
      <c r="C93">
        <f>IF($A93="","",COUNTIFS('Teacher Rankings'!B:B,$A93,'Teacher Rankings'!A:A,"&gt;="&amp;$B$4,'Teacher Rankings'!A:A,"&lt;="&amp;$B$5))</f>
        <v/>
      </c>
      <c r="D93">
        <f>IF($C93=0,"",ROUND(AVERAGEIFS('Teacher Rankings'!I:I,'Teacher Rankings'!B:B,$A93,'Teacher Rankings'!A:A,"&gt;="&amp;$B$4,'Teacher Rankings'!A:A,"&lt;="&amp;$B$5),0))</f>
        <v/>
      </c>
      <c r="E93">
        <f>IF($C93=0,"",IFERROR(INDEX('Teacher Rankings'!I:I,MATCH(1,('Teacher Rankings'!B:B=$A93)*('Teacher Rankings'!A:A=$B$5),0)),0) - IFERROR(INDEX('Teacher Rankings'!I:I,MATCH(1,('Teacher Rankings'!B:B=$A93)*('Teacher Rankings'!A:A=$B$4),0)),0))</f>
        <v/>
      </c>
      <c r="F93">
        <f>IF($C93=0,"",ROUND(100*COUNTIFS('Teacher Rankings'!B:B,$A93,'Teacher Rankings'!A:A,"&gt;="&amp;$B$4,'Teacher Rankings'!A:A,"&lt;="&amp;$B$5,'Teacher Rankings'!F:F,20)/$C93,0))</f>
        <v/>
      </c>
      <c r="G93">
        <f>IF($C93=0,"",ROUND(100*COUNTIFS('Teacher Rankings'!B:B,$A93,'Teacher Rankings'!A:A,"&gt;="&amp;$B$4,'Teacher Rankings'!A:A,"&lt;="&amp;$B$5,'Teacher Rankings'!D:D,20)/$C93,0))</f>
        <v/>
      </c>
      <c r="H93">
        <f>IF($C93=0,"",ROUND(100*COUNTIFS('Teacher Rankings'!B:B,$A93,'Teacher Rankings'!A:A,"&gt;="&amp;$B$4,'Teacher Rankings'!A:A,"&lt;="&amp;$B$5,'Teacher Rankings'!H:H,20)/$C93,0))</f>
        <v/>
      </c>
      <c r="I93">
        <f>IF($C93=0,"",ROUND(100*COUNTIFS('Teacher Rankings'!B:B,$A93,'Teacher Rankings'!A:A,"&gt;="&amp;$B$4,'Teacher Rankings'!A:A,"&lt;="&amp;$B$5,'Teacher Rankings'!G:G,20)/$C93,0))</f>
        <v/>
      </c>
    </row>
    <row r="94">
      <c r="A94">
        <f>IF(Teachers!A88="","",Teachers!A88)</f>
        <v/>
      </c>
      <c r="B94">
        <f>IF($A94="","",Teachers!B88)</f>
        <v/>
      </c>
      <c r="C94">
        <f>IF($A94="","",COUNTIFS('Teacher Rankings'!B:B,$A94,'Teacher Rankings'!A:A,"&gt;="&amp;$B$4,'Teacher Rankings'!A:A,"&lt;="&amp;$B$5))</f>
        <v/>
      </c>
      <c r="D94">
        <f>IF($C94=0,"",ROUND(AVERAGEIFS('Teacher Rankings'!I:I,'Teacher Rankings'!B:B,$A94,'Teacher Rankings'!A:A,"&gt;="&amp;$B$4,'Teacher Rankings'!A:A,"&lt;="&amp;$B$5),0))</f>
        <v/>
      </c>
      <c r="E94">
        <f>IF($C94=0,"",IFERROR(INDEX('Teacher Rankings'!I:I,MATCH(1,('Teacher Rankings'!B:B=$A94)*('Teacher Rankings'!A:A=$B$5),0)),0) - IFERROR(INDEX('Teacher Rankings'!I:I,MATCH(1,('Teacher Rankings'!B:B=$A94)*('Teacher Rankings'!A:A=$B$4),0)),0))</f>
        <v/>
      </c>
      <c r="F94">
        <f>IF($C94=0,"",ROUND(100*COUNTIFS('Teacher Rankings'!B:B,$A94,'Teacher Rankings'!A:A,"&gt;="&amp;$B$4,'Teacher Rankings'!A:A,"&lt;="&amp;$B$5,'Teacher Rankings'!F:F,20)/$C94,0))</f>
        <v/>
      </c>
      <c r="G94">
        <f>IF($C94=0,"",ROUND(100*COUNTIFS('Teacher Rankings'!B:B,$A94,'Teacher Rankings'!A:A,"&gt;="&amp;$B$4,'Teacher Rankings'!A:A,"&lt;="&amp;$B$5,'Teacher Rankings'!D:D,20)/$C94,0))</f>
        <v/>
      </c>
      <c r="H94">
        <f>IF($C94=0,"",ROUND(100*COUNTIFS('Teacher Rankings'!B:B,$A94,'Teacher Rankings'!A:A,"&gt;="&amp;$B$4,'Teacher Rankings'!A:A,"&lt;="&amp;$B$5,'Teacher Rankings'!H:H,20)/$C94,0))</f>
        <v/>
      </c>
      <c r="I94">
        <f>IF($C94=0,"",ROUND(100*COUNTIFS('Teacher Rankings'!B:B,$A94,'Teacher Rankings'!A:A,"&gt;="&amp;$B$4,'Teacher Rankings'!A:A,"&lt;="&amp;$B$5,'Teacher Rankings'!G:G,20)/$C94,0))</f>
        <v/>
      </c>
    </row>
    <row r="95">
      <c r="A95">
        <f>IF(Teachers!A89="","",Teachers!A89)</f>
        <v/>
      </c>
      <c r="B95">
        <f>IF($A95="","",Teachers!B89)</f>
        <v/>
      </c>
      <c r="C95">
        <f>IF($A95="","",COUNTIFS('Teacher Rankings'!B:B,$A95,'Teacher Rankings'!A:A,"&gt;="&amp;$B$4,'Teacher Rankings'!A:A,"&lt;="&amp;$B$5))</f>
        <v/>
      </c>
      <c r="D95">
        <f>IF($C95=0,"",ROUND(AVERAGEIFS('Teacher Rankings'!I:I,'Teacher Rankings'!B:B,$A95,'Teacher Rankings'!A:A,"&gt;="&amp;$B$4,'Teacher Rankings'!A:A,"&lt;="&amp;$B$5),0))</f>
        <v/>
      </c>
      <c r="E95">
        <f>IF($C95=0,"",IFERROR(INDEX('Teacher Rankings'!I:I,MATCH(1,('Teacher Rankings'!B:B=$A95)*('Teacher Rankings'!A:A=$B$5),0)),0) - IFERROR(INDEX('Teacher Rankings'!I:I,MATCH(1,('Teacher Rankings'!B:B=$A95)*('Teacher Rankings'!A:A=$B$4),0)),0))</f>
        <v/>
      </c>
      <c r="F95">
        <f>IF($C95=0,"",ROUND(100*COUNTIFS('Teacher Rankings'!B:B,$A95,'Teacher Rankings'!A:A,"&gt;="&amp;$B$4,'Teacher Rankings'!A:A,"&lt;="&amp;$B$5,'Teacher Rankings'!F:F,20)/$C95,0))</f>
        <v/>
      </c>
      <c r="G95">
        <f>IF($C95=0,"",ROUND(100*COUNTIFS('Teacher Rankings'!B:B,$A95,'Teacher Rankings'!A:A,"&gt;="&amp;$B$4,'Teacher Rankings'!A:A,"&lt;="&amp;$B$5,'Teacher Rankings'!D:D,20)/$C95,0))</f>
        <v/>
      </c>
      <c r="H95">
        <f>IF($C95=0,"",ROUND(100*COUNTIFS('Teacher Rankings'!B:B,$A95,'Teacher Rankings'!A:A,"&gt;="&amp;$B$4,'Teacher Rankings'!A:A,"&lt;="&amp;$B$5,'Teacher Rankings'!H:H,20)/$C95,0))</f>
        <v/>
      </c>
      <c r="I95">
        <f>IF($C95=0,"",ROUND(100*COUNTIFS('Teacher Rankings'!B:B,$A95,'Teacher Rankings'!A:A,"&gt;="&amp;$B$4,'Teacher Rankings'!A:A,"&lt;="&amp;$B$5,'Teacher Rankings'!G:G,20)/$C95,0))</f>
        <v/>
      </c>
    </row>
    <row r="96">
      <c r="A96">
        <f>IF(Teachers!A90="","",Teachers!A90)</f>
        <v/>
      </c>
      <c r="B96">
        <f>IF($A96="","",Teachers!B90)</f>
        <v/>
      </c>
      <c r="C96">
        <f>IF($A96="","",COUNTIFS('Teacher Rankings'!B:B,$A96,'Teacher Rankings'!A:A,"&gt;="&amp;$B$4,'Teacher Rankings'!A:A,"&lt;="&amp;$B$5))</f>
        <v/>
      </c>
      <c r="D96">
        <f>IF($C96=0,"",ROUND(AVERAGEIFS('Teacher Rankings'!I:I,'Teacher Rankings'!B:B,$A96,'Teacher Rankings'!A:A,"&gt;="&amp;$B$4,'Teacher Rankings'!A:A,"&lt;="&amp;$B$5),0))</f>
        <v/>
      </c>
      <c r="E96">
        <f>IF($C96=0,"",IFERROR(INDEX('Teacher Rankings'!I:I,MATCH(1,('Teacher Rankings'!B:B=$A96)*('Teacher Rankings'!A:A=$B$5),0)),0) - IFERROR(INDEX('Teacher Rankings'!I:I,MATCH(1,('Teacher Rankings'!B:B=$A96)*('Teacher Rankings'!A:A=$B$4),0)),0))</f>
        <v/>
      </c>
      <c r="F96">
        <f>IF($C96=0,"",ROUND(100*COUNTIFS('Teacher Rankings'!B:B,$A96,'Teacher Rankings'!A:A,"&gt;="&amp;$B$4,'Teacher Rankings'!A:A,"&lt;="&amp;$B$5,'Teacher Rankings'!F:F,20)/$C96,0))</f>
        <v/>
      </c>
      <c r="G96">
        <f>IF($C96=0,"",ROUND(100*COUNTIFS('Teacher Rankings'!B:B,$A96,'Teacher Rankings'!A:A,"&gt;="&amp;$B$4,'Teacher Rankings'!A:A,"&lt;="&amp;$B$5,'Teacher Rankings'!D:D,20)/$C96,0))</f>
        <v/>
      </c>
      <c r="H96">
        <f>IF($C96=0,"",ROUND(100*COUNTIFS('Teacher Rankings'!B:B,$A96,'Teacher Rankings'!A:A,"&gt;="&amp;$B$4,'Teacher Rankings'!A:A,"&lt;="&amp;$B$5,'Teacher Rankings'!H:H,20)/$C96,0))</f>
        <v/>
      </c>
      <c r="I96">
        <f>IF($C96=0,"",ROUND(100*COUNTIFS('Teacher Rankings'!B:B,$A96,'Teacher Rankings'!A:A,"&gt;="&amp;$B$4,'Teacher Rankings'!A:A,"&lt;="&amp;$B$5,'Teacher Rankings'!G:G,20)/$C96,0))</f>
        <v/>
      </c>
    </row>
    <row r="97">
      <c r="A97">
        <f>IF(Teachers!A91="","",Teachers!A91)</f>
        <v/>
      </c>
      <c r="B97">
        <f>IF($A97="","",Teachers!B91)</f>
        <v/>
      </c>
      <c r="C97">
        <f>IF($A97="","",COUNTIFS('Teacher Rankings'!B:B,$A97,'Teacher Rankings'!A:A,"&gt;="&amp;$B$4,'Teacher Rankings'!A:A,"&lt;="&amp;$B$5))</f>
        <v/>
      </c>
      <c r="D97">
        <f>IF($C97=0,"",ROUND(AVERAGEIFS('Teacher Rankings'!I:I,'Teacher Rankings'!B:B,$A97,'Teacher Rankings'!A:A,"&gt;="&amp;$B$4,'Teacher Rankings'!A:A,"&lt;="&amp;$B$5),0))</f>
        <v/>
      </c>
      <c r="E97">
        <f>IF($C97=0,"",IFERROR(INDEX('Teacher Rankings'!I:I,MATCH(1,('Teacher Rankings'!B:B=$A97)*('Teacher Rankings'!A:A=$B$5),0)),0) - IFERROR(INDEX('Teacher Rankings'!I:I,MATCH(1,('Teacher Rankings'!B:B=$A97)*('Teacher Rankings'!A:A=$B$4),0)),0))</f>
        <v/>
      </c>
      <c r="F97">
        <f>IF($C97=0,"",ROUND(100*COUNTIFS('Teacher Rankings'!B:B,$A97,'Teacher Rankings'!A:A,"&gt;="&amp;$B$4,'Teacher Rankings'!A:A,"&lt;="&amp;$B$5,'Teacher Rankings'!F:F,20)/$C97,0))</f>
        <v/>
      </c>
      <c r="G97">
        <f>IF($C97=0,"",ROUND(100*COUNTIFS('Teacher Rankings'!B:B,$A97,'Teacher Rankings'!A:A,"&gt;="&amp;$B$4,'Teacher Rankings'!A:A,"&lt;="&amp;$B$5,'Teacher Rankings'!D:D,20)/$C97,0))</f>
        <v/>
      </c>
      <c r="H97">
        <f>IF($C97=0,"",ROUND(100*COUNTIFS('Teacher Rankings'!B:B,$A97,'Teacher Rankings'!A:A,"&gt;="&amp;$B$4,'Teacher Rankings'!A:A,"&lt;="&amp;$B$5,'Teacher Rankings'!H:H,20)/$C97,0))</f>
        <v/>
      </c>
      <c r="I97">
        <f>IF($C97=0,"",ROUND(100*COUNTIFS('Teacher Rankings'!B:B,$A97,'Teacher Rankings'!A:A,"&gt;="&amp;$B$4,'Teacher Rankings'!A:A,"&lt;="&amp;$B$5,'Teacher Rankings'!G:G,20)/$C97,0))</f>
        <v/>
      </c>
    </row>
    <row r="98">
      <c r="A98">
        <f>IF(Teachers!A92="","",Teachers!A92)</f>
        <v/>
      </c>
      <c r="B98">
        <f>IF($A98="","",Teachers!B92)</f>
        <v/>
      </c>
      <c r="C98">
        <f>IF($A98="","",COUNTIFS('Teacher Rankings'!B:B,$A98,'Teacher Rankings'!A:A,"&gt;="&amp;$B$4,'Teacher Rankings'!A:A,"&lt;="&amp;$B$5))</f>
        <v/>
      </c>
      <c r="D98">
        <f>IF($C98=0,"",ROUND(AVERAGEIFS('Teacher Rankings'!I:I,'Teacher Rankings'!B:B,$A98,'Teacher Rankings'!A:A,"&gt;="&amp;$B$4,'Teacher Rankings'!A:A,"&lt;="&amp;$B$5),0))</f>
        <v/>
      </c>
      <c r="E98">
        <f>IF($C98=0,"",IFERROR(INDEX('Teacher Rankings'!I:I,MATCH(1,('Teacher Rankings'!B:B=$A98)*('Teacher Rankings'!A:A=$B$5),0)),0) - IFERROR(INDEX('Teacher Rankings'!I:I,MATCH(1,('Teacher Rankings'!B:B=$A98)*('Teacher Rankings'!A:A=$B$4),0)),0))</f>
        <v/>
      </c>
      <c r="F98">
        <f>IF($C98=0,"",ROUND(100*COUNTIFS('Teacher Rankings'!B:B,$A98,'Teacher Rankings'!A:A,"&gt;="&amp;$B$4,'Teacher Rankings'!A:A,"&lt;="&amp;$B$5,'Teacher Rankings'!F:F,20)/$C98,0))</f>
        <v/>
      </c>
      <c r="G98">
        <f>IF($C98=0,"",ROUND(100*COUNTIFS('Teacher Rankings'!B:B,$A98,'Teacher Rankings'!A:A,"&gt;="&amp;$B$4,'Teacher Rankings'!A:A,"&lt;="&amp;$B$5,'Teacher Rankings'!D:D,20)/$C98,0))</f>
        <v/>
      </c>
      <c r="H98">
        <f>IF($C98=0,"",ROUND(100*COUNTIFS('Teacher Rankings'!B:B,$A98,'Teacher Rankings'!A:A,"&gt;="&amp;$B$4,'Teacher Rankings'!A:A,"&lt;="&amp;$B$5,'Teacher Rankings'!H:H,20)/$C98,0))</f>
        <v/>
      </c>
      <c r="I98">
        <f>IF($C98=0,"",ROUND(100*COUNTIFS('Teacher Rankings'!B:B,$A98,'Teacher Rankings'!A:A,"&gt;="&amp;$B$4,'Teacher Rankings'!A:A,"&lt;="&amp;$B$5,'Teacher Rankings'!G:G,20)/$C98,0))</f>
        <v/>
      </c>
    </row>
    <row r="99">
      <c r="A99">
        <f>IF(Teachers!A93="","",Teachers!A93)</f>
        <v/>
      </c>
      <c r="B99">
        <f>IF($A99="","",Teachers!B93)</f>
        <v/>
      </c>
      <c r="C99">
        <f>IF($A99="","",COUNTIFS('Teacher Rankings'!B:B,$A99,'Teacher Rankings'!A:A,"&gt;="&amp;$B$4,'Teacher Rankings'!A:A,"&lt;="&amp;$B$5))</f>
        <v/>
      </c>
      <c r="D99">
        <f>IF($C99=0,"",ROUND(AVERAGEIFS('Teacher Rankings'!I:I,'Teacher Rankings'!B:B,$A99,'Teacher Rankings'!A:A,"&gt;="&amp;$B$4,'Teacher Rankings'!A:A,"&lt;="&amp;$B$5),0))</f>
        <v/>
      </c>
      <c r="E99">
        <f>IF($C99=0,"",IFERROR(INDEX('Teacher Rankings'!I:I,MATCH(1,('Teacher Rankings'!B:B=$A99)*('Teacher Rankings'!A:A=$B$5),0)),0) - IFERROR(INDEX('Teacher Rankings'!I:I,MATCH(1,('Teacher Rankings'!B:B=$A99)*('Teacher Rankings'!A:A=$B$4),0)),0))</f>
        <v/>
      </c>
      <c r="F99">
        <f>IF($C99=0,"",ROUND(100*COUNTIFS('Teacher Rankings'!B:B,$A99,'Teacher Rankings'!A:A,"&gt;="&amp;$B$4,'Teacher Rankings'!A:A,"&lt;="&amp;$B$5,'Teacher Rankings'!F:F,20)/$C99,0))</f>
        <v/>
      </c>
      <c r="G99">
        <f>IF($C99=0,"",ROUND(100*COUNTIFS('Teacher Rankings'!B:B,$A99,'Teacher Rankings'!A:A,"&gt;="&amp;$B$4,'Teacher Rankings'!A:A,"&lt;="&amp;$B$5,'Teacher Rankings'!D:D,20)/$C99,0))</f>
        <v/>
      </c>
      <c r="H99">
        <f>IF($C99=0,"",ROUND(100*COUNTIFS('Teacher Rankings'!B:B,$A99,'Teacher Rankings'!A:A,"&gt;="&amp;$B$4,'Teacher Rankings'!A:A,"&lt;="&amp;$B$5,'Teacher Rankings'!H:H,20)/$C99,0))</f>
        <v/>
      </c>
      <c r="I99">
        <f>IF($C99=0,"",ROUND(100*COUNTIFS('Teacher Rankings'!B:B,$A99,'Teacher Rankings'!A:A,"&gt;="&amp;$B$4,'Teacher Rankings'!A:A,"&lt;="&amp;$B$5,'Teacher Rankings'!G:G,20)/$C99,0))</f>
        <v/>
      </c>
    </row>
    <row r="100">
      <c r="A100">
        <f>IF(Teachers!A94="","",Teachers!A94)</f>
        <v/>
      </c>
      <c r="B100">
        <f>IF($A100="","",Teachers!B94)</f>
        <v/>
      </c>
      <c r="C100">
        <f>IF($A100="","",COUNTIFS('Teacher Rankings'!B:B,$A100,'Teacher Rankings'!A:A,"&gt;="&amp;$B$4,'Teacher Rankings'!A:A,"&lt;="&amp;$B$5))</f>
        <v/>
      </c>
      <c r="D100">
        <f>IF($C100=0,"",ROUND(AVERAGEIFS('Teacher Rankings'!I:I,'Teacher Rankings'!B:B,$A100,'Teacher Rankings'!A:A,"&gt;="&amp;$B$4,'Teacher Rankings'!A:A,"&lt;="&amp;$B$5),0))</f>
        <v/>
      </c>
      <c r="E100">
        <f>IF($C100=0,"",IFERROR(INDEX('Teacher Rankings'!I:I,MATCH(1,('Teacher Rankings'!B:B=$A100)*('Teacher Rankings'!A:A=$B$5),0)),0) - IFERROR(INDEX('Teacher Rankings'!I:I,MATCH(1,('Teacher Rankings'!B:B=$A100)*('Teacher Rankings'!A:A=$B$4),0)),0))</f>
        <v/>
      </c>
      <c r="F100">
        <f>IF($C100=0,"",ROUND(100*COUNTIFS('Teacher Rankings'!B:B,$A100,'Teacher Rankings'!A:A,"&gt;="&amp;$B$4,'Teacher Rankings'!A:A,"&lt;="&amp;$B$5,'Teacher Rankings'!F:F,20)/$C100,0))</f>
        <v/>
      </c>
      <c r="G100">
        <f>IF($C100=0,"",ROUND(100*COUNTIFS('Teacher Rankings'!B:B,$A100,'Teacher Rankings'!A:A,"&gt;="&amp;$B$4,'Teacher Rankings'!A:A,"&lt;="&amp;$B$5,'Teacher Rankings'!D:D,20)/$C100,0))</f>
        <v/>
      </c>
      <c r="H100">
        <f>IF($C100=0,"",ROUND(100*COUNTIFS('Teacher Rankings'!B:B,$A100,'Teacher Rankings'!A:A,"&gt;="&amp;$B$4,'Teacher Rankings'!A:A,"&lt;="&amp;$B$5,'Teacher Rankings'!H:H,20)/$C100,0))</f>
        <v/>
      </c>
      <c r="I100">
        <f>IF($C100=0,"",ROUND(100*COUNTIFS('Teacher Rankings'!B:B,$A100,'Teacher Rankings'!A:A,"&gt;="&amp;$B$4,'Teacher Rankings'!A:A,"&lt;="&amp;$B$5,'Teacher Rankings'!G:G,20)/$C100,0))</f>
        <v/>
      </c>
    </row>
    <row r="101">
      <c r="A101">
        <f>IF(Teachers!A95="","",Teachers!A95)</f>
        <v/>
      </c>
      <c r="B101">
        <f>IF($A101="","",Teachers!B95)</f>
        <v/>
      </c>
      <c r="C101">
        <f>IF($A101="","",COUNTIFS('Teacher Rankings'!B:B,$A101,'Teacher Rankings'!A:A,"&gt;="&amp;$B$4,'Teacher Rankings'!A:A,"&lt;="&amp;$B$5))</f>
        <v/>
      </c>
      <c r="D101">
        <f>IF($C101=0,"",ROUND(AVERAGEIFS('Teacher Rankings'!I:I,'Teacher Rankings'!B:B,$A101,'Teacher Rankings'!A:A,"&gt;="&amp;$B$4,'Teacher Rankings'!A:A,"&lt;="&amp;$B$5),0))</f>
        <v/>
      </c>
      <c r="E101">
        <f>IF($C101=0,"",IFERROR(INDEX('Teacher Rankings'!I:I,MATCH(1,('Teacher Rankings'!B:B=$A101)*('Teacher Rankings'!A:A=$B$5),0)),0) - IFERROR(INDEX('Teacher Rankings'!I:I,MATCH(1,('Teacher Rankings'!B:B=$A101)*('Teacher Rankings'!A:A=$B$4),0)),0))</f>
        <v/>
      </c>
      <c r="F101">
        <f>IF($C101=0,"",ROUND(100*COUNTIFS('Teacher Rankings'!B:B,$A101,'Teacher Rankings'!A:A,"&gt;="&amp;$B$4,'Teacher Rankings'!A:A,"&lt;="&amp;$B$5,'Teacher Rankings'!F:F,20)/$C101,0))</f>
        <v/>
      </c>
      <c r="G101">
        <f>IF($C101=0,"",ROUND(100*COUNTIFS('Teacher Rankings'!B:B,$A101,'Teacher Rankings'!A:A,"&gt;="&amp;$B$4,'Teacher Rankings'!A:A,"&lt;="&amp;$B$5,'Teacher Rankings'!D:D,20)/$C101,0))</f>
        <v/>
      </c>
      <c r="H101">
        <f>IF($C101=0,"",ROUND(100*COUNTIFS('Teacher Rankings'!B:B,$A101,'Teacher Rankings'!A:A,"&gt;="&amp;$B$4,'Teacher Rankings'!A:A,"&lt;="&amp;$B$5,'Teacher Rankings'!H:H,20)/$C101,0))</f>
        <v/>
      </c>
      <c r="I101">
        <f>IF($C101=0,"",ROUND(100*COUNTIFS('Teacher Rankings'!B:B,$A101,'Teacher Rankings'!A:A,"&gt;="&amp;$B$4,'Teacher Rankings'!A:A,"&lt;="&amp;$B$5,'Teacher Rankings'!G:G,20)/$C101,0))</f>
        <v/>
      </c>
    </row>
    <row r="102">
      <c r="A102">
        <f>IF(Teachers!A96="","",Teachers!A96)</f>
        <v/>
      </c>
      <c r="B102">
        <f>IF($A102="","",Teachers!B96)</f>
        <v/>
      </c>
      <c r="C102">
        <f>IF($A102="","",COUNTIFS('Teacher Rankings'!B:B,$A102,'Teacher Rankings'!A:A,"&gt;="&amp;$B$4,'Teacher Rankings'!A:A,"&lt;="&amp;$B$5))</f>
        <v/>
      </c>
      <c r="D102">
        <f>IF($C102=0,"",ROUND(AVERAGEIFS('Teacher Rankings'!I:I,'Teacher Rankings'!B:B,$A102,'Teacher Rankings'!A:A,"&gt;="&amp;$B$4,'Teacher Rankings'!A:A,"&lt;="&amp;$B$5),0))</f>
        <v/>
      </c>
      <c r="E102">
        <f>IF($C102=0,"",IFERROR(INDEX('Teacher Rankings'!I:I,MATCH(1,('Teacher Rankings'!B:B=$A102)*('Teacher Rankings'!A:A=$B$5),0)),0) - IFERROR(INDEX('Teacher Rankings'!I:I,MATCH(1,('Teacher Rankings'!B:B=$A102)*('Teacher Rankings'!A:A=$B$4),0)),0))</f>
        <v/>
      </c>
      <c r="F102">
        <f>IF($C102=0,"",ROUND(100*COUNTIFS('Teacher Rankings'!B:B,$A102,'Teacher Rankings'!A:A,"&gt;="&amp;$B$4,'Teacher Rankings'!A:A,"&lt;="&amp;$B$5,'Teacher Rankings'!F:F,20)/$C102,0))</f>
        <v/>
      </c>
      <c r="G102">
        <f>IF($C102=0,"",ROUND(100*COUNTIFS('Teacher Rankings'!B:B,$A102,'Teacher Rankings'!A:A,"&gt;="&amp;$B$4,'Teacher Rankings'!A:A,"&lt;="&amp;$B$5,'Teacher Rankings'!D:D,20)/$C102,0))</f>
        <v/>
      </c>
      <c r="H102">
        <f>IF($C102=0,"",ROUND(100*COUNTIFS('Teacher Rankings'!B:B,$A102,'Teacher Rankings'!A:A,"&gt;="&amp;$B$4,'Teacher Rankings'!A:A,"&lt;="&amp;$B$5,'Teacher Rankings'!H:H,20)/$C102,0))</f>
        <v/>
      </c>
      <c r="I102">
        <f>IF($C102=0,"",ROUND(100*COUNTIFS('Teacher Rankings'!B:B,$A102,'Teacher Rankings'!A:A,"&gt;="&amp;$B$4,'Teacher Rankings'!A:A,"&lt;="&amp;$B$5,'Teacher Rankings'!G:G,20)/$C102,0))</f>
        <v/>
      </c>
    </row>
    <row r="103">
      <c r="A103">
        <f>IF(Teachers!A97="","",Teachers!A97)</f>
        <v/>
      </c>
      <c r="B103">
        <f>IF($A103="","",Teachers!B97)</f>
        <v/>
      </c>
      <c r="C103">
        <f>IF($A103="","",COUNTIFS('Teacher Rankings'!B:B,$A103,'Teacher Rankings'!A:A,"&gt;="&amp;$B$4,'Teacher Rankings'!A:A,"&lt;="&amp;$B$5))</f>
        <v/>
      </c>
      <c r="D103">
        <f>IF($C103=0,"",ROUND(AVERAGEIFS('Teacher Rankings'!I:I,'Teacher Rankings'!B:B,$A103,'Teacher Rankings'!A:A,"&gt;="&amp;$B$4,'Teacher Rankings'!A:A,"&lt;="&amp;$B$5),0))</f>
        <v/>
      </c>
      <c r="E103">
        <f>IF($C103=0,"",IFERROR(INDEX('Teacher Rankings'!I:I,MATCH(1,('Teacher Rankings'!B:B=$A103)*('Teacher Rankings'!A:A=$B$5),0)),0) - IFERROR(INDEX('Teacher Rankings'!I:I,MATCH(1,('Teacher Rankings'!B:B=$A103)*('Teacher Rankings'!A:A=$B$4),0)),0))</f>
        <v/>
      </c>
      <c r="F103">
        <f>IF($C103=0,"",ROUND(100*COUNTIFS('Teacher Rankings'!B:B,$A103,'Teacher Rankings'!A:A,"&gt;="&amp;$B$4,'Teacher Rankings'!A:A,"&lt;="&amp;$B$5,'Teacher Rankings'!F:F,20)/$C103,0))</f>
        <v/>
      </c>
      <c r="G103">
        <f>IF($C103=0,"",ROUND(100*COUNTIFS('Teacher Rankings'!B:B,$A103,'Teacher Rankings'!A:A,"&gt;="&amp;$B$4,'Teacher Rankings'!A:A,"&lt;="&amp;$B$5,'Teacher Rankings'!D:D,20)/$C103,0))</f>
        <v/>
      </c>
      <c r="H103">
        <f>IF($C103=0,"",ROUND(100*COUNTIFS('Teacher Rankings'!B:B,$A103,'Teacher Rankings'!A:A,"&gt;="&amp;$B$4,'Teacher Rankings'!A:A,"&lt;="&amp;$B$5,'Teacher Rankings'!H:H,20)/$C103,0))</f>
        <v/>
      </c>
      <c r="I103">
        <f>IF($C103=0,"",ROUND(100*COUNTIFS('Teacher Rankings'!B:B,$A103,'Teacher Rankings'!A:A,"&gt;="&amp;$B$4,'Teacher Rankings'!A:A,"&lt;="&amp;$B$5,'Teacher Rankings'!G:G,20)/$C103,0))</f>
        <v/>
      </c>
    </row>
    <row r="104">
      <c r="A104">
        <f>IF(Teachers!A98="","",Teachers!A98)</f>
        <v/>
      </c>
      <c r="B104">
        <f>IF($A104="","",Teachers!B98)</f>
        <v/>
      </c>
      <c r="C104">
        <f>IF($A104="","",COUNTIFS('Teacher Rankings'!B:B,$A104,'Teacher Rankings'!A:A,"&gt;="&amp;$B$4,'Teacher Rankings'!A:A,"&lt;="&amp;$B$5))</f>
        <v/>
      </c>
      <c r="D104">
        <f>IF($C104=0,"",ROUND(AVERAGEIFS('Teacher Rankings'!I:I,'Teacher Rankings'!B:B,$A104,'Teacher Rankings'!A:A,"&gt;="&amp;$B$4,'Teacher Rankings'!A:A,"&lt;="&amp;$B$5),0))</f>
        <v/>
      </c>
      <c r="E104">
        <f>IF($C104=0,"",IFERROR(INDEX('Teacher Rankings'!I:I,MATCH(1,('Teacher Rankings'!B:B=$A104)*('Teacher Rankings'!A:A=$B$5),0)),0) - IFERROR(INDEX('Teacher Rankings'!I:I,MATCH(1,('Teacher Rankings'!B:B=$A104)*('Teacher Rankings'!A:A=$B$4),0)),0))</f>
        <v/>
      </c>
      <c r="F104">
        <f>IF($C104=0,"",ROUND(100*COUNTIFS('Teacher Rankings'!B:B,$A104,'Teacher Rankings'!A:A,"&gt;="&amp;$B$4,'Teacher Rankings'!A:A,"&lt;="&amp;$B$5,'Teacher Rankings'!F:F,20)/$C104,0))</f>
        <v/>
      </c>
      <c r="G104">
        <f>IF($C104=0,"",ROUND(100*COUNTIFS('Teacher Rankings'!B:B,$A104,'Teacher Rankings'!A:A,"&gt;="&amp;$B$4,'Teacher Rankings'!A:A,"&lt;="&amp;$B$5,'Teacher Rankings'!D:D,20)/$C104,0))</f>
        <v/>
      </c>
      <c r="H104">
        <f>IF($C104=0,"",ROUND(100*COUNTIFS('Teacher Rankings'!B:B,$A104,'Teacher Rankings'!A:A,"&gt;="&amp;$B$4,'Teacher Rankings'!A:A,"&lt;="&amp;$B$5,'Teacher Rankings'!H:H,20)/$C104,0))</f>
        <v/>
      </c>
      <c r="I104">
        <f>IF($C104=0,"",ROUND(100*COUNTIFS('Teacher Rankings'!B:B,$A104,'Teacher Rankings'!A:A,"&gt;="&amp;$B$4,'Teacher Rankings'!A:A,"&lt;="&amp;$B$5,'Teacher Rankings'!G:G,20)/$C104,0))</f>
        <v/>
      </c>
    </row>
    <row r="105">
      <c r="A105">
        <f>IF(Teachers!A99="","",Teachers!A99)</f>
        <v/>
      </c>
      <c r="B105">
        <f>IF($A105="","",Teachers!B99)</f>
        <v/>
      </c>
      <c r="C105">
        <f>IF($A105="","",COUNTIFS('Teacher Rankings'!B:B,$A105,'Teacher Rankings'!A:A,"&gt;="&amp;$B$4,'Teacher Rankings'!A:A,"&lt;="&amp;$B$5))</f>
        <v/>
      </c>
      <c r="D105">
        <f>IF($C105=0,"",ROUND(AVERAGEIFS('Teacher Rankings'!I:I,'Teacher Rankings'!B:B,$A105,'Teacher Rankings'!A:A,"&gt;="&amp;$B$4,'Teacher Rankings'!A:A,"&lt;="&amp;$B$5),0))</f>
        <v/>
      </c>
      <c r="E105">
        <f>IF($C105=0,"",IFERROR(INDEX('Teacher Rankings'!I:I,MATCH(1,('Teacher Rankings'!B:B=$A105)*('Teacher Rankings'!A:A=$B$5),0)),0) - IFERROR(INDEX('Teacher Rankings'!I:I,MATCH(1,('Teacher Rankings'!B:B=$A105)*('Teacher Rankings'!A:A=$B$4),0)),0))</f>
        <v/>
      </c>
      <c r="F105">
        <f>IF($C105=0,"",ROUND(100*COUNTIFS('Teacher Rankings'!B:B,$A105,'Teacher Rankings'!A:A,"&gt;="&amp;$B$4,'Teacher Rankings'!A:A,"&lt;="&amp;$B$5,'Teacher Rankings'!F:F,20)/$C105,0))</f>
        <v/>
      </c>
      <c r="G105">
        <f>IF($C105=0,"",ROUND(100*COUNTIFS('Teacher Rankings'!B:B,$A105,'Teacher Rankings'!A:A,"&gt;="&amp;$B$4,'Teacher Rankings'!A:A,"&lt;="&amp;$B$5,'Teacher Rankings'!D:D,20)/$C105,0))</f>
        <v/>
      </c>
      <c r="H105">
        <f>IF($C105=0,"",ROUND(100*COUNTIFS('Teacher Rankings'!B:B,$A105,'Teacher Rankings'!A:A,"&gt;="&amp;$B$4,'Teacher Rankings'!A:A,"&lt;="&amp;$B$5,'Teacher Rankings'!H:H,20)/$C105,0))</f>
        <v/>
      </c>
      <c r="I105">
        <f>IF($C105=0,"",ROUND(100*COUNTIFS('Teacher Rankings'!B:B,$A105,'Teacher Rankings'!A:A,"&gt;="&amp;$B$4,'Teacher Rankings'!A:A,"&lt;="&amp;$B$5,'Teacher Rankings'!G:G,20)/$C105,0))</f>
        <v/>
      </c>
    </row>
    <row r="106">
      <c r="A106">
        <f>IF(Teachers!A100="","",Teachers!A100)</f>
        <v/>
      </c>
      <c r="B106">
        <f>IF($A106="","",Teachers!B100)</f>
        <v/>
      </c>
      <c r="C106">
        <f>IF($A106="","",COUNTIFS('Teacher Rankings'!B:B,$A106,'Teacher Rankings'!A:A,"&gt;="&amp;$B$4,'Teacher Rankings'!A:A,"&lt;="&amp;$B$5))</f>
        <v/>
      </c>
      <c r="D106">
        <f>IF($C106=0,"",ROUND(AVERAGEIFS('Teacher Rankings'!I:I,'Teacher Rankings'!B:B,$A106,'Teacher Rankings'!A:A,"&gt;="&amp;$B$4,'Teacher Rankings'!A:A,"&lt;="&amp;$B$5),0))</f>
        <v/>
      </c>
      <c r="E106">
        <f>IF($C106=0,"",IFERROR(INDEX('Teacher Rankings'!I:I,MATCH(1,('Teacher Rankings'!B:B=$A106)*('Teacher Rankings'!A:A=$B$5),0)),0) - IFERROR(INDEX('Teacher Rankings'!I:I,MATCH(1,('Teacher Rankings'!B:B=$A106)*('Teacher Rankings'!A:A=$B$4),0)),0))</f>
        <v/>
      </c>
      <c r="F106">
        <f>IF($C106=0,"",ROUND(100*COUNTIFS('Teacher Rankings'!B:B,$A106,'Teacher Rankings'!A:A,"&gt;="&amp;$B$4,'Teacher Rankings'!A:A,"&lt;="&amp;$B$5,'Teacher Rankings'!F:F,20)/$C106,0))</f>
        <v/>
      </c>
      <c r="G106">
        <f>IF($C106=0,"",ROUND(100*COUNTIFS('Teacher Rankings'!B:B,$A106,'Teacher Rankings'!A:A,"&gt;="&amp;$B$4,'Teacher Rankings'!A:A,"&lt;="&amp;$B$5,'Teacher Rankings'!D:D,20)/$C106,0))</f>
        <v/>
      </c>
      <c r="H106">
        <f>IF($C106=0,"",ROUND(100*COUNTIFS('Teacher Rankings'!B:B,$A106,'Teacher Rankings'!A:A,"&gt;="&amp;$B$4,'Teacher Rankings'!A:A,"&lt;="&amp;$B$5,'Teacher Rankings'!H:H,20)/$C106,0))</f>
        <v/>
      </c>
      <c r="I106">
        <f>IF($C106=0,"",ROUND(100*COUNTIFS('Teacher Rankings'!B:B,$A106,'Teacher Rankings'!A:A,"&gt;="&amp;$B$4,'Teacher Rankings'!A:A,"&lt;="&amp;$B$5,'Teacher Rankings'!G:G,20)/$C106,0))</f>
        <v/>
      </c>
    </row>
    <row r="107">
      <c r="A107">
        <f>IF(Teachers!A101="","",Teachers!A101)</f>
        <v/>
      </c>
      <c r="B107">
        <f>IF($A107="","",Teachers!B101)</f>
        <v/>
      </c>
      <c r="C107">
        <f>IF($A107="","",COUNTIFS('Teacher Rankings'!B:B,$A107,'Teacher Rankings'!A:A,"&gt;="&amp;$B$4,'Teacher Rankings'!A:A,"&lt;="&amp;$B$5))</f>
        <v/>
      </c>
      <c r="D107">
        <f>IF($C107=0,"",ROUND(AVERAGEIFS('Teacher Rankings'!I:I,'Teacher Rankings'!B:B,$A107,'Teacher Rankings'!A:A,"&gt;="&amp;$B$4,'Teacher Rankings'!A:A,"&lt;="&amp;$B$5),0))</f>
        <v/>
      </c>
      <c r="E107">
        <f>IF($C107=0,"",IFERROR(INDEX('Teacher Rankings'!I:I,MATCH(1,('Teacher Rankings'!B:B=$A107)*('Teacher Rankings'!A:A=$B$5),0)),0) - IFERROR(INDEX('Teacher Rankings'!I:I,MATCH(1,('Teacher Rankings'!B:B=$A107)*('Teacher Rankings'!A:A=$B$4),0)),0))</f>
        <v/>
      </c>
      <c r="F107">
        <f>IF($C107=0,"",ROUND(100*COUNTIFS('Teacher Rankings'!B:B,$A107,'Teacher Rankings'!A:A,"&gt;="&amp;$B$4,'Teacher Rankings'!A:A,"&lt;="&amp;$B$5,'Teacher Rankings'!F:F,20)/$C107,0))</f>
        <v/>
      </c>
      <c r="G107">
        <f>IF($C107=0,"",ROUND(100*COUNTIFS('Teacher Rankings'!B:B,$A107,'Teacher Rankings'!A:A,"&gt;="&amp;$B$4,'Teacher Rankings'!A:A,"&lt;="&amp;$B$5,'Teacher Rankings'!D:D,20)/$C107,0))</f>
        <v/>
      </c>
      <c r="H107">
        <f>IF($C107=0,"",ROUND(100*COUNTIFS('Teacher Rankings'!B:B,$A107,'Teacher Rankings'!A:A,"&gt;="&amp;$B$4,'Teacher Rankings'!A:A,"&lt;="&amp;$B$5,'Teacher Rankings'!H:H,20)/$C107,0))</f>
        <v/>
      </c>
      <c r="I107">
        <f>IF($C107=0,"",ROUND(100*COUNTIFS('Teacher Rankings'!B:B,$A107,'Teacher Rankings'!A:A,"&gt;="&amp;$B$4,'Teacher Rankings'!A:A,"&lt;="&amp;$B$5,'Teacher Rankings'!G:G,20)/$C107,0))</f>
        <v/>
      </c>
    </row>
    <row r="108">
      <c r="A108">
        <f>IF(Teachers!A102="","",Teachers!A102)</f>
        <v/>
      </c>
      <c r="B108">
        <f>IF($A108="","",Teachers!B102)</f>
        <v/>
      </c>
      <c r="C108">
        <f>IF($A108="","",COUNTIFS('Teacher Rankings'!B:B,$A108,'Teacher Rankings'!A:A,"&gt;="&amp;$B$4,'Teacher Rankings'!A:A,"&lt;="&amp;$B$5))</f>
        <v/>
      </c>
      <c r="D108">
        <f>IF($C108=0,"",ROUND(AVERAGEIFS('Teacher Rankings'!I:I,'Teacher Rankings'!B:B,$A108,'Teacher Rankings'!A:A,"&gt;="&amp;$B$4,'Teacher Rankings'!A:A,"&lt;="&amp;$B$5),0))</f>
        <v/>
      </c>
      <c r="E108">
        <f>IF($C108=0,"",IFERROR(INDEX('Teacher Rankings'!I:I,MATCH(1,('Teacher Rankings'!B:B=$A108)*('Teacher Rankings'!A:A=$B$5),0)),0) - IFERROR(INDEX('Teacher Rankings'!I:I,MATCH(1,('Teacher Rankings'!B:B=$A108)*('Teacher Rankings'!A:A=$B$4),0)),0))</f>
        <v/>
      </c>
      <c r="F108">
        <f>IF($C108=0,"",ROUND(100*COUNTIFS('Teacher Rankings'!B:B,$A108,'Teacher Rankings'!A:A,"&gt;="&amp;$B$4,'Teacher Rankings'!A:A,"&lt;="&amp;$B$5,'Teacher Rankings'!F:F,20)/$C108,0))</f>
        <v/>
      </c>
      <c r="G108">
        <f>IF($C108=0,"",ROUND(100*COUNTIFS('Teacher Rankings'!B:B,$A108,'Teacher Rankings'!A:A,"&gt;="&amp;$B$4,'Teacher Rankings'!A:A,"&lt;="&amp;$B$5,'Teacher Rankings'!D:D,20)/$C108,0))</f>
        <v/>
      </c>
      <c r="H108">
        <f>IF($C108=0,"",ROUND(100*COUNTIFS('Teacher Rankings'!B:B,$A108,'Teacher Rankings'!A:A,"&gt;="&amp;$B$4,'Teacher Rankings'!A:A,"&lt;="&amp;$B$5,'Teacher Rankings'!H:H,20)/$C108,0))</f>
        <v/>
      </c>
      <c r="I108">
        <f>IF($C108=0,"",ROUND(100*COUNTIFS('Teacher Rankings'!B:B,$A108,'Teacher Rankings'!A:A,"&gt;="&amp;$B$4,'Teacher Rankings'!A:A,"&lt;="&amp;$B$5,'Teacher Rankings'!G:G,20)/$C108,0))</f>
        <v/>
      </c>
    </row>
    <row r="109">
      <c r="A109">
        <f>IF(Teachers!A103="","",Teachers!A103)</f>
        <v/>
      </c>
      <c r="B109">
        <f>IF($A109="","",Teachers!B103)</f>
        <v/>
      </c>
      <c r="C109">
        <f>IF($A109="","",COUNTIFS('Teacher Rankings'!B:B,$A109,'Teacher Rankings'!A:A,"&gt;="&amp;$B$4,'Teacher Rankings'!A:A,"&lt;="&amp;$B$5))</f>
        <v/>
      </c>
      <c r="D109">
        <f>IF($C109=0,"",ROUND(AVERAGEIFS('Teacher Rankings'!I:I,'Teacher Rankings'!B:B,$A109,'Teacher Rankings'!A:A,"&gt;="&amp;$B$4,'Teacher Rankings'!A:A,"&lt;="&amp;$B$5),0))</f>
        <v/>
      </c>
      <c r="E109">
        <f>IF($C109=0,"",IFERROR(INDEX('Teacher Rankings'!I:I,MATCH(1,('Teacher Rankings'!B:B=$A109)*('Teacher Rankings'!A:A=$B$5),0)),0) - IFERROR(INDEX('Teacher Rankings'!I:I,MATCH(1,('Teacher Rankings'!B:B=$A109)*('Teacher Rankings'!A:A=$B$4),0)),0))</f>
        <v/>
      </c>
      <c r="F109">
        <f>IF($C109=0,"",ROUND(100*COUNTIFS('Teacher Rankings'!B:B,$A109,'Teacher Rankings'!A:A,"&gt;="&amp;$B$4,'Teacher Rankings'!A:A,"&lt;="&amp;$B$5,'Teacher Rankings'!F:F,20)/$C109,0))</f>
        <v/>
      </c>
      <c r="G109">
        <f>IF($C109=0,"",ROUND(100*COUNTIFS('Teacher Rankings'!B:B,$A109,'Teacher Rankings'!A:A,"&gt;="&amp;$B$4,'Teacher Rankings'!A:A,"&lt;="&amp;$B$5,'Teacher Rankings'!D:D,20)/$C109,0))</f>
        <v/>
      </c>
      <c r="H109">
        <f>IF($C109=0,"",ROUND(100*COUNTIFS('Teacher Rankings'!B:B,$A109,'Teacher Rankings'!A:A,"&gt;="&amp;$B$4,'Teacher Rankings'!A:A,"&lt;="&amp;$B$5,'Teacher Rankings'!H:H,20)/$C109,0))</f>
        <v/>
      </c>
      <c r="I109">
        <f>IF($C109=0,"",ROUND(100*COUNTIFS('Teacher Rankings'!B:B,$A109,'Teacher Rankings'!A:A,"&gt;="&amp;$B$4,'Teacher Rankings'!A:A,"&lt;="&amp;$B$5,'Teacher Rankings'!G:G,20)/$C109,0))</f>
        <v/>
      </c>
    </row>
    <row r="110">
      <c r="A110">
        <f>IF(Teachers!A104="","",Teachers!A104)</f>
        <v/>
      </c>
      <c r="B110">
        <f>IF($A110="","",Teachers!B104)</f>
        <v/>
      </c>
      <c r="C110">
        <f>IF($A110="","",COUNTIFS('Teacher Rankings'!B:B,$A110,'Teacher Rankings'!A:A,"&gt;="&amp;$B$4,'Teacher Rankings'!A:A,"&lt;="&amp;$B$5))</f>
        <v/>
      </c>
      <c r="D110">
        <f>IF($C110=0,"",ROUND(AVERAGEIFS('Teacher Rankings'!I:I,'Teacher Rankings'!B:B,$A110,'Teacher Rankings'!A:A,"&gt;="&amp;$B$4,'Teacher Rankings'!A:A,"&lt;="&amp;$B$5),0))</f>
        <v/>
      </c>
      <c r="E110">
        <f>IF($C110=0,"",IFERROR(INDEX('Teacher Rankings'!I:I,MATCH(1,('Teacher Rankings'!B:B=$A110)*('Teacher Rankings'!A:A=$B$5),0)),0) - IFERROR(INDEX('Teacher Rankings'!I:I,MATCH(1,('Teacher Rankings'!B:B=$A110)*('Teacher Rankings'!A:A=$B$4),0)),0))</f>
        <v/>
      </c>
      <c r="F110">
        <f>IF($C110=0,"",ROUND(100*COUNTIFS('Teacher Rankings'!B:B,$A110,'Teacher Rankings'!A:A,"&gt;="&amp;$B$4,'Teacher Rankings'!A:A,"&lt;="&amp;$B$5,'Teacher Rankings'!F:F,20)/$C110,0))</f>
        <v/>
      </c>
      <c r="G110">
        <f>IF($C110=0,"",ROUND(100*COUNTIFS('Teacher Rankings'!B:B,$A110,'Teacher Rankings'!A:A,"&gt;="&amp;$B$4,'Teacher Rankings'!A:A,"&lt;="&amp;$B$5,'Teacher Rankings'!D:D,20)/$C110,0))</f>
        <v/>
      </c>
      <c r="H110">
        <f>IF($C110=0,"",ROUND(100*COUNTIFS('Teacher Rankings'!B:B,$A110,'Teacher Rankings'!A:A,"&gt;="&amp;$B$4,'Teacher Rankings'!A:A,"&lt;="&amp;$B$5,'Teacher Rankings'!H:H,20)/$C110,0))</f>
        <v/>
      </c>
      <c r="I110">
        <f>IF($C110=0,"",ROUND(100*COUNTIFS('Teacher Rankings'!B:B,$A110,'Teacher Rankings'!A:A,"&gt;="&amp;$B$4,'Teacher Rankings'!A:A,"&lt;="&amp;$B$5,'Teacher Rankings'!G:G,20)/$C110,0))</f>
        <v/>
      </c>
    </row>
    <row r="111">
      <c r="A111">
        <f>IF(Teachers!A105="","",Teachers!A105)</f>
        <v/>
      </c>
      <c r="B111">
        <f>IF($A111="","",Teachers!B105)</f>
        <v/>
      </c>
      <c r="C111">
        <f>IF($A111="","",COUNTIFS('Teacher Rankings'!B:B,$A111,'Teacher Rankings'!A:A,"&gt;="&amp;$B$4,'Teacher Rankings'!A:A,"&lt;="&amp;$B$5))</f>
        <v/>
      </c>
      <c r="D111">
        <f>IF($C111=0,"",ROUND(AVERAGEIFS('Teacher Rankings'!I:I,'Teacher Rankings'!B:B,$A111,'Teacher Rankings'!A:A,"&gt;="&amp;$B$4,'Teacher Rankings'!A:A,"&lt;="&amp;$B$5),0))</f>
        <v/>
      </c>
      <c r="E111">
        <f>IF($C111=0,"",IFERROR(INDEX('Teacher Rankings'!I:I,MATCH(1,('Teacher Rankings'!B:B=$A111)*('Teacher Rankings'!A:A=$B$5),0)),0) - IFERROR(INDEX('Teacher Rankings'!I:I,MATCH(1,('Teacher Rankings'!B:B=$A111)*('Teacher Rankings'!A:A=$B$4),0)),0))</f>
        <v/>
      </c>
      <c r="F111">
        <f>IF($C111=0,"",ROUND(100*COUNTIFS('Teacher Rankings'!B:B,$A111,'Teacher Rankings'!A:A,"&gt;="&amp;$B$4,'Teacher Rankings'!A:A,"&lt;="&amp;$B$5,'Teacher Rankings'!F:F,20)/$C111,0))</f>
        <v/>
      </c>
      <c r="G111">
        <f>IF($C111=0,"",ROUND(100*COUNTIFS('Teacher Rankings'!B:B,$A111,'Teacher Rankings'!A:A,"&gt;="&amp;$B$4,'Teacher Rankings'!A:A,"&lt;="&amp;$B$5,'Teacher Rankings'!D:D,20)/$C111,0))</f>
        <v/>
      </c>
      <c r="H111">
        <f>IF($C111=0,"",ROUND(100*COUNTIFS('Teacher Rankings'!B:B,$A111,'Teacher Rankings'!A:A,"&gt;="&amp;$B$4,'Teacher Rankings'!A:A,"&lt;="&amp;$B$5,'Teacher Rankings'!H:H,20)/$C111,0))</f>
        <v/>
      </c>
      <c r="I111">
        <f>IF($C111=0,"",ROUND(100*COUNTIFS('Teacher Rankings'!B:B,$A111,'Teacher Rankings'!A:A,"&gt;="&amp;$B$4,'Teacher Rankings'!A:A,"&lt;="&amp;$B$5,'Teacher Rankings'!G:G,20)/$C111,0))</f>
        <v/>
      </c>
    </row>
    <row r="112">
      <c r="A112">
        <f>IF(Teachers!A106="","",Teachers!A106)</f>
        <v/>
      </c>
      <c r="B112">
        <f>IF($A112="","",Teachers!B106)</f>
        <v/>
      </c>
      <c r="C112">
        <f>IF($A112="","",COUNTIFS('Teacher Rankings'!B:B,$A112,'Teacher Rankings'!A:A,"&gt;="&amp;$B$4,'Teacher Rankings'!A:A,"&lt;="&amp;$B$5))</f>
        <v/>
      </c>
      <c r="D112">
        <f>IF($C112=0,"",ROUND(AVERAGEIFS('Teacher Rankings'!I:I,'Teacher Rankings'!B:B,$A112,'Teacher Rankings'!A:A,"&gt;="&amp;$B$4,'Teacher Rankings'!A:A,"&lt;="&amp;$B$5),0))</f>
        <v/>
      </c>
      <c r="E112">
        <f>IF($C112=0,"",IFERROR(INDEX('Teacher Rankings'!I:I,MATCH(1,('Teacher Rankings'!B:B=$A112)*('Teacher Rankings'!A:A=$B$5),0)),0) - IFERROR(INDEX('Teacher Rankings'!I:I,MATCH(1,('Teacher Rankings'!B:B=$A112)*('Teacher Rankings'!A:A=$B$4),0)),0))</f>
        <v/>
      </c>
      <c r="F112">
        <f>IF($C112=0,"",ROUND(100*COUNTIFS('Teacher Rankings'!B:B,$A112,'Teacher Rankings'!A:A,"&gt;="&amp;$B$4,'Teacher Rankings'!A:A,"&lt;="&amp;$B$5,'Teacher Rankings'!F:F,20)/$C112,0))</f>
        <v/>
      </c>
      <c r="G112">
        <f>IF($C112=0,"",ROUND(100*COUNTIFS('Teacher Rankings'!B:B,$A112,'Teacher Rankings'!A:A,"&gt;="&amp;$B$4,'Teacher Rankings'!A:A,"&lt;="&amp;$B$5,'Teacher Rankings'!D:D,20)/$C112,0))</f>
        <v/>
      </c>
      <c r="H112">
        <f>IF($C112=0,"",ROUND(100*COUNTIFS('Teacher Rankings'!B:B,$A112,'Teacher Rankings'!A:A,"&gt;="&amp;$B$4,'Teacher Rankings'!A:A,"&lt;="&amp;$B$5,'Teacher Rankings'!H:H,20)/$C112,0))</f>
        <v/>
      </c>
      <c r="I112">
        <f>IF($C112=0,"",ROUND(100*COUNTIFS('Teacher Rankings'!B:B,$A112,'Teacher Rankings'!A:A,"&gt;="&amp;$B$4,'Teacher Rankings'!A:A,"&lt;="&amp;$B$5,'Teacher Rankings'!G:G,20)/$C112,0))</f>
        <v/>
      </c>
    </row>
    <row r="113">
      <c r="A113">
        <f>IF(Teachers!A107="","",Teachers!A107)</f>
        <v/>
      </c>
      <c r="B113">
        <f>IF($A113="","",Teachers!B107)</f>
        <v/>
      </c>
      <c r="C113">
        <f>IF($A113="","",COUNTIFS('Teacher Rankings'!B:B,$A113,'Teacher Rankings'!A:A,"&gt;="&amp;$B$4,'Teacher Rankings'!A:A,"&lt;="&amp;$B$5))</f>
        <v/>
      </c>
      <c r="D113">
        <f>IF($C113=0,"",ROUND(AVERAGEIFS('Teacher Rankings'!I:I,'Teacher Rankings'!B:B,$A113,'Teacher Rankings'!A:A,"&gt;="&amp;$B$4,'Teacher Rankings'!A:A,"&lt;="&amp;$B$5),0))</f>
        <v/>
      </c>
      <c r="E113">
        <f>IF($C113=0,"",IFERROR(INDEX('Teacher Rankings'!I:I,MATCH(1,('Teacher Rankings'!B:B=$A113)*('Teacher Rankings'!A:A=$B$5),0)),0) - IFERROR(INDEX('Teacher Rankings'!I:I,MATCH(1,('Teacher Rankings'!B:B=$A113)*('Teacher Rankings'!A:A=$B$4),0)),0))</f>
        <v/>
      </c>
      <c r="F113">
        <f>IF($C113=0,"",ROUND(100*COUNTIFS('Teacher Rankings'!B:B,$A113,'Teacher Rankings'!A:A,"&gt;="&amp;$B$4,'Teacher Rankings'!A:A,"&lt;="&amp;$B$5,'Teacher Rankings'!F:F,20)/$C113,0))</f>
        <v/>
      </c>
      <c r="G113">
        <f>IF($C113=0,"",ROUND(100*COUNTIFS('Teacher Rankings'!B:B,$A113,'Teacher Rankings'!A:A,"&gt;="&amp;$B$4,'Teacher Rankings'!A:A,"&lt;="&amp;$B$5,'Teacher Rankings'!D:D,20)/$C113,0))</f>
        <v/>
      </c>
      <c r="H113">
        <f>IF($C113=0,"",ROUND(100*COUNTIFS('Teacher Rankings'!B:B,$A113,'Teacher Rankings'!A:A,"&gt;="&amp;$B$4,'Teacher Rankings'!A:A,"&lt;="&amp;$B$5,'Teacher Rankings'!H:H,20)/$C113,0))</f>
        <v/>
      </c>
      <c r="I113">
        <f>IF($C113=0,"",ROUND(100*COUNTIFS('Teacher Rankings'!B:B,$A113,'Teacher Rankings'!A:A,"&gt;="&amp;$B$4,'Teacher Rankings'!A:A,"&lt;="&amp;$B$5,'Teacher Rankings'!G:G,20)/$C113,0))</f>
        <v/>
      </c>
    </row>
    <row r="114">
      <c r="A114">
        <f>IF(Teachers!A108="","",Teachers!A108)</f>
        <v/>
      </c>
      <c r="B114">
        <f>IF($A114="","",Teachers!B108)</f>
        <v/>
      </c>
      <c r="C114">
        <f>IF($A114="","",COUNTIFS('Teacher Rankings'!B:B,$A114,'Teacher Rankings'!A:A,"&gt;="&amp;$B$4,'Teacher Rankings'!A:A,"&lt;="&amp;$B$5))</f>
        <v/>
      </c>
      <c r="D114">
        <f>IF($C114=0,"",ROUND(AVERAGEIFS('Teacher Rankings'!I:I,'Teacher Rankings'!B:B,$A114,'Teacher Rankings'!A:A,"&gt;="&amp;$B$4,'Teacher Rankings'!A:A,"&lt;="&amp;$B$5),0))</f>
        <v/>
      </c>
      <c r="E114">
        <f>IF($C114=0,"",IFERROR(INDEX('Teacher Rankings'!I:I,MATCH(1,('Teacher Rankings'!B:B=$A114)*('Teacher Rankings'!A:A=$B$5),0)),0) - IFERROR(INDEX('Teacher Rankings'!I:I,MATCH(1,('Teacher Rankings'!B:B=$A114)*('Teacher Rankings'!A:A=$B$4),0)),0))</f>
        <v/>
      </c>
      <c r="F114">
        <f>IF($C114=0,"",ROUND(100*COUNTIFS('Teacher Rankings'!B:B,$A114,'Teacher Rankings'!A:A,"&gt;="&amp;$B$4,'Teacher Rankings'!A:A,"&lt;="&amp;$B$5,'Teacher Rankings'!F:F,20)/$C114,0))</f>
        <v/>
      </c>
      <c r="G114">
        <f>IF($C114=0,"",ROUND(100*COUNTIFS('Teacher Rankings'!B:B,$A114,'Teacher Rankings'!A:A,"&gt;="&amp;$B$4,'Teacher Rankings'!A:A,"&lt;="&amp;$B$5,'Teacher Rankings'!D:D,20)/$C114,0))</f>
        <v/>
      </c>
      <c r="H114">
        <f>IF($C114=0,"",ROUND(100*COUNTIFS('Teacher Rankings'!B:B,$A114,'Teacher Rankings'!A:A,"&gt;="&amp;$B$4,'Teacher Rankings'!A:A,"&lt;="&amp;$B$5,'Teacher Rankings'!H:H,20)/$C114,0))</f>
        <v/>
      </c>
      <c r="I114">
        <f>IF($C114=0,"",ROUND(100*COUNTIFS('Teacher Rankings'!B:B,$A114,'Teacher Rankings'!A:A,"&gt;="&amp;$B$4,'Teacher Rankings'!A:A,"&lt;="&amp;$B$5,'Teacher Rankings'!G:G,20)/$C114,0))</f>
        <v/>
      </c>
    </row>
    <row r="115">
      <c r="A115">
        <f>IF(Teachers!A109="","",Teachers!A109)</f>
        <v/>
      </c>
      <c r="B115">
        <f>IF($A115="","",Teachers!B109)</f>
        <v/>
      </c>
      <c r="C115">
        <f>IF($A115="","",COUNTIFS('Teacher Rankings'!B:B,$A115,'Teacher Rankings'!A:A,"&gt;="&amp;$B$4,'Teacher Rankings'!A:A,"&lt;="&amp;$B$5))</f>
        <v/>
      </c>
      <c r="D115">
        <f>IF($C115=0,"",ROUND(AVERAGEIFS('Teacher Rankings'!I:I,'Teacher Rankings'!B:B,$A115,'Teacher Rankings'!A:A,"&gt;="&amp;$B$4,'Teacher Rankings'!A:A,"&lt;="&amp;$B$5),0))</f>
        <v/>
      </c>
      <c r="E115">
        <f>IF($C115=0,"",IFERROR(INDEX('Teacher Rankings'!I:I,MATCH(1,('Teacher Rankings'!B:B=$A115)*('Teacher Rankings'!A:A=$B$5),0)),0) - IFERROR(INDEX('Teacher Rankings'!I:I,MATCH(1,('Teacher Rankings'!B:B=$A115)*('Teacher Rankings'!A:A=$B$4),0)),0))</f>
        <v/>
      </c>
      <c r="F115">
        <f>IF($C115=0,"",ROUND(100*COUNTIFS('Teacher Rankings'!B:B,$A115,'Teacher Rankings'!A:A,"&gt;="&amp;$B$4,'Teacher Rankings'!A:A,"&lt;="&amp;$B$5,'Teacher Rankings'!F:F,20)/$C115,0))</f>
        <v/>
      </c>
      <c r="G115">
        <f>IF($C115=0,"",ROUND(100*COUNTIFS('Teacher Rankings'!B:B,$A115,'Teacher Rankings'!A:A,"&gt;="&amp;$B$4,'Teacher Rankings'!A:A,"&lt;="&amp;$B$5,'Teacher Rankings'!D:D,20)/$C115,0))</f>
        <v/>
      </c>
      <c r="H115">
        <f>IF($C115=0,"",ROUND(100*COUNTIFS('Teacher Rankings'!B:B,$A115,'Teacher Rankings'!A:A,"&gt;="&amp;$B$4,'Teacher Rankings'!A:A,"&lt;="&amp;$B$5,'Teacher Rankings'!H:H,20)/$C115,0))</f>
        <v/>
      </c>
      <c r="I115">
        <f>IF($C115=0,"",ROUND(100*COUNTIFS('Teacher Rankings'!B:B,$A115,'Teacher Rankings'!A:A,"&gt;="&amp;$B$4,'Teacher Rankings'!A:A,"&lt;="&amp;$B$5,'Teacher Rankings'!G:G,20)/$C115,0))</f>
        <v/>
      </c>
    </row>
    <row r="116">
      <c r="A116">
        <f>IF(Teachers!A110="","",Teachers!A110)</f>
        <v/>
      </c>
      <c r="B116">
        <f>IF($A116="","",Teachers!B110)</f>
        <v/>
      </c>
      <c r="C116">
        <f>IF($A116="","",COUNTIFS('Teacher Rankings'!B:B,$A116,'Teacher Rankings'!A:A,"&gt;="&amp;$B$4,'Teacher Rankings'!A:A,"&lt;="&amp;$B$5))</f>
        <v/>
      </c>
      <c r="D116">
        <f>IF($C116=0,"",ROUND(AVERAGEIFS('Teacher Rankings'!I:I,'Teacher Rankings'!B:B,$A116,'Teacher Rankings'!A:A,"&gt;="&amp;$B$4,'Teacher Rankings'!A:A,"&lt;="&amp;$B$5),0))</f>
        <v/>
      </c>
      <c r="E116">
        <f>IF($C116=0,"",IFERROR(INDEX('Teacher Rankings'!I:I,MATCH(1,('Teacher Rankings'!B:B=$A116)*('Teacher Rankings'!A:A=$B$5),0)),0) - IFERROR(INDEX('Teacher Rankings'!I:I,MATCH(1,('Teacher Rankings'!B:B=$A116)*('Teacher Rankings'!A:A=$B$4),0)),0))</f>
        <v/>
      </c>
      <c r="F116">
        <f>IF($C116=0,"",ROUND(100*COUNTIFS('Teacher Rankings'!B:B,$A116,'Teacher Rankings'!A:A,"&gt;="&amp;$B$4,'Teacher Rankings'!A:A,"&lt;="&amp;$B$5,'Teacher Rankings'!F:F,20)/$C116,0))</f>
        <v/>
      </c>
      <c r="G116">
        <f>IF($C116=0,"",ROUND(100*COUNTIFS('Teacher Rankings'!B:B,$A116,'Teacher Rankings'!A:A,"&gt;="&amp;$B$4,'Teacher Rankings'!A:A,"&lt;="&amp;$B$5,'Teacher Rankings'!D:D,20)/$C116,0))</f>
        <v/>
      </c>
      <c r="H116">
        <f>IF($C116=0,"",ROUND(100*COUNTIFS('Teacher Rankings'!B:B,$A116,'Teacher Rankings'!A:A,"&gt;="&amp;$B$4,'Teacher Rankings'!A:A,"&lt;="&amp;$B$5,'Teacher Rankings'!H:H,20)/$C116,0))</f>
        <v/>
      </c>
      <c r="I116">
        <f>IF($C116=0,"",ROUND(100*COUNTIFS('Teacher Rankings'!B:B,$A116,'Teacher Rankings'!A:A,"&gt;="&amp;$B$4,'Teacher Rankings'!A:A,"&lt;="&amp;$B$5,'Teacher Rankings'!G:G,20)/$C116,0))</f>
        <v/>
      </c>
    </row>
    <row r="117">
      <c r="A117">
        <f>IF(Teachers!A111="","",Teachers!A111)</f>
        <v/>
      </c>
      <c r="B117">
        <f>IF($A117="","",Teachers!B111)</f>
        <v/>
      </c>
      <c r="C117">
        <f>IF($A117="","",COUNTIFS('Teacher Rankings'!B:B,$A117,'Teacher Rankings'!A:A,"&gt;="&amp;$B$4,'Teacher Rankings'!A:A,"&lt;="&amp;$B$5))</f>
        <v/>
      </c>
      <c r="D117">
        <f>IF($C117=0,"",ROUND(AVERAGEIFS('Teacher Rankings'!I:I,'Teacher Rankings'!B:B,$A117,'Teacher Rankings'!A:A,"&gt;="&amp;$B$4,'Teacher Rankings'!A:A,"&lt;="&amp;$B$5),0))</f>
        <v/>
      </c>
      <c r="E117">
        <f>IF($C117=0,"",IFERROR(INDEX('Teacher Rankings'!I:I,MATCH(1,('Teacher Rankings'!B:B=$A117)*('Teacher Rankings'!A:A=$B$5),0)),0) - IFERROR(INDEX('Teacher Rankings'!I:I,MATCH(1,('Teacher Rankings'!B:B=$A117)*('Teacher Rankings'!A:A=$B$4),0)),0))</f>
        <v/>
      </c>
      <c r="F117">
        <f>IF($C117=0,"",ROUND(100*COUNTIFS('Teacher Rankings'!B:B,$A117,'Teacher Rankings'!A:A,"&gt;="&amp;$B$4,'Teacher Rankings'!A:A,"&lt;="&amp;$B$5,'Teacher Rankings'!F:F,20)/$C117,0))</f>
        <v/>
      </c>
      <c r="G117">
        <f>IF($C117=0,"",ROUND(100*COUNTIFS('Teacher Rankings'!B:B,$A117,'Teacher Rankings'!A:A,"&gt;="&amp;$B$4,'Teacher Rankings'!A:A,"&lt;="&amp;$B$5,'Teacher Rankings'!D:D,20)/$C117,0))</f>
        <v/>
      </c>
      <c r="H117">
        <f>IF($C117=0,"",ROUND(100*COUNTIFS('Teacher Rankings'!B:B,$A117,'Teacher Rankings'!A:A,"&gt;="&amp;$B$4,'Teacher Rankings'!A:A,"&lt;="&amp;$B$5,'Teacher Rankings'!H:H,20)/$C117,0))</f>
        <v/>
      </c>
      <c r="I117">
        <f>IF($C117=0,"",ROUND(100*COUNTIFS('Teacher Rankings'!B:B,$A117,'Teacher Rankings'!A:A,"&gt;="&amp;$B$4,'Teacher Rankings'!A:A,"&lt;="&amp;$B$5,'Teacher Rankings'!G:G,20)/$C117,0))</f>
        <v/>
      </c>
    </row>
    <row r="118">
      <c r="A118">
        <f>IF(Teachers!A112="","",Teachers!A112)</f>
        <v/>
      </c>
      <c r="B118">
        <f>IF($A118="","",Teachers!B112)</f>
        <v/>
      </c>
      <c r="C118">
        <f>IF($A118="","",COUNTIFS('Teacher Rankings'!B:B,$A118,'Teacher Rankings'!A:A,"&gt;="&amp;$B$4,'Teacher Rankings'!A:A,"&lt;="&amp;$B$5))</f>
        <v/>
      </c>
      <c r="D118">
        <f>IF($C118=0,"",ROUND(AVERAGEIFS('Teacher Rankings'!I:I,'Teacher Rankings'!B:B,$A118,'Teacher Rankings'!A:A,"&gt;="&amp;$B$4,'Teacher Rankings'!A:A,"&lt;="&amp;$B$5),0))</f>
        <v/>
      </c>
      <c r="E118">
        <f>IF($C118=0,"",IFERROR(INDEX('Teacher Rankings'!I:I,MATCH(1,('Teacher Rankings'!B:B=$A118)*('Teacher Rankings'!A:A=$B$5),0)),0) - IFERROR(INDEX('Teacher Rankings'!I:I,MATCH(1,('Teacher Rankings'!B:B=$A118)*('Teacher Rankings'!A:A=$B$4),0)),0))</f>
        <v/>
      </c>
      <c r="F118">
        <f>IF($C118=0,"",ROUND(100*COUNTIFS('Teacher Rankings'!B:B,$A118,'Teacher Rankings'!A:A,"&gt;="&amp;$B$4,'Teacher Rankings'!A:A,"&lt;="&amp;$B$5,'Teacher Rankings'!F:F,20)/$C118,0))</f>
        <v/>
      </c>
      <c r="G118">
        <f>IF($C118=0,"",ROUND(100*COUNTIFS('Teacher Rankings'!B:B,$A118,'Teacher Rankings'!A:A,"&gt;="&amp;$B$4,'Teacher Rankings'!A:A,"&lt;="&amp;$B$5,'Teacher Rankings'!D:D,20)/$C118,0))</f>
        <v/>
      </c>
      <c r="H118">
        <f>IF($C118=0,"",ROUND(100*COUNTIFS('Teacher Rankings'!B:B,$A118,'Teacher Rankings'!A:A,"&gt;="&amp;$B$4,'Teacher Rankings'!A:A,"&lt;="&amp;$B$5,'Teacher Rankings'!H:H,20)/$C118,0))</f>
        <v/>
      </c>
      <c r="I118">
        <f>IF($C118=0,"",ROUND(100*COUNTIFS('Teacher Rankings'!B:B,$A118,'Teacher Rankings'!A:A,"&gt;="&amp;$B$4,'Teacher Rankings'!A:A,"&lt;="&amp;$B$5,'Teacher Rankings'!G:G,20)/$C118,0))</f>
        <v/>
      </c>
    </row>
    <row r="119">
      <c r="A119">
        <f>IF(Teachers!A113="","",Teachers!A113)</f>
        <v/>
      </c>
      <c r="B119">
        <f>IF($A119="","",Teachers!B113)</f>
        <v/>
      </c>
      <c r="C119">
        <f>IF($A119="","",COUNTIFS('Teacher Rankings'!B:B,$A119,'Teacher Rankings'!A:A,"&gt;="&amp;$B$4,'Teacher Rankings'!A:A,"&lt;="&amp;$B$5))</f>
        <v/>
      </c>
      <c r="D119">
        <f>IF($C119=0,"",ROUND(AVERAGEIFS('Teacher Rankings'!I:I,'Teacher Rankings'!B:B,$A119,'Teacher Rankings'!A:A,"&gt;="&amp;$B$4,'Teacher Rankings'!A:A,"&lt;="&amp;$B$5),0))</f>
        <v/>
      </c>
      <c r="E119">
        <f>IF($C119=0,"",IFERROR(INDEX('Teacher Rankings'!I:I,MATCH(1,('Teacher Rankings'!B:B=$A119)*('Teacher Rankings'!A:A=$B$5),0)),0) - IFERROR(INDEX('Teacher Rankings'!I:I,MATCH(1,('Teacher Rankings'!B:B=$A119)*('Teacher Rankings'!A:A=$B$4),0)),0))</f>
        <v/>
      </c>
      <c r="F119">
        <f>IF($C119=0,"",ROUND(100*COUNTIFS('Teacher Rankings'!B:B,$A119,'Teacher Rankings'!A:A,"&gt;="&amp;$B$4,'Teacher Rankings'!A:A,"&lt;="&amp;$B$5,'Teacher Rankings'!F:F,20)/$C119,0))</f>
        <v/>
      </c>
      <c r="G119">
        <f>IF($C119=0,"",ROUND(100*COUNTIFS('Teacher Rankings'!B:B,$A119,'Teacher Rankings'!A:A,"&gt;="&amp;$B$4,'Teacher Rankings'!A:A,"&lt;="&amp;$B$5,'Teacher Rankings'!D:D,20)/$C119,0))</f>
        <v/>
      </c>
      <c r="H119">
        <f>IF($C119=0,"",ROUND(100*COUNTIFS('Teacher Rankings'!B:B,$A119,'Teacher Rankings'!A:A,"&gt;="&amp;$B$4,'Teacher Rankings'!A:A,"&lt;="&amp;$B$5,'Teacher Rankings'!H:H,20)/$C119,0))</f>
        <v/>
      </c>
      <c r="I119">
        <f>IF($C119=0,"",ROUND(100*COUNTIFS('Teacher Rankings'!B:B,$A119,'Teacher Rankings'!A:A,"&gt;="&amp;$B$4,'Teacher Rankings'!A:A,"&lt;="&amp;$B$5,'Teacher Rankings'!G:G,20)/$C119,0))</f>
        <v/>
      </c>
    </row>
    <row r="120">
      <c r="A120">
        <f>IF(Teachers!A114="","",Teachers!A114)</f>
        <v/>
      </c>
      <c r="B120">
        <f>IF($A120="","",Teachers!B114)</f>
        <v/>
      </c>
      <c r="C120">
        <f>IF($A120="","",COUNTIFS('Teacher Rankings'!B:B,$A120,'Teacher Rankings'!A:A,"&gt;="&amp;$B$4,'Teacher Rankings'!A:A,"&lt;="&amp;$B$5))</f>
        <v/>
      </c>
      <c r="D120">
        <f>IF($C120=0,"",ROUND(AVERAGEIFS('Teacher Rankings'!I:I,'Teacher Rankings'!B:B,$A120,'Teacher Rankings'!A:A,"&gt;="&amp;$B$4,'Teacher Rankings'!A:A,"&lt;="&amp;$B$5),0))</f>
        <v/>
      </c>
      <c r="E120">
        <f>IF($C120=0,"",IFERROR(INDEX('Teacher Rankings'!I:I,MATCH(1,('Teacher Rankings'!B:B=$A120)*('Teacher Rankings'!A:A=$B$5),0)),0) - IFERROR(INDEX('Teacher Rankings'!I:I,MATCH(1,('Teacher Rankings'!B:B=$A120)*('Teacher Rankings'!A:A=$B$4),0)),0))</f>
        <v/>
      </c>
      <c r="F120">
        <f>IF($C120=0,"",ROUND(100*COUNTIFS('Teacher Rankings'!B:B,$A120,'Teacher Rankings'!A:A,"&gt;="&amp;$B$4,'Teacher Rankings'!A:A,"&lt;="&amp;$B$5,'Teacher Rankings'!F:F,20)/$C120,0))</f>
        <v/>
      </c>
      <c r="G120">
        <f>IF($C120=0,"",ROUND(100*COUNTIFS('Teacher Rankings'!B:B,$A120,'Teacher Rankings'!A:A,"&gt;="&amp;$B$4,'Teacher Rankings'!A:A,"&lt;="&amp;$B$5,'Teacher Rankings'!D:D,20)/$C120,0))</f>
        <v/>
      </c>
      <c r="H120">
        <f>IF($C120=0,"",ROUND(100*COUNTIFS('Teacher Rankings'!B:B,$A120,'Teacher Rankings'!A:A,"&gt;="&amp;$B$4,'Teacher Rankings'!A:A,"&lt;="&amp;$B$5,'Teacher Rankings'!H:H,20)/$C120,0))</f>
        <v/>
      </c>
      <c r="I120">
        <f>IF($C120=0,"",ROUND(100*COUNTIFS('Teacher Rankings'!B:B,$A120,'Teacher Rankings'!A:A,"&gt;="&amp;$B$4,'Teacher Rankings'!A:A,"&lt;="&amp;$B$5,'Teacher Rankings'!G:G,20)/$C120,0))</f>
        <v/>
      </c>
    </row>
    <row r="121">
      <c r="A121">
        <f>IF(Teachers!A115="","",Teachers!A115)</f>
        <v/>
      </c>
      <c r="B121">
        <f>IF($A121="","",Teachers!B115)</f>
        <v/>
      </c>
      <c r="C121">
        <f>IF($A121="","",COUNTIFS('Teacher Rankings'!B:B,$A121,'Teacher Rankings'!A:A,"&gt;="&amp;$B$4,'Teacher Rankings'!A:A,"&lt;="&amp;$B$5))</f>
        <v/>
      </c>
      <c r="D121">
        <f>IF($C121=0,"",ROUND(AVERAGEIFS('Teacher Rankings'!I:I,'Teacher Rankings'!B:B,$A121,'Teacher Rankings'!A:A,"&gt;="&amp;$B$4,'Teacher Rankings'!A:A,"&lt;="&amp;$B$5),0))</f>
        <v/>
      </c>
      <c r="E121">
        <f>IF($C121=0,"",IFERROR(INDEX('Teacher Rankings'!I:I,MATCH(1,('Teacher Rankings'!B:B=$A121)*('Teacher Rankings'!A:A=$B$5),0)),0) - IFERROR(INDEX('Teacher Rankings'!I:I,MATCH(1,('Teacher Rankings'!B:B=$A121)*('Teacher Rankings'!A:A=$B$4),0)),0))</f>
        <v/>
      </c>
      <c r="F121">
        <f>IF($C121=0,"",ROUND(100*COUNTIFS('Teacher Rankings'!B:B,$A121,'Teacher Rankings'!A:A,"&gt;="&amp;$B$4,'Teacher Rankings'!A:A,"&lt;="&amp;$B$5,'Teacher Rankings'!F:F,20)/$C121,0))</f>
        <v/>
      </c>
      <c r="G121">
        <f>IF($C121=0,"",ROUND(100*COUNTIFS('Teacher Rankings'!B:B,$A121,'Teacher Rankings'!A:A,"&gt;="&amp;$B$4,'Teacher Rankings'!A:A,"&lt;="&amp;$B$5,'Teacher Rankings'!D:D,20)/$C121,0))</f>
        <v/>
      </c>
      <c r="H121">
        <f>IF($C121=0,"",ROUND(100*COUNTIFS('Teacher Rankings'!B:B,$A121,'Teacher Rankings'!A:A,"&gt;="&amp;$B$4,'Teacher Rankings'!A:A,"&lt;="&amp;$B$5,'Teacher Rankings'!H:H,20)/$C121,0))</f>
        <v/>
      </c>
      <c r="I121">
        <f>IF($C121=0,"",ROUND(100*COUNTIFS('Teacher Rankings'!B:B,$A121,'Teacher Rankings'!A:A,"&gt;="&amp;$B$4,'Teacher Rankings'!A:A,"&lt;="&amp;$B$5,'Teacher Rankings'!G:G,20)/$C121,0))</f>
        <v/>
      </c>
    </row>
    <row r="122">
      <c r="A122">
        <f>IF(Teachers!A116="","",Teachers!A116)</f>
        <v/>
      </c>
      <c r="B122">
        <f>IF($A122="","",Teachers!B116)</f>
        <v/>
      </c>
      <c r="C122">
        <f>IF($A122="","",COUNTIFS('Teacher Rankings'!B:B,$A122,'Teacher Rankings'!A:A,"&gt;="&amp;$B$4,'Teacher Rankings'!A:A,"&lt;="&amp;$B$5))</f>
        <v/>
      </c>
      <c r="D122">
        <f>IF($C122=0,"",ROUND(AVERAGEIFS('Teacher Rankings'!I:I,'Teacher Rankings'!B:B,$A122,'Teacher Rankings'!A:A,"&gt;="&amp;$B$4,'Teacher Rankings'!A:A,"&lt;="&amp;$B$5),0))</f>
        <v/>
      </c>
      <c r="E122">
        <f>IF($C122=0,"",IFERROR(INDEX('Teacher Rankings'!I:I,MATCH(1,('Teacher Rankings'!B:B=$A122)*('Teacher Rankings'!A:A=$B$5),0)),0) - IFERROR(INDEX('Teacher Rankings'!I:I,MATCH(1,('Teacher Rankings'!B:B=$A122)*('Teacher Rankings'!A:A=$B$4),0)),0))</f>
        <v/>
      </c>
      <c r="F122">
        <f>IF($C122=0,"",ROUND(100*COUNTIFS('Teacher Rankings'!B:B,$A122,'Teacher Rankings'!A:A,"&gt;="&amp;$B$4,'Teacher Rankings'!A:A,"&lt;="&amp;$B$5,'Teacher Rankings'!F:F,20)/$C122,0))</f>
        <v/>
      </c>
      <c r="G122">
        <f>IF($C122=0,"",ROUND(100*COUNTIFS('Teacher Rankings'!B:B,$A122,'Teacher Rankings'!A:A,"&gt;="&amp;$B$4,'Teacher Rankings'!A:A,"&lt;="&amp;$B$5,'Teacher Rankings'!D:D,20)/$C122,0))</f>
        <v/>
      </c>
      <c r="H122">
        <f>IF($C122=0,"",ROUND(100*COUNTIFS('Teacher Rankings'!B:B,$A122,'Teacher Rankings'!A:A,"&gt;="&amp;$B$4,'Teacher Rankings'!A:A,"&lt;="&amp;$B$5,'Teacher Rankings'!H:H,20)/$C122,0))</f>
        <v/>
      </c>
      <c r="I122">
        <f>IF($C122=0,"",ROUND(100*COUNTIFS('Teacher Rankings'!B:B,$A122,'Teacher Rankings'!A:A,"&gt;="&amp;$B$4,'Teacher Rankings'!A:A,"&lt;="&amp;$B$5,'Teacher Rankings'!G:G,20)/$C122,0))</f>
        <v/>
      </c>
    </row>
    <row r="123">
      <c r="A123">
        <f>IF(Teachers!A117="","",Teachers!A117)</f>
        <v/>
      </c>
      <c r="B123">
        <f>IF($A123="","",Teachers!B117)</f>
        <v/>
      </c>
      <c r="C123">
        <f>IF($A123="","",COUNTIFS('Teacher Rankings'!B:B,$A123,'Teacher Rankings'!A:A,"&gt;="&amp;$B$4,'Teacher Rankings'!A:A,"&lt;="&amp;$B$5))</f>
        <v/>
      </c>
      <c r="D123">
        <f>IF($C123=0,"",ROUND(AVERAGEIFS('Teacher Rankings'!I:I,'Teacher Rankings'!B:B,$A123,'Teacher Rankings'!A:A,"&gt;="&amp;$B$4,'Teacher Rankings'!A:A,"&lt;="&amp;$B$5),0))</f>
        <v/>
      </c>
      <c r="E123">
        <f>IF($C123=0,"",IFERROR(INDEX('Teacher Rankings'!I:I,MATCH(1,('Teacher Rankings'!B:B=$A123)*('Teacher Rankings'!A:A=$B$5),0)),0) - IFERROR(INDEX('Teacher Rankings'!I:I,MATCH(1,('Teacher Rankings'!B:B=$A123)*('Teacher Rankings'!A:A=$B$4),0)),0))</f>
        <v/>
      </c>
      <c r="F123">
        <f>IF($C123=0,"",ROUND(100*COUNTIFS('Teacher Rankings'!B:B,$A123,'Teacher Rankings'!A:A,"&gt;="&amp;$B$4,'Teacher Rankings'!A:A,"&lt;="&amp;$B$5,'Teacher Rankings'!F:F,20)/$C123,0))</f>
        <v/>
      </c>
      <c r="G123">
        <f>IF($C123=0,"",ROUND(100*COUNTIFS('Teacher Rankings'!B:B,$A123,'Teacher Rankings'!A:A,"&gt;="&amp;$B$4,'Teacher Rankings'!A:A,"&lt;="&amp;$B$5,'Teacher Rankings'!D:D,20)/$C123,0))</f>
        <v/>
      </c>
      <c r="H123">
        <f>IF($C123=0,"",ROUND(100*COUNTIFS('Teacher Rankings'!B:B,$A123,'Teacher Rankings'!A:A,"&gt;="&amp;$B$4,'Teacher Rankings'!A:A,"&lt;="&amp;$B$5,'Teacher Rankings'!H:H,20)/$C123,0))</f>
        <v/>
      </c>
      <c r="I123">
        <f>IF($C123=0,"",ROUND(100*COUNTIFS('Teacher Rankings'!B:B,$A123,'Teacher Rankings'!A:A,"&gt;="&amp;$B$4,'Teacher Rankings'!A:A,"&lt;="&amp;$B$5,'Teacher Rankings'!G:G,20)/$C123,0))</f>
        <v/>
      </c>
    </row>
    <row r="124">
      <c r="A124">
        <f>IF(Teachers!A118="","",Teachers!A118)</f>
        <v/>
      </c>
      <c r="B124">
        <f>IF($A124="","",Teachers!B118)</f>
        <v/>
      </c>
      <c r="C124">
        <f>IF($A124="","",COUNTIFS('Teacher Rankings'!B:B,$A124,'Teacher Rankings'!A:A,"&gt;="&amp;$B$4,'Teacher Rankings'!A:A,"&lt;="&amp;$B$5))</f>
        <v/>
      </c>
      <c r="D124">
        <f>IF($C124=0,"",ROUND(AVERAGEIFS('Teacher Rankings'!I:I,'Teacher Rankings'!B:B,$A124,'Teacher Rankings'!A:A,"&gt;="&amp;$B$4,'Teacher Rankings'!A:A,"&lt;="&amp;$B$5),0))</f>
        <v/>
      </c>
      <c r="E124">
        <f>IF($C124=0,"",IFERROR(INDEX('Teacher Rankings'!I:I,MATCH(1,('Teacher Rankings'!B:B=$A124)*('Teacher Rankings'!A:A=$B$5),0)),0) - IFERROR(INDEX('Teacher Rankings'!I:I,MATCH(1,('Teacher Rankings'!B:B=$A124)*('Teacher Rankings'!A:A=$B$4),0)),0))</f>
        <v/>
      </c>
      <c r="F124">
        <f>IF($C124=0,"",ROUND(100*COUNTIFS('Teacher Rankings'!B:B,$A124,'Teacher Rankings'!A:A,"&gt;="&amp;$B$4,'Teacher Rankings'!A:A,"&lt;="&amp;$B$5,'Teacher Rankings'!F:F,20)/$C124,0))</f>
        <v/>
      </c>
      <c r="G124">
        <f>IF($C124=0,"",ROUND(100*COUNTIFS('Teacher Rankings'!B:B,$A124,'Teacher Rankings'!A:A,"&gt;="&amp;$B$4,'Teacher Rankings'!A:A,"&lt;="&amp;$B$5,'Teacher Rankings'!D:D,20)/$C124,0))</f>
        <v/>
      </c>
      <c r="H124">
        <f>IF($C124=0,"",ROUND(100*COUNTIFS('Teacher Rankings'!B:B,$A124,'Teacher Rankings'!A:A,"&gt;="&amp;$B$4,'Teacher Rankings'!A:A,"&lt;="&amp;$B$5,'Teacher Rankings'!H:H,20)/$C124,0))</f>
        <v/>
      </c>
      <c r="I124">
        <f>IF($C124=0,"",ROUND(100*COUNTIFS('Teacher Rankings'!B:B,$A124,'Teacher Rankings'!A:A,"&gt;="&amp;$B$4,'Teacher Rankings'!A:A,"&lt;="&amp;$B$5,'Teacher Rankings'!G:G,20)/$C124,0))</f>
        <v/>
      </c>
    </row>
    <row r="125">
      <c r="A125">
        <f>IF(Teachers!A119="","",Teachers!A119)</f>
        <v/>
      </c>
      <c r="B125">
        <f>IF($A125="","",Teachers!B119)</f>
        <v/>
      </c>
      <c r="C125">
        <f>IF($A125="","",COUNTIFS('Teacher Rankings'!B:B,$A125,'Teacher Rankings'!A:A,"&gt;="&amp;$B$4,'Teacher Rankings'!A:A,"&lt;="&amp;$B$5))</f>
        <v/>
      </c>
      <c r="D125">
        <f>IF($C125=0,"",ROUND(AVERAGEIFS('Teacher Rankings'!I:I,'Teacher Rankings'!B:B,$A125,'Teacher Rankings'!A:A,"&gt;="&amp;$B$4,'Teacher Rankings'!A:A,"&lt;="&amp;$B$5),0))</f>
        <v/>
      </c>
      <c r="E125">
        <f>IF($C125=0,"",IFERROR(INDEX('Teacher Rankings'!I:I,MATCH(1,('Teacher Rankings'!B:B=$A125)*('Teacher Rankings'!A:A=$B$5),0)),0) - IFERROR(INDEX('Teacher Rankings'!I:I,MATCH(1,('Teacher Rankings'!B:B=$A125)*('Teacher Rankings'!A:A=$B$4),0)),0))</f>
        <v/>
      </c>
      <c r="F125">
        <f>IF($C125=0,"",ROUND(100*COUNTIFS('Teacher Rankings'!B:B,$A125,'Teacher Rankings'!A:A,"&gt;="&amp;$B$4,'Teacher Rankings'!A:A,"&lt;="&amp;$B$5,'Teacher Rankings'!F:F,20)/$C125,0))</f>
        <v/>
      </c>
      <c r="G125">
        <f>IF($C125=0,"",ROUND(100*COUNTIFS('Teacher Rankings'!B:B,$A125,'Teacher Rankings'!A:A,"&gt;="&amp;$B$4,'Teacher Rankings'!A:A,"&lt;="&amp;$B$5,'Teacher Rankings'!D:D,20)/$C125,0))</f>
        <v/>
      </c>
      <c r="H125">
        <f>IF($C125=0,"",ROUND(100*COUNTIFS('Teacher Rankings'!B:B,$A125,'Teacher Rankings'!A:A,"&gt;="&amp;$B$4,'Teacher Rankings'!A:A,"&lt;="&amp;$B$5,'Teacher Rankings'!H:H,20)/$C125,0))</f>
        <v/>
      </c>
      <c r="I125">
        <f>IF($C125=0,"",ROUND(100*COUNTIFS('Teacher Rankings'!B:B,$A125,'Teacher Rankings'!A:A,"&gt;="&amp;$B$4,'Teacher Rankings'!A:A,"&lt;="&amp;$B$5,'Teacher Rankings'!G:G,20)/$C125,0))</f>
        <v/>
      </c>
    </row>
    <row r="126">
      <c r="A126">
        <f>IF(Teachers!A120="","",Teachers!A120)</f>
        <v/>
      </c>
      <c r="B126">
        <f>IF($A126="","",Teachers!B120)</f>
        <v/>
      </c>
      <c r="C126">
        <f>IF($A126="","",COUNTIFS('Teacher Rankings'!B:B,$A126,'Teacher Rankings'!A:A,"&gt;="&amp;$B$4,'Teacher Rankings'!A:A,"&lt;="&amp;$B$5))</f>
        <v/>
      </c>
      <c r="D126">
        <f>IF($C126=0,"",ROUND(AVERAGEIFS('Teacher Rankings'!I:I,'Teacher Rankings'!B:B,$A126,'Teacher Rankings'!A:A,"&gt;="&amp;$B$4,'Teacher Rankings'!A:A,"&lt;="&amp;$B$5),0))</f>
        <v/>
      </c>
      <c r="E126">
        <f>IF($C126=0,"",IFERROR(INDEX('Teacher Rankings'!I:I,MATCH(1,('Teacher Rankings'!B:B=$A126)*('Teacher Rankings'!A:A=$B$5),0)),0) - IFERROR(INDEX('Teacher Rankings'!I:I,MATCH(1,('Teacher Rankings'!B:B=$A126)*('Teacher Rankings'!A:A=$B$4),0)),0))</f>
        <v/>
      </c>
      <c r="F126">
        <f>IF($C126=0,"",ROUND(100*COUNTIFS('Teacher Rankings'!B:B,$A126,'Teacher Rankings'!A:A,"&gt;="&amp;$B$4,'Teacher Rankings'!A:A,"&lt;="&amp;$B$5,'Teacher Rankings'!F:F,20)/$C126,0))</f>
        <v/>
      </c>
      <c r="G126">
        <f>IF($C126=0,"",ROUND(100*COUNTIFS('Teacher Rankings'!B:B,$A126,'Teacher Rankings'!A:A,"&gt;="&amp;$B$4,'Teacher Rankings'!A:A,"&lt;="&amp;$B$5,'Teacher Rankings'!D:D,20)/$C126,0))</f>
        <v/>
      </c>
      <c r="H126">
        <f>IF($C126=0,"",ROUND(100*COUNTIFS('Teacher Rankings'!B:B,$A126,'Teacher Rankings'!A:A,"&gt;="&amp;$B$4,'Teacher Rankings'!A:A,"&lt;="&amp;$B$5,'Teacher Rankings'!H:H,20)/$C126,0))</f>
        <v/>
      </c>
      <c r="I126">
        <f>IF($C126=0,"",ROUND(100*COUNTIFS('Teacher Rankings'!B:B,$A126,'Teacher Rankings'!A:A,"&gt;="&amp;$B$4,'Teacher Rankings'!A:A,"&lt;="&amp;$B$5,'Teacher Rankings'!G:G,20)/$C126,0))</f>
        <v/>
      </c>
    </row>
    <row r="127">
      <c r="A127">
        <f>IF(Teachers!A121="","",Teachers!A121)</f>
        <v/>
      </c>
      <c r="B127">
        <f>IF($A127="","",Teachers!B121)</f>
        <v/>
      </c>
      <c r="C127">
        <f>IF($A127="","",COUNTIFS('Teacher Rankings'!B:B,$A127,'Teacher Rankings'!A:A,"&gt;="&amp;$B$4,'Teacher Rankings'!A:A,"&lt;="&amp;$B$5))</f>
        <v/>
      </c>
      <c r="D127">
        <f>IF($C127=0,"",ROUND(AVERAGEIFS('Teacher Rankings'!I:I,'Teacher Rankings'!B:B,$A127,'Teacher Rankings'!A:A,"&gt;="&amp;$B$4,'Teacher Rankings'!A:A,"&lt;="&amp;$B$5),0))</f>
        <v/>
      </c>
      <c r="E127">
        <f>IF($C127=0,"",IFERROR(INDEX('Teacher Rankings'!I:I,MATCH(1,('Teacher Rankings'!B:B=$A127)*('Teacher Rankings'!A:A=$B$5),0)),0) - IFERROR(INDEX('Teacher Rankings'!I:I,MATCH(1,('Teacher Rankings'!B:B=$A127)*('Teacher Rankings'!A:A=$B$4),0)),0))</f>
        <v/>
      </c>
      <c r="F127">
        <f>IF($C127=0,"",ROUND(100*COUNTIFS('Teacher Rankings'!B:B,$A127,'Teacher Rankings'!A:A,"&gt;="&amp;$B$4,'Teacher Rankings'!A:A,"&lt;="&amp;$B$5,'Teacher Rankings'!F:F,20)/$C127,0))</f>
        <v/>
      </c>
      <c r="G127">
        <f>IF($C127=0,"",ROUND(100*COUNTIFS('Teacher Rankings'!B:B,$A127,'Teacher Rankings'!A:A,"&gt;="&amp;$B$4,'Teacher Rankings'!A:A,"&lt;="&amp;$B$5,'Teacher Rankings'!D:D,20)/$C127,0))</f>
        <v/>
      </c>
      <c r="H127">
        <f>IF($C127=0,"",ROUND(100*COUNTIFS('Teacher Rankings'!B:B,$A127,'Teacher Rankings'!A:A,"&gt;="&amp;$B$4,'Teacher Rankings'!A:A,"&lt;="&amp;$B$5,'Teacher Rankings'!H:H,20)/$C127,0))</f>
        <v/>
      </c>
      <c r="I127">
        <f>IF($C127=0,"",ROUND(100*COUNTIFS('Teacher Rankings'!B:B,$A127,'Teacher Rankings'!A:A,"&gt;="&amp;$B$4,'Teacher Rankings'!A:A,"&lt;="&amp;$B$5,'Teacher Rankings'!G:G,20)/$C127,0))</f>
        <v/>
      </c>
    </row>
    <row r="128">
      <c r="A128">
        <f>IF(Teachers!A122="","",Teachers!A122)</f>
        <v/>
      </c>
      <c r="B128">
        <f>IF($A128="","",Teachers!B122)</f>
        <v/>
      </c>
      <c r="C128">
        <f>IF($A128="","",COUNTIFS('Teacher Rankings'!B:B,$A128,'Teacher Rankings'!A:A,"&gt;="&amp;$B$4,'Teacher Rankings'!A:A,"&lt;="&amp;$B$5))</f>
        <v/>
      </c>
      <c r="D128">
        <f>IF($C128=0,"",ROUND(AVERAGEIFS('Teacher Rankings'!I:I,'Teacher Rankings'!B:B,$A128,'Teacher Rankings'!A:A,"&gt;="&amp;$B$4,'Teacher Rankings'!A:A,"&lt;="&amp;$B$5),0))</f>
        <v/>
      </c>
      <c r="E128">
        <f>IF($C128=0,"",IFERROR(INDEX('Teacher Rankings'!I:I,MATCH(1,('Teacher Rankings'!B:B=$A128)*('Teacher Rankings'!A:A=$B$5),0)),0) - IFERROR(INDEX('Teacher Rankings'!I:I,MATCH(1,('Teacher Rankings'!B:B=$A128)*('Teacher Rankings'!A:A=$B$4),0)),0))</f>
        <v/>
      </c>
      <c r="F128">
        <f>IF($C128=0,"",ROUND(100*COUNTIFS('Teacher Rankings'!B:B,$A128,'Teacher Rankings'!A:A,"&gt;="&amp;$B$4,'Teacher Rankings'!A:A,"&lt;="&amp;$B$5,'Teacher Rankings'!F:F,20)/$C128,0))</f>
        <v/>
      </c>
      <c r="G128">
        <f>IF($C128=0,"",ROUND(100*COUNTIFS('Teacher Rankings'!B:B,$A128,'Teacher Rankings'!A:A,"&gt;="&amp;$B$4,'Teacher Rankings'!A:A,"&lt;="&amp;$B$5,'Teacher Rankings'!D:D,20)/$C128,0))</f>
        <v/>
      </c>
      <c r="H128">
        <f>IF($C128=0,"",ROUND(100*COUNTIFS('Teacher Rankings'!B:B,$A128,'Teacher Rankings'!A:A,"&gt;="&amp;$B$4,'Teacher Rankings'!A:A,"&lt;="&amp;$B$5,'Teacher Rankings'!H:H,20)/$C128,0))</f>
        <v/>
      </c>
      <c r="I128">
        <f>IF($C128=0,"",ROUND(100*COUNTIFS('Teacher Rankings'!B:B,$A128,'Teacher Rankings'!A:A,"&gt;="&amp;$B$4,'Teacher Rankings'!A:A,"&lt;="&amp;$B$5,'Teacher Rankings'!G:G,20)/$C128,0))</f>
        <v/>
      </c>
    </row>
    <row r="129">
      <c r="A129">
        <f>IF(Teachers!A123="","",Teachers!A123)</f>
        <v/>
      </c>
      <c r="B129">
        <f>IF($A129="","",Teachers!B123)</f>
        <v/>
      </c>
      <c r="C129">
        <f>IF($A129="","",COUNTIFS('Teacher Rankings'!B:B,$A129,'Teacher Rankings'!A:A,"&gt;="&amp;$B$4,'Teacher Rankings'!A:A,"&lt;="&amp;$B$5))</f>
        <v/>
      </c>
      <c r="D129">
        <f>IF($C129=0,"",ROUND(AVERAGEIFS('Teacher Rankings'!I:I,'Teacher Rankings'!B:B,$A129,'Teacher Rankings'!A:A,"&gt;="&amp;$B$4,'Teacher Rankings'!A:A,"&lt;="&amp;$B$5),0))</f>
        <v/>
      </c>
      <c r="E129">
        <f>IF($C129=0,"",IFERROR(INDEX('Teacher Rankings'!I:I,MATCH(1,('Teacher Rankings'!B:B=$A129)*('Teacher Rankings'!A:A=$B$5),0)),0) - IFERROR(INDEX('Teacher Rankings'!I:I,MATCH(1,('Teacher Rankings'!B:B=$A129)*('Teacher Rankings'!A:A=$B$4),0)),0))</f>
        <v/>
      </c>
      <c r="F129">
        <f>IF($C129=0,"",ROUND(100*COUNTIFS('Teacher Rankings'!B:B,$A129,'Teacher Rankings'!A:A,"&gt;="&amp;$B$4,'Teacher Rankings'!A:A,"&lt;="&amp;$B$5,'Teacher Rankings'!F:F,20)/$C129,0))</f>
        <v/>
      </c>
      <c r="G129">
        <f>IF($C129=0,"",ROUND(100*COUNTIFS('Teacher Rankings'!B:B,$A129,'Teacher Rankings'!A:A,"&gt;="&amp;$B$4,'Teacher Rankings'!A:A,"&lt;="&amp;$B$5,'Teacher Rankings'!D:D,20)/$C129,0))</f>
        <v/>
      </c>
      <c r="H129">
        <f>IF($C129=0,"",ROUND(100*COUNTIFS('Teacher Rankings'!B:B,$A129,'Teacher Rankings'!A:A,"&gt;="&amp;$B$4,'Teacher Rankings'!A:A,"&lt;="&amp;$B$5,'Teacher Rankings'!H:H,20)/$C129,0))</f>
        <v/>
      </c>
      <c r="I129">
        <f>IF($C129=0,"",ROUND(100*COUNTIFS('Teacher Rankings'!B:B,$A129,'Teacher Rankings'!A:A,"&gt;="&amp;$B$4,'Teacher Rankings'!A:A,"&lt;="&amp;$B$5,'Teacher Rankings'!G:G,20)/$C129,0))</f>
        <v/>
      </c>
    </row>
    <row r="130">
      <c r="A130">
        <f>IF(Teachers!A124="","",Teachers!A124)</f>
        <v/>
      </c>
      <c r="B130">
        <f>IF($A130="","",Teachers!B124)</f>
        <v/>
      </c>
      <c r="C130">
        <f>IF($A130="","",COUNTIFS('Teacher Rankings'!B:B,$A130,'Teacher Rankings'!A:A,"&gt;="&amp;$B$4,'Teacher Rankings'!A:A,"&lt;="&amp;$B$5))</f>
        <v/>
      </c>
      <c r="D130">
        <f>IF($C130=0,"",ROUND(AVERAGEIFS('Teacher Rankings'!I:I,'Teacher Rankings'!B:B,$A130,'Teacher Rankings'!A:A,"&gt;="&amp;$B$4,'Teacher Rankings'!A:A,"&lt;="&amp;$B$5),0))</f>
        <v/>
      </c>
      <c r="E130">
        <f>IF($C130=0,"",IFERROR(INDEX('Teacher Rankings'!I:I,MATCH(1,('Teacher Rankings'!B:B=$A130)*('Teacher Rankings'!A:A=$B$5),0)),0) - IFERROR(INDEX('Teacher Rankings'!I:I,MATCH(1,('Teacher Rankings'!B:B=$A130)*('Teacher Rankings'!A:A=$B$4),0)),0))</f>
        <v/>
      </c>
      <c r="F130">
        <f>IF($C130=0,"",ROUND(100*COUNTIFS('Teacher Rankings'!B:B,$A130,'Teacher Rankings'!A:A,"&gt;="&amp;$B$4,'Teacher Rankings'!A:A,"&lt;="&amp;$B$5,'Teacher Rankings'!F:F,20)/$C130,0))</f>
        <v/>
      </c>
      <c r="G130">
        <f>IF($C130=0,"",ROUND(100*COUNTIFS('Teacher Rankings'!B:B,$A130,'Teacher Rankings'!A:A,"&gt;="&amp;$B$4,'Teacher Rankings'!A:A,"&lt;="&amp;$B$5,'Teacher Rankings'!D:D,20)/$C130,0))</f>
        <v/>
      </c>
      <c r="H130">
        <f>IF($C130=0,"",ROUND(100*COUNTIFS('Teacher Rankings'!B:B,$A130,'Teacher Rankings'!A:A,"&gt;="&amp;$B$4,'Teacher Rankings'!A:A,"&lt;="&amp;$B$5,'Teacher Rankings'!H:H,20)/$C130,0))</f>
        <v/>
      </c>
      <c r="I130">
        <f>IF($C130=0,"",ROUND(100*COUNTIFS('Teacher Rankings'!B:B,$A130,'Teacher Rankings'!A:A,"&gt;="&amp;$B$4,'Teacher Rankings'!A:A,"&lt;="&amp;$B$5,'Teacher Rankings'!G:G,20)/$C130,0))</f>
        <v/>
      </c>
    </row>
    <row r="131">
      <c r="A131">
        <f>IF(Teachers!A125="","",Teachers!A125)</f>
        <v/>
      </c>
      <c r="B131">
        <f>IF($A131="","",Teachers!B125)</f>
        <v/>
      </c>
      <c r="C131">
        <f>IF($A131="","",COUNTIFS('Teacher Rankings'!B:B,$A131,'Teacher Rankings'!A:A,"&gt;="&amp;$B$4,'Teacher Rankings'!A:A,"&lt;="&amp;$B$5))</f>
        <v/>
      </c>
      <c r="D131">
        <f>IF($C131=0,"",ROUND(AVERAGEIFS('Teacher Rankings'!I:I,'Teacher Rankings'!B:B,$A131,'Teacher Rankings'!A:A,"&gt;="&amp;$B$4,'Teacher Rankings'!A:A,"&lt;="&amp;$B$5),0))</f>
        <v/>
      </c>
      <c r="E131">
        <f>IF($C131=0,"",IFERROR(INDEX('Teacher Rankings'!I:I,MATCH(1,('Teacher Rankings'!B:B=$A131)*('Teacher Rankings'!A:A=$B$5),0)),0) - IFERROR(INDEX('Teacher Rankings'!I:I,MATCH(1,('Teacher Rankings'!B:B=$A131)*('Teacher Rankings'!A:A=$B$4),0)),0))</f>
        <v/>
      </c>
      <c r="F131">
        <f>IF($C131=0,"",ROUND(100*COUNTIFS('Teacher Rankings'!B:B,$A131,'Teacher Rankings'!A:A,"&gt;="&amp;$B$4,'Teacher Rankings'!A:A,"&lt;="&amp;$B$5,'Teacher Rankings'!F:F,20)/$C131,0))</f>
        <v/>
      </c>
      <c r="G131">
        <f>IF($C131=0,"",ROUND(100*COUNTIFS('Teacher Rankings'!B:B,$A131,'Teacher Rankings'!A:A,"&gt;="&amp;$B$4,'Teacher Rankings'!A:A,"&lt;="&amp;$B$5,'Teacher Rankings'!D:D,20)/$C131,0))</f>
        <v/>
      </c>
      <c r="H131">
        <f>IF($C131=0,"",ROUND(100*COUNTIFS('Teacher Rankings'!B:B,$A131,'Teacher Rankings'!A:A,"&gt;="&amp;$B$4,'Teacher Rankings'!A:A,"&lt;="&amp;$B$5,'Teacher Rankings'!H:H,20)/$C131,0))</f>
        <v/>
      </c>
      <c r="I131">
        <f>IF($C131=0,"",ROUND(100*COUNTIFS('Teacher Rankings'!B:B,$A131,'Teacher Rankings'!A:A,"&gt;="&amp;$B$4,'Teacher Rankings'!A:A,"&lt;="&amp;$B$5,'Teacher Rankings'!G:G,20)/$C131,0))</f>
        <v/>
      </c>
    </row>
    <row r="132">
      <c r="A132">
        <f>IF(Teachers!A126="","",Teachers!A126)</f>
        <v/>
      </c>
      <c r="B132">
        <f>IF($A132="","",Teachers!B126)</f>
        <v/>
      </c>
      <c r="C132">
        <f>IF($A132="","",COUNTIFS('Teacher Rankings'!B:B,$A132,'Teacher Rankings'!A:A,"&gt;="&amp;$B$4,'Teacher Rankings'!A:A,"&lt;="&amp;$B$5))</f>
        <v/>
      </c>
      <c r="D132">
        <f>IF($C132=0,"",ROUND(AVERAGEIFS('Teacher Rankings'!I:I,'Teacher Rankings'!B:B,$A132,'Teacher Rankings'!A:A,"&gt;="&amp;$B$4,'Teacher Rankings'!A:A,"&lt;="&amp;$B$5),0))</f>
        <v/>
      </c>
      <c r="E132">
        <f>IF($C132=0,"",IFERROR(INDEX('Teacher Rankings'!I:I,MATCH(1,('Teacher Rankings'!B:B=$A132)*('Teacher Rankings'!A:A=$B$5),0)),0) - IFERROR(INDEX('Teacher Rankings'!I:I,MATCH(1,('Teacher Rankings'!B:B=$A132)*('Teacher Rankings'!A:A=$B$4),0)),0))</f>
        <v/>
      </c>
      <c r="F132">
        <f>IF($C132=0,"",ROUND(100*COUNTIFS('Teacher Rankings'!B:B,$A132,'Teacher Rankings'!A:A,"&gt;="&amp;$B$4,'Teacher Rankings'!A:A,"&lt;="&amp;$B$5,'Teacher Rankings'!F:F,20)/$C132,0))</f>
        <v/>
      </c>
      <c r="G132">
        <f>IF($C132=0,"",ROUND(100*COUNTIFS('Teacher Rankings'!B:B,$A132,'Teacher Rankings'!A:A,"&gt;="&amp;$B$4,'Teacher Rankings'!A:A,"&lt;="&amp;$B$5,'Teacher Rankings'!D:D,20)/$C132,0))</f>
        <v/>
      </c>
      <c r="H132">
        <f>IF($C132=0,"",ROUND(100*COUNTIFS('Teacher Rankings'!B:B,$A132,'Teacher Rankings'!A:A,"&gt;="&amp;$B$4,'Teacher Rankings'!A:A,"&lt;="&amp;$B$5,'Teacher Rankings'!H:H,20)/$C132,0))</f>
        <v/>
      </c>
      <c r="I132">
        <f>IF($C132=0,"",ROUND(100*COUNTIFS('Teacher Rankings'!B:B,$A132,'Teacher Rankings'!A:A,"&gt;="&amp;$B$4,'Teacher Rankings'!A:A,"&lt;="&amp;$B$5,'Teacher Rankings'!G:G,20)/$C132,0))</f>
        <v/>
      </c>
    </row>
    <row r="133">
      <c r="A133">
        <f>IF(Teachers!A127="","",Teachers!A127)</f>
        <v/>
      </c>
      <c r="B133">
        <f>IF($A133="","",Teachers!B127)</f>
        <v/>
      </c>
      <c r="C133">
        <f>IF($A133="","",COUNTIFS('Teacher Rankings'!B:B,$A133,'Teacher Rankings'!A:A,"&gt;="&amp;$B$4,'Teacher Rankings'!A:A,"&lt;="&amp;$B$5))</f>
        <v/>
      </c>
      <c r="D133">
        <f>IF($C133=0,"",ROUND(AVERAGEIFS('Teacher Rankings'!I:I,'Teacher Rankings'!B:B,$A133,'Teacher Rankings'!A:A,"&gt;="&amp;$B$4,'Teacher Rankings'!A:A,"&lt;="&amp;$B$5),0))</f>
        <v/>
      </c>
      <c r="E133">
        <f>IF($C133=0,"",IFERROR(INDEX('Teacher Rankings'!I:I,MATCH(1,('Teacher Rankings'!B:B=$A133)*('Teacher Rankings'!A:A=$B$5),0)),0) - IFERROR(INDEX('Teacher Rankings'!I:I,MATCH(1,('Teacher Rankings'!B:B=$A133)*('Teacher Rankings'!A:A=$B$4),0)),0))</f>
        <v/>
      </c>
      <c r="F133">
        <f>IF($C133=0,"",ROUND(100*COUNTIFS('Teacher Rankings'!B:B,$A133,'Teacher Rankings'!A:A,"&gt;="&amp;$B$4,'Teacher Rankings'!A:A,"&lt;="&amp;$B$5,'Teacher Rankings'!F:F,20)/$C133,0))</f>
        <v/>
      </c>
      <c r="G133">
        <f>IF($C133=0,"",ROUND(100*COUNTIFS('Teacher Rankings'!B:B,$A133,'Teacher Rankings'!A:A,"&gt;="&amp;$B$4,'Teacher Rankings'!A:A,"&lt;="&amp;$B$5,'Teacher Rankings'!D:D,20)/$C133,0))</f>
        <v/>
      </c>
      <c r="H133">
        <f>IF($C133=0,"",ROUND(100*COUNTIFS('Teacher Rankings'!B:B,$A133,'Teacher Rankings'!A:A,"&gt;="&amp;$B$4,'Teacher Rankings'!A:A,"&lt;="&amp;$B$5,'Teacher Rankings'!H:H,20)/$C133,0))</f>
        <v/>
      </c>
      <c r="I133">
        <f>IF($C133=0,"",ROUND(100*COUNTIFS('Teacher Rankings'!B:B,$A133,'Teacher Rankings'!A:A,"&gt;="&amp;$B$4,'Teacher Rankings'!A:A,"&lt;="&amp;$B$5,'Teacher Rankings'!G:G,20)/$C133,0))</f>
        <v/>
      </c>
    </row>
    <row r="134">
      <c r="A134">
        <f>IF(Teachers!A128="","",Teachers!A128)</f>
        <v/>
      </c>
      <c r="B134">
        <f>IF($A134="","",Teachers!B128)</f>
        <v/>
      </c>
      <c r="C134">
        <f>IF($A134="","",COUNTIFS('Teacher Rankings'!B:B,$A134,'Teacher Rankings'!A:A,"&gt;="&amp;$B$4,'Teacher Rankings'!A:A,"&lt;="&amp;$B$5))</f>
        <v/>
      </c>
      <c r="D134">
        <f>IF($C134=0,"",ROUND(AVERAGEIFS('Teacher Rankings'!I:I,'Teacher Rankings'!B:B,$A134,'Teacher Rankings'!A:A,"&gt;="&amp;$B$4,'Teacher Rankings'!A:A,"&lt;="&amp;$B$5),0))</f>
        <v/>
      </c>
      <c r="E134">
        <f>IF($C134=0,"",IFERROR(INDEX('Teacher Rankings'!I:I,MATCH(1,('Teacher Rankings'!B:B=$A134)*('Teacher Rankings'!A:A=$B$5),0)),0) - IFERROR(INDEX('Teacher Rankings'!I:I,MATCH(1,('Teacher Rankings'!B:B=$A134)*('Teacher Rankings'!A:A=$B$4),0)),0))</f>
        <v/>
      </c>
      <c r="F134">
        <f>IF($C134=0,"",ROUND(100*COUNTIFS('Teacher Rankings'!B:B,$A134,'Teacher Rankings'!A:A,"&gt;="&amp;$B$4,'Teacher Rankings'!A:A,"&lt;="&amp;$B$5,'Teacher Rankings'!F:F,20)/$C134,0))</f>
        <v/>
      </c>
      <c r="G134">
        <f>IF($C134=0,"",ROUND(100*COUNTIFS('Teacher Rankings'!B:B,$A134,'Teacher Rankings'!A:A,"&gt;="&amp;$B$4,'Teacher Rankings'!A:A,"&lt;="&amp;$B$5,'Teacher Rankings'!D:D,20)/$C134,0))</f>
        <v/>
      </c>
      <c r="H134">
        <f>IF($C134=0,"",ROUND(100*COUNTIFS('Teacher Rankings'!B:B,$A134,'Teacher Rankings'!A:A,"&gt;="&amp;$B$4,'Teacher Rankings'!A:A,"&lt;="&amp;$B$5,'Teacher Rankings'!H:H,20)/$C134,0))</f>
        <v/>
      </c>
      <c r="I134">
        <f>IF($C134=0,"",ROUND(100*COUNTIFS('Teacher Rankings'!B:B,$A134,'Teacher Rankings'!A:A,"&gt;="&amp;$B$4,'Teacher Rankings'!A:A,"&lt;="&amp;$B$5,'Teacher Rankings'!G:G,20)/$C134,0))</f>
        <v/>
      </c>
    </row>
    <row r="135">
      <c r="A135">
        <f>IF(Teachers!A129="","",Teachers!A129)</f>
        <v/>
      </c>
      <c r="B135">
        <f>IF($A135="","",Teachers!B129)</f>
        <v/>
      </c>
      <c r="C135">
        <f>IF($A135="","",COUNTIFS('Teacher Rankings'!B:B,$A135,'Teacher Rankings'!A:A,"&gt;="&amp;$B$4,'Teacher Rankings'!A:A,"&lt;="&amp;$B$5))</f>
        <v/>
      </c>
      <c r="D135">
        <f>IF($C135=0,"",ROUND(AVERAGEIFS('Teacher Rankings'!I:I,'Teacher Rankings'!B:B,$A135,'Teacher Rankings'!A:A,"&gt;="&amp;$B$4,'Teacher Rankings'!A:A,"&lt;="&amp;$B$5),0))</f>
        <v/>
      </c>
      <c r="E135">
        <f>IF($C135=0,"",IFERROR(INDEX('Teacher Rankings'!I:I,MATCH(1,('Teacher Rankings'!B:B=$A135)*('Teacher Rankings'!A:A=$B$5),0)),0) - IFERROR(INDEX('Teacher Rankings'!I:I,MATCH(1,('Teacher Rankings'!B:B=$A135)*('Teacher Rankings'!A:A=$B$4),0)),0))</f>
        <v/>
      </c>
      <c r="F135">
        <f>IF($C135=0,"",ROUND(100*COUNTIFS('Teacher Rankings'!B:B,$A135,'Teacher Rankings'!A:A,"&gt;="&amp;$B$4,'Teacher Rankings'!A:A,"&lt;="&amp;$B$5,'Teacher Rankings'!F:F,20)/$C135,0))</f>
        <v/>
      </c>
      <c r="G135">
        <f>IF($C135=0,"",ROUND(100*COUNTIFS('Teacher Rankings'!B:B,$A135,'Teacher Rankings'!A:A,"&gt;="&amp;$B$4,'Teacher Rankings'!A:A,"&lt;="&amp;$B$5,'Teacher Rankings'!D:D,20)/$C135,0))</f>
        <v/>
      </c>
      <c r="H135">
        <f>IF($C135=0,"",ROUND(100*COUNTIFS('Teacher Rankings'!B:B,$A135,'Teacher Rankings'!A:A,"&gt;="&amp;$B$4,'Teacher Rankings'!A:A,"&lt;="&amp;$B$5,'Teacher Rankings'!H:H,20)/$C135,0))</f>
        <v/>
      </c>
      <c r="I135">
        <f>IF($C135=0,"",ROUND(100*COUNTIFS('Teacher Rankings'!B:B,$A135,'Teacher Rankings'!A:A,"&gt;="&amp;$B$4,'Teacher Rankings'!A:A,"&lt;="&amp;$B$5,'Teacher Rankings'!G:G,20)/$C135,0))</f>
        <v/>
      </c>
    </row>
    <row r="136">
      <c r="A136">
        <f>IF(Teachers!A130="","",Teachers!A130)</f>
        <v/>
      </c>
      <c r="B136">
        <f>IF($A136="","",Teachers!B130)</f>
        <v/>
      </c>
      <c r="C136">
        <f>IF($A136="","",COUNTIFS('Teacher Rankings'!B:B,$A136,'Teacher Rankings'!A:A,"&gt;="&amp;$B$4,'Teacher Rankings'!A:A,"&lt;="&amp;$B$5))</f>
        <v/>
      </c>
      <c r="D136">
        <f>IF($C136=0,"",ROUND(AVERAGEIFS('Teacher Rankings'!I:I,'Teacher Rankings'!B:B,$A136,'Teacher Rankings'!A:A,"&gt;="&amp;$B$4,'Teacher Rankings'!A:A,"&lt;="&amp;$B$5),0))</f>
        <v/>
      </c>
      <c r="E136">
        <f>IF($C136=0,"",IFERROR(INDEX('Teacher Rankings'!I:I,MATCH(1,('Teacher Rankings'!B:B=$A136)*('Teacher Rankings'!A:A=$B$5),0)),0) - IFERROR(INDEX('Teacher Rankings'!I:I,MATCH(1,('Teacher Rankings'!B:B=$A136)*('Teacher Rankings'!A:A=$B$4),0)),0))</f>
        <v/>
      </c>
      <c r="F136">
        <f>IF($C136=0,"",ROUND(100*COUNTIFS('Teacher Rankings'!B:B,$A136,'Teacher Rankings'!A:A,"&gt;="&amp;$B$4,'Teacher Rankings'!A:A,"&lt;="&amp;$B$5,'Teacher Rankings'!F:F,20)/$C136,0))</f>
        <v/>
      </c>
      <c r="G136">
        <f>IF($C136=0,"",ROUND(100*COUNTIFS('Teacher Rankings'!B:B,$A136,'Teacher Rankings'!A:A,"&gt;="&amp;$B$4,'Teacher Rankings'!A:A,"&lt;="&amp;$B$5,'Teacher Rankings'!D:D,20)/$C136,0))</f>
        <v/>
      </c>
      <c r="H136">
        <f>IF($C136=0,"",ROUND(100*COUNTIFS('Teacher Rankings'!B:B,$A136,'Teacher Rankings'!A:A,"&gt;="&amp;$B$4,'Teacher Rankings'!A:A,"&lt;="&amp;$B$5,'Teacher Rankings'!H:H,20)/$C136,0))</f>
        <v/>
      </c>
      <c r="I136">
        <f>IF($C136=0,"",ROUND(100*COUNTIFS('Teacher Rankings'!B:B,$A136,'Teacher Rankings'!A:A,"&gt;="&amp;$B$4,'Teacher Rankings'!A:A,"&lt;="&amp;$B$5,'Teacher Rankings'!G:G,20)/$C136,0))</f>
        <v/>
      </c>
    </row>
    <row r="137">
      <c r="A137">
        <f>IF(Teachers!A131="","",Teachers!A131)</f>
        <v/>
      </c>
      <c r="B137">
        <f>IF($A137="","",Teachers!B131)</f>
        <v/>
      </c>
      <c r="C137">
        <f>IF($A137="","",COUNTIFS('Teacher Rankings'!B:B,$A137,'Teacher Rankings'!A:A,"&gt;="&amp;$B$4,'Teacher Rankings'!A:A,"&lt;="&amp;$B$5))</f>
        <v/>
      </c>
      <c r="D137">
        <f>IF($C137=0,"",ROUND(AVERAGEIFS('Teacher Rankings'!I:I,'Teacher Rankings'!B:B,$A137,'Teacher Rankings'!A:A,"&gt;="&amp;$B$4,'Teacher Rankings'!A:A,"&lt;="&amp;$B$5),0))</f>
        <v/>
      </c>
      <c r="E137">
        <f>IF($C137=0,"",IFERROR(INDEX('Teacher Rankings'!I:I,MATCH(1,('Teacher Rankings'!B:B=$A137)*('Teacher Rankings'!A:A=$B$5),0)),0) - IFERROR(INDEX('Teacher Rankings'!I:I,MATCH(1,('Teacher Rankings'!B:B=$A137)*('Teacher Rankings'!A:A=$B$4),0)),0))</f>
        <v/>
      </c>
      <c r="F137">
        <f>IF($C137=0,"",ROUND(100*COUNTIFS('Teacher Rankings'!B:B,$A137,'Teacher Rankings'!A:A,"&gt;="&amp;$B$4,'Teacher Rankings'!A:A,"&lt;="&amp;$B$5,'Teacher Rankings'!F:F,20)/$C137,0))</f>
        <v/>
      </c>
      <c r="G137">
        <f>IF($C137=0,"",ROUND(100*COUNTIFS('Teacher Rankings'!B:B,$A137,'Teacher Rankings'!A:A,"&gt;="&amp;$B$4,'Teacher Rankings'!A:A,"&lt;="&amp;$B$5,'Teacher Rankings'!D:D,20)/$C137,0))</f>
        <v/>
      </c>
      <c r="H137">
        <f>IF($C137=0,"",ROUND(100*COUNTIFS('Teacher Rankings'!B:B,$A137,'Teacher Rankings'!A:A,"&gt;="&amp;$B$4,'Teacher Rankings'!A:A,"&lt;="&amp;$B$5,'Teacher Rankings'!H:H,20)/$C137,0))</f>
        <v/>
      </c>
      <c r="I137">
        <f>IF($C137=0,"",ROUND(100*COUNTIFS('Teacher Rankings'!B:B,$A137,'Teacher Rankings'!A:A,"&gt;="&amp;$B$4,'Teacher Rankings'!A:A,"&lt;="&amp;$B$5,'Teacher Rankings'!G:G,20)/$C137,0))</f>
        <v/>
      </c>
    </row>
    <row r="138">
      <c r="A138">
        <f>IF(Teachers!A132="","",Teachers!A132)</f>
        <v/>
      </c>
      <c r="B138">
        <f>IF($A138="","",Teachers!B132)</f>
        <v/>
      </c>
      <c r="C138">
        <f>IF($A138="","",COUNTIFS('Teacher Rankings'!B:B,$A138,'Teacher Rankings'!A:A,"&gt;="&amp;$B$4,'Teacher Rankings'!A:A,"&lt;="&amp;$B$5))</f>
        <v/>
      </c>
      <c r="D138">
        <f>IF($C138=0,"",ROUND(AVERAGEIFS('Teacher Rankings'!I:I,'Teacher Rankings'!B:B,$A138,'Teacher Rankings'!A:A,"&gt;="&amp;$B$4,'Teacher Rankings'!A:A,"&lt;="&amp;$B$5),0))</f>
        <v/>
      </c>
      <c r="E138">
        <f>IF($C138=0,"",IFERROR(INDEX('Teacher Rankings'!I:I,MATCH(1,('Teacher Rankings'!B:B=$A138)*('Teacher Rankings'!A:A=$B$5),0)),0) - IFERROR(INDEX('Teacher Rankings'!I:I,MATCH(1,('Teacher Rankings'!B:B=$A138)*('Teacher Rankings'!A:A=$B$4),0)),0))</f>
        <v/>
      </c>
      <c r="F138">
        <f>IF($C138=0,"",ROUND(100*COUNTIFS('Teacher Rankings'!B:B,$A138,'Teacher Rankings'!A:A,"&gt;="&amp;$B$4,'Teacher Rankings'!A:A,"&lt;="&amp;$B$5,'Teacher Rankings'!F:F,20)/$C138,0))</f>
        <v/>
      </c>
      <c r="G138">
        <f>IF($C138=0,"",ROUND(100*COUNTIFS('Teacher Rankings'!B:B,$A138,'Teacher Rankings'!A:A,"&gt;="&amp;$B$4,'Teacher Rankings'!A:A,"&lt;="&amp;$B$5,'Teacher Rankings'!D:D,20)/$C138,0))</f>
        <v/>
      </c>
      <c r="H138">
        <f>IF($C138=0,"",ROUND(100*COUNTIFS('Teacher Rankings'!B:B,$A138,'Teacher Rankings'!A:A,"&gt;="&amp;$B$4,'Teacher Rankings'!A:A,"&lt;="&amp;$B$5,'Teacher Rankings'!H:H,20)/$C138,0))</f>
        <v/>
      </c>
      <c r="I138">
        <f>IF($C138=0,"",ROUND(100*COUNTIFS('Teacher Rankings'!B:B,$A138,'Teacher Rankings'!A:A,"&gt;="&amp;$B$4,'Teacher Rankings'!A:A,"&lt;="&amp;$B$5,'Teacher Rankings'!G:G,20)/$C138,0))</f>
        <v/>
      </c>
    </row>
    <row r="139">
      <c r="A139">
        <f>IF(Teachers!A133="","",Teachers!A133)</f>
        <v/>
      </c>
      <c r="B139">
        <f>IF($A139="","",Teachers!B133)</f>
        <v/>
      </c>
      <c r="C139">
        <f>IF($A139="","",COUNTIFS('Teacher Rankings'!B:B,$A139,'Teacher Rankings'!A:A,"&gt;="&amp;$B$4,'Teacher Rankings'!A:A,"&lt;="&amp;$B$5))</f>
        <v/>
      </c>
      <c r="D139">
        <f>IF($C139=0,"",ROUND(AVERAGEIFS('Teacher Rankings'!I:I,'Teacher Rankings'!B:B,$A139,'Teacher Rankings'!A:A,"&gt;="&amp;$B$4,'Teacher Rankings'!A:A,"&lt;="&amp;$B$5),0))</f>
        <v/>
      </c>
      <c r="E139">
        <f>IF($C139=0,"",IFERROR(INDEX('Teacher Rankings'!I:I,MATCH(1,('Teacher Rankings'!B:B=$A139)*('Teacher Rankings'!A:A=$B$5),0)),0) - IFERROR(INDEX('Teacher Rankings'!I:I,MATCH(1,('Teacher Rankings'!B:B=$A139)*('Teacher Rankings'!A:A=$B$4),0)),0))</f>
        <v/>
      </c>
      <c r="F139">
        <f>IF($C139=0,"",ROUND(100*COUNTIFS('Teacher Rankings'!B:B,$A139,'Teacher Rankings'!A:A,"&gt;="&amp;$B$4,'Teacher Rankings'!A:A,"&lt;="&amp;$B$5,'Teacher Rankings'!F:F,20)/$C139,0))</f>
        <v/>
      </c>
      <c r="G139">
        <f>IF($C139=0,"",ROUND(100*COUNTIFS('Teacher Rankings'!B:B,$A139,'Teacher Rankings'!A:A,"&gt;="&amp;$B$4,'Teacher Rankings'!A:A,"&lt;="&amp;$B$5,'Teacher Rankings'!D:D,20)/$C139,0))</f>
        <v/>
      </c>
      <c r="H139">
        <f>IF($C139=0,"",ROUND(100*COUNTIFS('Teacher Rankings'!B:B,$A139,'Teacher Rankings'!A:A,"&gt;="&amp;$B$4,'Teacher Rankings'!A:A,"&lt;="&amp;$B$5,'Teacher Rankings'!H:H,20)/$C139,0))</f>
        <v/>
      </c>
      <c r="I139">
        <f>IF($C139=0,"",ROUND(100*COUNTIFS('Teacher Rankings'!B:B,$A139,'Teacher Rankings'!A:A,"&gt;="&amp;$B$4,'Teacher Rankings'!A:A,"&lt;="&amp;$B$5,'Teacher Rankings'!G:G,20)/$C139,0))</f>
        <v/>
      </c>
    </row>
    <row r="140">
      <c r="A140">
        <f>IF(Teachers!A134="","",Teachers!A134)</f>
        <v/>
      </c>
      <c r="B140">
        <f>IF($A140="","",Teachers!B134)</f>
        <v/>
      </c>
      <c r="C140">
        <f>IF($A140="","",COUNTIFS('Teacher Rankings'!B:B,$A140,'Teacher Rankings'!A:A,"&gt;="&amp;$B$4,'Teacher Rankings'!A:A,"&lt;="&amp;$B$5))</f>
        <v/>
      </c>
      <c r="D140">
        <f>IF($C140=0,"",ROUND(AVERAGEIFS('Teacher Rankings'!I:I,'Teacher Rankings'!B:B,$A140,'Teacher Rankings'!A:A,"&gt;="&amp;$B$4,'Teacher Rankings'!A:A,"&lt;="&amp;$B$5),0))</f>
        <v/>
      </c>
      <c r="E140">
        <f>IF($C140=0,"",IFERROR(INDEX('Teacher Rankings'!I:I,MATCH(1,('Teacher Rankings'!B:B=$A140)*('Teacher Rankings'!A:A=$B$5),0)),0) - IFERROR(INDEX('Teacher Rankings'!I:I,MATCH(1,('Teacher Rankings'!B:B=$A140)*('Teacher Rankings'!A:A=$B$4),0)),0))</f>
        <v/>
      </c>
      <c r="F140">
        <f>IF($C140=0,"",ROUND(100*COUNTIFS('Teacher Rankings'!B:B,$A140,'Teacher Rankings'!A:A,"&gt;="&amp;$B$4,'Teacher Rankings'!A:A,"&lt;="&amp;$B$5,'Teacher Rankings'!F:F,20)/$C140,0))</f>
        <v/>
      </c>
      <c r="G140">
        <f>IF($C140=0,"",ROUND(100*COUNTIFS('Teacher Rankings'!B:B,$A140,'Teacher Rankings'!A:A,"&gt;="&amp;$B$4,'Teacher Rankings'!A:A,"&lt;="&amp;$B$5,'Teacher Rankings'!D:D,20)/$C140,0))</f>
        <v/>
      </c>
      <c r="H140">
        <f>IF($C140=0,"",ROUND(100*COUNTIFS('Teacher Rankings'!B:B,$A140,'Teacher Rankings'!A:A,"&gt;="&amp;$B$4,'Teacher Rankings'!A:A,"&lt;="&amp;$B$5,'Teacher Rankings'!H:H,20)/$C140,0))</f>
        <v/>
      </c>
      <c r="I140">
        <f>IF($C140=0,"",ROUND(100*COUNTIFS('Teacher Rankings'!B:B,$A140,'Teacher Rankings'!A:A,"&gt;="&amp;$B$4,'Teacher Rankings'!A:A,"&lt;="&amp;$B$5,'Teacher Rankings'!G:G,20)/$C140,0))</f>
        <v/>
      </c>
    </row>
    <row r="141">
      <c r="A141">
        <f>IF(Teachers!A135="","",Teachers!A135)</f>
        <v/>
      </c>
      <c r="B141">
        <f>IF($A141="","",Teachers!B135)</f>
        <v/>
      </c>
      <c r="C141">
        <f>IF($A141="","",COUNTIFS('Teacher Rankings'!B:B,$A141,'Teacher Rankings'!A:A,"&gt;="&amp;$B$4,'Teacher Rankings'!A:A,"&lt;="&amp;$B$5))</f>
        <v/>
      </c>
      <c r="D141">
        <f>IF($C141=0,"",ROUND(AVERAGEIFS('Teacher Rankings'!I:I,'Teacher Rankings'!B:B,$A141,'Teacher Rankings'!A:A,"&gt;="&amp;$B$4,'Teacher Rankings'!A:A,"&lt;="&amp;$B$5),0))</f>
        <v/>
      </c>
      <c r="E141">
        <f>IF($C141=0,"",IFERROR(INDEX('Teacher Rankings'!I:I,MATCH(1,('Teacher Rankings'!B:B=$A141)*('Teacher Rankings'!A:A=$B$5),0)),0) - IFERROR(INDEX('Teacher Rankings'!I:I,MATCH(1,('Teacher Rankings'!B:B=$A141)*('Teacher Rankings'!A:A=$B$4),0)),0))</f>
        <v/>
      </c>
      <c r="F141">
        <f>IF($C141=0,"",ROUND(100*COUNTIFS('Teacher Rankings'!B:B,$A141,'Teacher Rankings'!A:A,"&gt;="&amp;$B$4,'Teacher Rankings'!A:A,"&lt;="&amp;$B$5,'Teacher Rankings'!F:F,20)/$C141,0))</f>
        <v/>
      </c>
      <c r="G141">
        <f>IF($C141=0,"",ROUND(100*COUNTIFS('Teacher Rankings'!B:B,$A141,'Teacher Rankings'!A:A,"&gt;="&amp;$B$4,'Teacher Rankings'!A:A,"&lt;="&amp;$B$5,'Teacher Rankings'!D:D,20)/$C141,0))</f>
        <v/>
      </c>
      <c r="H141">
        <f>IF($C141=0,"",ROUND(100*COUNTIFS('Teacher Rankings'!B:B,$A141,'Teacher Rankings'!A:A,"&gt;="&amp;$B$4,'Teacher Rankings'!A:A,"&lt;="&amp;$B$5,'Teacher Rankings'!H:H,20)/$C141,0))</f>
        <v/>
      </c>
      <c r="I141">
        <f>IF($C141=0,"",ROUND(100*COUNTIFS('Teacher Rankings'!B:B,$A141,'Teacher Rankings'!A:A,"&gt;="&amp;$B$4,'Teacher Rankings'!A:A,"&lt;="&amp;$B$5,'Teacher Rankings'!G:G,20)/$C141,0))</f>
        <v/>
      </c>
    </row>
    <row r="142">
      <c r="A142">
        <f>IF(Teachers!A136="","",Teachers!A136)</f>
        <v/>
      </c>
      <c r="B142">
        <f>IF($A142="","",Teachers!B136)</f>
        <v/>
      </c>
      <c r="C142">
        <f>IF($A142="","",COUNTIFS('Teacher Rankings'!B:B,$A142,'Teacher Rankings'!A:A,"&gt;="&amp;$B$4,'Teacher Rankings'!A:A,"&lt;="&amp;$B$5))</f>
        <v/>
      </c>
      <c r="D142">
        <f>IF($C142=0,"",ROUND(AVERAGEIFS('Teacher Rankings'!I:I,'Teacher Rankings'!B:B,$A142,'Teacher Rankings'!A:A,"&gt;="&amp;$B$4,'Teacher Rankings'!A:A,"&lt;="&amp;$B$5),0))</f>
        <v/>
      </c>
      <c r="E142">
        <f>IF($C142=0,"",IFERROR(INDEX('Teacher Rankings'!I:I,MATCH(1,('Teacher Rankings'!B:B=$A142)*('Teacher Rankings'!A:A=$B$5),0)),0) - IFERROR(INDEX('Teacher Rankings'!I:I,MATCH(1,('Teacher Rankings'!B:B=$A142)*('Teacher Rankings'!A:A=$B$4),0)),0))</f>
        <v/>
      </c>
      <c r="F142">
        <f>IF($C142=0,"",ROUND(100*COUNTIFS('Teacher Rankings'!B:B,$A142,'Teacher Rankings'!A:A,"&gt;="&amp;$B$4,'Teacher Rankings'!A:A,"&lt;="&amp;$B$5,'Teacher Rankings'!F:F,20)/$C142,0))</f>
        <v/>
      </c>
      <c r="G142">
        <f>IF($C142=0,"",ROUND(100*COUNTIFS('Teacher Rankings'!B:B,$A142,'Teacher Rankings'!A:A,"&gt;="&amp;$B$4,'Teacher Rankings'!A:A,"&lt;="&amp;$B$5,'Teacher Rankings'!D:D,20)/$C142,0))</f>
        <v/>
      </c>
      <c r="H142">
        <f>IF($C142=0,"",ROUND(100*COUNTIFS('Teacher Rankings'!B:B,$A142,'Teacher Rankings'!A:A,"&gt;="&amp;$B$4,'Teacher Rankings'!A:A,"&lt;="&amp;$B$5,'Teacher Rankings'!H:H,20)/$C142,0))</f>
        <v/>
      </c>
      <c r="I142">
        <f>IF($C142=0,"",ROUND(100*COUNTIFS('Teacher Rankings'!B:B,$A142,'Teacher Rankings'!A:A,"&gt;="&amp;$B$4,'Teacher Rankings'!A:A,"&lt;="&amp;$B$5,'Teacher Rankings'!G:G,20)/$C142,0))</f>
        <v/>
      </c>
    </row>
    <row r="143">
      <c r="A143">
        <f>IF(Teachers!A137="","",Teachers!A137)</f>
        <v/>
      </c>
      <c r="B143">
        <f>IF($A143="","",Teachers!B137)</f>
        <v/>
      </c>
      <c r="C143">
        <f>IF($A143="","",COUNTIFS('Teacher Rankings'!B:B,$A143,'Teacher Rankings'!A:A,"&gt;="&amp;$B$4,'Teacher Rankings'!A:A,"&lt;="&amp;$B$5))</f>
        <v/>
      </c>
      <c r="D143">
        <f>IF($C143=0,"",ROUND(AVERAGEIFS('Teacher Rankings'!I:I,'Teacher Rankings'!B:B,$A143,'Teacher Rankings'!A:A,"&gt;="&amp;$B$4,'Teacher Rankings'!A:A,"&lt;="&amp;$B$5),0))</f>
        <v/>
      </c>
      <c r="E143">
        <f>IF($C143=0,"",IFERROR(INDEX('Teacher Rankings'!I:I,MATCH(1,('Teacher Rankings'!B:B=$A143)*('Teacher Rankings'!A:A=$B$5),0)),0) - IFERROR(INDEX('Teacher Rankings'!I:I,MATCH(1,('Teacher Rankings'!B:B=$A143)*('Teacher Rankings'!A:A=$B$4),0)),0))</f>
        <v/>
      </c>
      <c r="F143">
        <f>IF($C143=0,"",ROUND(100*COUNTIFS('Teacher Rankings'!B:B,$A143,'Teacher Rankings'!A:A,"&gt;="&amp;$B$4,'Teacher Rankings'!A:A,"&lt;="&amp;$B$5,'Teacher Rankings'!F:F,20)/$C143,0))</f>
        <v/>
      </c>
      <c r="G143">
        <f>IF($C143=0,"",ROUND(100*COUNTIFS('Teacher Rankings'!B:B,$A143,'Teacher Rankings'!A:A,"&gt;="&amp;$B$4,'Teacher Rankings'!A:A,"&lt;="&amp;$B$5,'Teacher Rankings'!D:D,20)/$C143,0))</f>
        <v/>
      </c>
      <c r="H143">
        <f>IF($C143=0,"",ROUND(100*COUNTIFS('Teacher Rankings'!B:B,$A143,'Teacher Rankings'!A:A,"&gt;="&amp;$B$4,'Teacher Rankings'!A:A,"&lt;="&amp;$B$5,'Teacher Rankings'!H:H,20)/$C143,0))</f>
        <v/>
      </c>
      <c r="I143">
        <f>IF($C143=0,"",ROUND(100*COUNTIFS('Teacher Rankings'!B:B,$A143,'Teacher Rankings'!A:A,"&gt;="&amp;$B$4,'Teacher Rankings'!A:A,"&lt;="&amp;$B$5,'Teacher Rankings'!G:G,20)/$C143,0))</f>
        <v/>
      </c>
    </row>
    <row r="144">
      <c r="A144">
        <f>IF(Teachers!A138="","",Teachers!A138)</f>
        <v/>
      </c>
      <c r="B144">
        <f>IF($A144="","",Teachers!B138)</f>
        <v/>
      </c>
      <c r="C144">
        <f>IF($A144="","",COUNTIFS('Teacher Rankings'!B:B,$A144,'Teacher Rankings'!A:A,"&gt;="&amp;$B$4,'Teacher Rankings'!A:A,"&lt;="&amp;$B$5))</f>
        <v/>
      </c>
      <c r="D144">
        <f>IF($C144=0,"",ROUND(AVERAGEIFS('Teacher Rankings'!I:I,'Teacher Rankings'!B:B,$A144,'Teacher Rankings'!A:A,"&gt;="&amp;$B$4,'Teacher Rankings'!A:A,"&lt;="&amp;$B$5),0))</f>
        <v/>
      </c>
      <c r="E144">
        <f>IF($C144=0,"",IFERROR(INDEX('Teacher Rankings'!I:I,MATCH(1,('Teacher Rankings'!B:B=$A144)*('Teacher Rankings'!A:A=$B$5),0)),0) - IFERROR(INDEX('Teacher Rankings'!I:I,MATCH(1,('Teacher Rankings'!B:B=$A144)*('Teacher Rankings'!A:A=$B$4),0)),0))</f>
        <v/>
      </c>
      <c r="F144">
        <f>IF($C144=0,"",ROUND(100*COUNTIFS('Teacher Rankings'!B:B,$A144,'Teacher Rankings'!A:A,"&gt;="&amp;$B$4,'Teacher Rankings'!A:A,"&lt;="&amp;$B$5,'Teacher Rankings'!F:F,20)/$C144,0))</f>
        <v/>
      </c>
      <c r="G144">
        <f>IF($C144=0,"",ROUND(100*COUNTIFS('Teacher Rankings'!B:B,$A144,'Teacher Rankings'!A:A,"&gt;="&amp;$B$4,'Teacher Rankings'!A:A,"&lt;="&amp;$B$5,'Teacher Rankings'!D:D,20)/$C144,0))</f>
        <v/>
      </c>
      <c r="H144">
        <f>IF($C144=0,"",ROUND(100*COUNTIFS('Teacher Rankings'!B:B,$A144,'Teacher Rankings'!A:A,"&gt;="&amp;$B$4,'Teacher Rankings'!A:A,"&lt;="&amp;$B$5,'Teacher Rankings'!H:H,20)/$C144,0))</f>
        <v/>
      </c>
      <c r="I144">
        <f>IF($C144=0,"",ROUND(100*COUNTIFS('Teacher Rankings'!B:B,$A144,'Teacher Rankings'!A:A,"&gt;="&amp;$B$4,'Teacher Rankings'!A:A,"&lt;="&amp;$B$5,'Teacher Rankings'!G:G,20)/$C144,0))</f>
        <v/>
      </c>
    </row>
    <row r="145">
      <c r="A145">
        <f>IF(Teachers!A139="","",Teachers!A139)</f>
        <v/>
      </c>
      <c r="B145">
        <f>IF($A145="","",Teachers!B139)</f>
        <v/>
      </c>
      <c r="C145">
        <f>IF($A145="","",COUNTIFS('Teacher Rankings'!B:B,$A145,'Teacher Rankings'!A:A,"&gt;="&amp;$B$4,'Teacher Rankings'!A:A,"&lt;="&amp;$B$5))</f>
        <v/>
      </c>
      <c r="D145">
        <f>IF($C145=0,"",ROUND(AVERAGEIFS('Teacher Rankings'!I:I,'Teacher Rankings'!B:B,$A145,'Teacher Rankings'!A:A,"&gt;="&amp;$B$4,'Teacher Rankings'!A:A,"&lt;="&amp;$B$5),0))</f>
        <v/>
      </c>
      <c r="E145">
        <f>IF($C145=0,"",IFERROR(INDEX('Teacher Rankings'!I:I,MATCH(1,('Teacher Rankings'!B:B=$A145)*('Teacher Rankings'!A:A=$B$5),0)),0) - IFERROR(INDEX('Teacher Rankings'!I:I,MATCH(1,('Teacher Rankings'!B:B=$A145)*('Teacher Rankings'!A:A=$B$4),0)),0))</f>
        <v/>
      </c>
      <c r="F145">
        <f>IF($C145=0,"",ROUND(100*COUNTIFS('Teacher Rankings'!B:B,$A145,'Teacher Rankings'!A:A,"&gt;="&amp;$B$4,'Teacher Rankings'!A:A,"&lt;="&amp;$B$5,'Teacher Rankings'!F:F,20)/$C145,0))</f>
        <v/>
      </c>
      <c r="G145">
        <f>IF($C145=0,"",ROUND(100*COUNTIFS('Teacher Rankings'!B:B,$A145,'Teacher Rankings'!A:A,"&gt;="&amp;$B$4,'Teacher Rankings'!A:A,"&lt;="&amp;$B$5,'Teacher Rankings'!D:D,20)/$C145,0))</f>
        <v/>
      </c>
      <c r="H145">
        <f>IF($C145=0,"",ROUND(100*COUNTIFS('Teacher Rankings'!B:B,$A145,'Teacher Rankings'!A:A,"&gt;="&amp;$B$4,'Teacher Rankings'!A:A,"&lt;="&amp;$B$5,'Teacher Rankings'!H:H,20)/$C145,0))</f>
        <v/>
      </c>
      <c r="I145">
        <f>IF($C145=0,"",ROUND(100*COUNTIFS('Teacher Rankings'!B:B,$A145,'Teacher Rankings'!A:A,"&gt;="&amp;$B$4,'Teacher Rankings'!A:A,"&lt;="&amp;$B$5,'Teacher Rankings'!G:G,20)/$C145,0))</f>
        <v/>
      </c>
    </row>
    <row r="146">
      <c r="A146">
        <f>IF(Teachers!A140="","",Teachers!A140)</f>
        <v/>
      </c>
      <c r="B146">
        <f>IF($A146="","",Teachers!B140)</f>
        <v/>
      </c>
      <c r="C146">
        <f>IF($A146="","",COUNTIFS('Teacher Rankings'!B:B,$A146,'Teacher Rankings'!A:A,"&gt;="&amp;$B$4,'Teacher Rankings'!A:A,"&lt;="&amp;$B$5))</f>
        <v/>
      </c>
      <c r="D146">
        <f>IF($C146=0,"",ROUND(AVERAGEIFS('Teacher Rankings'!I:I,'Teacher Rankings'!B:B,$A146,'Teacher Rankings'!A:A,"&gt;="&amp;$B$4,'Teacher Rankings'!A:A,"&lt;="&amp;$B$5),0))</f>
        <v/>
      </c>
      <c r="E146">
        <f>IF($C146=0,"",IFERROR(INDEX('Teacher Rankings'!I:I,MATCH(1,('Teacher Rankings'!B:B=$A146)*('Teacher Rankings'!A:A=$B$5),0)),0) - IFERROR(INDEX('Teacher Rankings'!I:I,MATCH(1,('Teacher Rankings'!B:B=$A146)*('Teacher Rankings'!A:A=$B$4),0)),0))</f>
        <v/>
      </c>
      <c r="F146">
        <f>IF($C146=0,"",ROUND(100*COUNTIFS('Teacher Rankings'!B:B,$A146,'Teacher Rankings'!A:A,"&gt;="&amp;$B$4,'Teacher Rankings'!A:A,"&lt;="&amp;$B$5,'Teacher Rankings'!F:F,20)/$C146,0))</f>
        <v/>
      </c>
      <c r="G146">
        <f>IF($C146=0,"",ROUND(100*COUNTIFS('Teacher Rankings'!B:B,$A146,'Teacher Rankings'!A:A,"&gt;="&amp;$B$4,'Teacher Rankings'!A:A,"&lt;="&amp;$B$5,'Teacher Rankings'!D:D,20)/$C146,0))</f>
        <v/>
      </c>
      <c r="H146">
        <f>IF($C146=0,"",ROUND(100*COUNTIFS('Teacher Rankings'!B:B,$A146,'Teacher Rankings'!A:A,"&gt;="&amp;$B$4,'Teacher Rankings'!A:A,"&lt;="&amp;$B$5,'Teacher Rankings'!H:H,20)/$C146,0))</f>
        <v/>
      </c>
      <c r="I146">
        <f>IF($C146=0,"",ROUND(100*COUNTIFS('Teacher Rankings'!B:B,$A146,'Teacher Rankings'!A:A,"&gt;="&amp;$B$4,'Teacher Rankings'!A:A,"&lt;="&amp;$B$5,'Teacher Rankings'!G:G,20)/$C146,0))</f>
        <v/>
      </c>
    </row>
    <row r="147">
      <c r="A147">
        <f>IF(Teachers!A141="","",Teachers!A141)</f>
        <v/>
      </c>
      <c r="B147">
        <f>IF($A147="","",Teachers!B141)</f>
        <v/>
      </c>
      <c r="C147">
        <f>IF($A147="","",COUNTIFS('Teacher Rankings'!B:B,$A147,'Teacher Rankings'!A:A,"&gt;="&amp;$B$4,'Teacher Rankings'!A:A,"&lt;="&amp;$B$5))</f>
        <v/>
      </c>
      <c r="D147">
        <f>IF($C147=0,"",ROUND(AVERAGEIFS('Teacher Rankings'!I:I,'Teacher Rankings'!B:B,$A147,'Teacher Rankings'!A:A,"&gt;="&amp;$B$4,'Teacher Rankings'!A:A,"&lt;="&amp;$B$5),0))</f>
        <v/>
      </c>
      <c r="E147">
        <f>IF($C147=0,"",IFERROR(INDEX('Teacher Rankings'!I:I,MATCH(1,('Teacher Rankings'!B:B=$A147)*('Teacher Rankings'!A:A=$B$5),0)),0) - IFERROR(INDEX('Teacher Rankings'!I:I,MATCH(1,('Teacher Rankings'!B:B=$A147)*('Teacher Rankings'!A:A=$B$4),0)),0))</f>
        <v/>
      </c>
      <c r="F147">
        <f>IF($C147=0,"",ROUND(100*COUNTIFS('Teacher Rankings'!B:B,$A147,'Teacher Rankings'!A:A,"&gt;="&amp;$B$4,'Teacher Rankings'!A:A,"&lt;="&amp;$B$5,'Teacher Rankings'!F:F,20)/$C147,0))</f>
        <v/>
      </c>
      <c r="G147">
        <f>IF($C147=0,"",ROUND(100*COUNTIFS('Teacher Rankings'!B:B,$A147,'Teacher Rankings'!A:A,"&gt;="&amp;$B$4,'Teacher Rankings'!A:A,"&lt;="&amp;$B$5,'Teacher Rankings'!D:D,20)/$C147,0))</f>
        <v/>
      </c>
      <c r="H147">
        <f>IF($C147=0,"",ROUND(100*COUNTIFS('Teacher Rankings'!B:B,$A147,'Teacher Rankings'!A:A,"&gt;="&amp;$B$4,'Teacher Rankings'!A:A,"&lt;="&amp;$B$5,'Teacher Rankings'!H:H,20)/$C147,0))</f>
        <v/>
      </c>
      <c r="I147">
        <f>IF($C147=0,"",ROUND(100*COUNTIFS('Teacher Rankings'!B:B,$A147,'Teacher Rankings'!A:A,"&gt;="&amp;$B$4,'Teacher Rankings'!A:A,"&lt;="&amp;$B$5,'Teacher Rankings'!G:G,20)/$C147,0))</f>
        <v/>
      </c>
    </row>
    <row r="148">
      <c r="A148">
        <f>IF(Teachers!A142="","",Teachers!A142)</f>
        <v/>
      </c>
      <c r="B148">
        <f>IF($A148="","",Teachers!B142)</f>
        <v/>
      </c>
      <c r="C148">
        <f>IF($A148="","",COUNTIFS('Teacher Rankings'!B:B,$A148,'Teacher Rankings'!A:A,"&gt;="&amp;$B$4,'Teacher Rankings'!A:A,"&lt;="&amp;$B$5))</f>
        <v/>
      </c>
      <c r="D148">
        <f>IF($C148=0,"",ROUND(AVERAGEIFS('Teacher Rankings'!I:I,'Teacher Rankings'!B:B,$A148,'Teacher Rankings'!A:A,"&gt;="&amp;$B$4,'Teacher Rankings'!A:A,"&lt;="&amp;$B$5),0))</f>
        <v/>
      </c>
      <c r="E148">
        <f>IF($C148=0,"",IFERROR(INDEX('Teacher Rankings'!I:I,MATCH(1,('Teacher Rankings'!B:B=$A148)*('Teacher Rankings'!A:A=$B$5),0)),0) - IFERROR(INDEX('Teacher Rankings'!I:I,MATCH(1,('Teacher Rankings'!B:B=$A148)*('Teacher Rankings'!A:A=$B$4),0)),0))</f>
        <v/>
      </c>
      <c r="F148">
        <f>IF($C148=0,"",ROUND(100*COUNTIFS('Teacher Rankings'!B:B,$A148,'Teacher Rankings'!A:A,"&gt;="&amp;$B$4,'Teacher Rankings'!A:A,"&lt;="&amp;$B$5,'Teacher Rankings'!F:F,20)/$C148,0))</f>
        <v/>
      </c>
      <c r="G148">
        <f>IF($C148=0,"",ROUND(100*COUNTIFS('Teacher Rankings'!B:B,$A148,'Teacher Rankings'!A:A,"&gt;="&amp;$B$4,'Teacher Rankings'!A:A,"&lt;="&amp;$B$5,'Teacher Rankings'!D:D,20)/$C148,0))</f>
        <v/>
      </c>
      <c r="H148">
        <f>IF($C148=0,"",ROUND(100*COUNTIFS('Teacher Rankings'!B:B,$A148,'Teacher Rankings'!A:A,"&gt;="&amp;$B$4,'Teacher Rankings'!A:A,"&lt;="&amp;$B$5,'Teacher Rankings'!H:H,20)/$C148,0))</f>
        <v/>
      </c>
      <c r="I148">
        <f>IF($C148=0,"",ROUND(100*COUNTIFS('Teacher Rankings'!B:B,$A148,'Teacher Rankings'!A:A,"&gt;="&amp;$B$4,'Teacher Rankings'!A:A,"&lt;="&amp;$B$5,'Teacher Rankings'!G:G,20)/$C148,0))</f>
        <v/>
      </c>
    </row>
    <row r="149">
      <c r="A149">
        <f>IF(Teachers!A143="","",Teachers!A143)</f>
        <v/>
      </c>
      <c r="B149">
        <f>IF($A149="","",Teachers!B143)</f>
        <v/>
      </c>
      <c r="C149">
        <f>IF($A149="","",COUNTIFS('Teacher Rankings'!B:B,$A149,'Teacher Rankings'!A:A,"&gt;="&amp;$B$4,'Teacher Rankings'!A:A,"&lt;="&amp;$B$5))</f>
        <v/>
      </c>
      <c r="D149">
        <f>IF($C149=0,"",ROUND(AVERAGEIFS('Teacher Rankings'!I:I,'Teacher Rankings'!B:B,$A149,'Teacher Rankings'!A:A,"&gt;="&amp;$B$4,'Teacher Rankings'!A:A,"&lt;="&amp;$B$5),0))</f>
        <v/>
      </c>
      <c r="E149">
        <f>IF($C149=0,"",IFERROR(INDEX('Teacher Rankings'!I:I,MATCH(1,('Teacher Rankings'!B:B=$A149)*('Teacher Rankings'!A:A=$B$5),0)),0) - IFERROR(INDEX('Teacher Rankings'!I:I,MATCH(1,('Teacher Rankings'!B:B=$A149)*('Teacher Rankings'!A:A=$B$4),0)),0))</f>
        <v/>
      </c>
      <c r="F149">
        <f>IF($C149=0,"",ROUND(100*COUNTIFS('Teacher Rankings'!B:B,$A149,'Teacher Rankings'!A:A,"&gt;="&amp;$B$4,'Teacher Rankings'!A:A,"&lt;="&amp;$B$5,'Teacher Rankings'!F:F,20)/$C149,0))</f>
        <v/>
      </c>
      <c r="G149">
        <f>IF($C149=0,"",ROUND(100*COUNTIFS('Teacher Rankings'!B:B,$A149,'Teacher Rankings'!A:A,"&gt;="&amp;$B$4,'Teacher Rankings'!A:A,"&lt;="&amp;$B$5,'Teacher Rankings'!D:D,20)/$C149,0))</f>
        <v/>
      </c>
      <c r="H149">
        <f>IF($C149=0,"",ROUND(100*COUNTIFS('Teacher Rankings'!B:B,$A149,'Teacher Rankings'!A:A,"&gt;="&amp;$B$4,'Teacher Rankings'!A:A,"&lt;="&amp;$B$5,'Teacher Rankings'!H:H,20)/$C149,0))</f>
        <v/>
      </c>
      <c r="I149">
        <f>IF($C149=0,"",ROUND(100*COUNTIFS('Teacher Rankings'!B:B,$A149,'Teacher Rankings'!A:A,"&gt;="&amp;$B$4,'Teacher Rankings'!A:A,"&lt;="&amp;$B$5,'Teacher Rankings'!G:G,20)/$C149,0))</f>
        <v/>
      </c>
    </row>
    <row r="150">
      <c r="A150">
        <f>IF(Teachers!A144="","",Teachers!A144)</f>
        <v/>
      </c>
      <c r="B150">
        <f>IF($A150="","",Teachers!B144)</f>
        <v/>
      </c>
      <c r="C150">
        <f>IF($A150="","",COUNTIFS('Teacher Rankings'!B:B,$A150,'Teacher Rankings'!A:A,"&gt;="&amp;$B$4,'Teacher Rankings'!A:A,"&lt;="&amp;$B$5))</f>
        <v/>
      </c>
      <c r="D150">
        <f>IF($C150=0,"",ROUND(AVERAGEIFS('Teacher Rankings'!I:I,'Teacher Rankings'!B:B,$A150,'Teacher Rankings'!A:A,"&gt;="&amp;$B$4,'Teacher Rankings'!A:A,"&lt;="&amp;$B$5),0))</f>
        <v/>
      </c>
      <c r="E150">
        <f>IF($C150=0,"",IFERROR(INDEX('Teacher Rankings'!I:I,MATCH(1,('Teacher Rankings'!B:B=$A150)*('Teacher Rankings'!A:A=$B$5),0)),0) - IFERROR(INDEX('Teacher Rankings'!I:I,MATCH(1,('Teacher Rankings'!B:B=$A150)*('Teacher Rankings'!A:A=$B$4),0)),0))</f>
        <v/>
      </c>
      <c r="F150">
        <f>IF($C150=0,"",ROUND(100*COUNTIFS('Teacher Rankings'!B:B,$A150,'Teacher Rankings'!A:A,"&gt;="&amp;$B$4,'Teacher Rankings'!A:A,"&lt;="&amp;$B$5,'Teacher Rankings'!F:F,20)/$C150,0))</f>
        <v/>
      </c>
      <c r="G150">
        <f>IF($C150=0,"",ROUND(100*COUNTIFS('Teacher Rankings'!B:B,$A150,'Teacher Rankings'!A:A,"&gt;="&amp;$B$4,'Teacher Rankings'!A:A,"&lt;="&amp;$B$5,'Teacher Rankings'!D:D,20)/$C150,0))</f>
        <v/>
      </c>
      <c r="H150">
        <f>IF($C150=0,"",ROUND(100*COUNTIFS('Teacher Rankings'!B:B,$A150,'Teacher Rankings'!A:A,"&gt;="&amp;$B$4,'Teacher Rankings'!A:A,"&lt;="&amp;$B$5,'Teacher Rankings'!H:H,20)/$C150,0))</f>
        <v/>
      </c>
      <c r="I150">
        <f>IF($C150=0,"",ROUND(100*COUNTIFS('Teacher Rankings'!B:B,$A150,'Teacher Rankings'!A:A,"&gt;="&amp;$B$4,'Teacher Rankings'!A:A,"&lt;="&amp;$B$5,'Teacher Rankings'!G:G,20)/$C150,0))</f>
        <v/>
      </c>
    </row>
    <row r="151">
      <c r="A151">
        <f>IF(Teachers!A145="","",Teachers!A145)</f>
        <v/>
      </c>
      <c r="B151">
        <f>IF($A151="","",Teachers!B145)</f>
        <v/>
      </c>
      <c r="C151">
        <f>IF($A151="","",COUNTIFS('Teacher Rankings'!B:B,$A151,'Teacher Rankings'!A:A,"&gt;="&amp;$B$4,'Teacher Rankings'!A:A,"&lt;="&amp;$B$5))</f>
        <v/>
      </c>
      <c r="D151">
        <f>IF($C151=0,"",ROUND(AVERAGEIFS('Teacher Rankings'!I:I,'Teacher Rankings'!B:B,$A151,'Teacher Rankings'!A:A,"&gt;="&amp;$B$4,'Teacher Rankings'!A:A,"&lt;="&amp;$B$5),0))</f>
        <v/>
      </c>
      <c r="E151">
        <f>IF($C151=0,"",IFERROR(INDEX('Teacher Rankings'!I:I,MATCH(1,('Teacher Rankings'!B:B=$A151)*('Teacher Rankings'!A:A=$B$5),0)),0) - IFERROR(INDEX('Teacher Rankings'!I:I,MATCH(1,('Teacher Rankings'!B:B=$A151)*('Teacher Rankings'!A:A=$B$4),0)),0))</f>
        <v/>
      </c>
      <c r="F151">
        <f>IF($C151=0,"",ROUND(100*COUNTIFS('Teacher Rankings'!B:B,$A151,'Teacher Rankings'!A:A,"&gt;="&amp;$B$4,'Teacher Rankings'!A:A,"&lt;="&amp;$B$5,'Teacher Rankings'!F:F,20)/$C151,0))</f>
        <v/>
      </c>
      <c r="G151">
        <f>IF($C151=0,"",ROUND(100*COUNTIFS('Teacher Rankings'!B:B,$A151,'Teacher Rankings'!A:A,"&gt;="&amp;$B$4,'Teacher Rankings'!A:A,"&lt;="&amp;$B$5,'Teacher Rankings'!D:D,20)/$C151,0))</f>
        <v/>
      </c>
      <c r="H151">
        <f>IF($C151=0,"",ROUND(100*COUNTIFS('Teacher Rankings'!B:B,$A151,'Teacher Rankings'!A:A,"&gt;="&amp;$B$4,'Teacher Rankings'!A:A,"&lt;="&amp;$B$5,'Teacher Rankings'!H:H,20)/$C151,0))</f>
        <v/>
      </c>
      <c r="I151">
        <f>IF($C151=0,"",ROUND(100*COUNTIFS('Teacher Rankings'!B:B,$A151,'Teacher Rankings'!A:A,"&gt;="&amp;$B$4,'Teacher Rankings'!A:A,"&lt;="&amp;$B$5,'Teacher Rankings'!G:G,20)/$C151,0))</f>
        <v/>
      </c>
    </row>
    <row r="152">
      <c r="A152">
        <f>IF(Teachers!A146="","",Teachers!A146)</f>
        <v/>
      </c>
      <c r="B152">
        <f>IF($A152="","",Teachers!B146)</f>
        <v/>
      </c>
      <c r="C152">
        <f>IF($A152="","",COUNTIFS('Teacher Rankings'!B:B,$A152,'Teacher Rankings'!A:A,"&gt;="&amp;$B$4,'Teacher Rankings'!A:A,"&lt;="&amp;$B$5))</f>
        <v/>
      </c>
      <c r="D152">
        <f>IF($C152=0,"",ROUND(AVERAGEIFS('Teacher Rankings'!I:I,'Teacher Rankings'!B:B,$A152,'Teacher Rankings'!A:A,"&gt;="&amp;$B$4,'Teacher Rankings'!A:A,"&lt;="&amp;$B$5),0))</f>
        <v/>
      </c>
      <c r="E152">
        <f>IF($C152=0,"",IFERROR(INDEX('Teacher Rankings'!I:I,MATCH(1,('Teacher Rankings'!B:B=$A152)*('Teacher Rankings'!A:A=$B$5),0)),0) - IFERROR(INDEX('Teacher Rankings'!I:I,MATCH(1,('Teacher Rankings'!B:B=$A152)*('Teacher Rankings'!A:A=$B$4),0)),0))</f>
        <v/>
      </c>
      <c r="F152">
        <f>IF($C152=0,"",ROUND(100*COUNTIFS('Teacher Rankings'!B:B,$A152,'Teacher Rankings'!A:A,"&gt;="&amp;$B$4,'Teacher Rankings'!A:A,"&lt;="&amp;$B$5,'Teacher Rankings'!F:F,20)/$C152,0))</f>
        <v/>
      </c>
      <c r="G152">
        <f>IF($C152=0,"",ROUND(100*COUNTIFS('Teacher Rankings'!B:B,$A152,'Teacher Rankings'!A:A,"&gt;="&amp;$B$4,'Teacher Rankings'!A:A,"&lt;="&amp;$B$5,'Teacher Rankings'!D:D,20)/$C152,0))</f>
        <v/>
      </c>
      <c r="H152">
        <f>IF($C152=0,"",ROUND(100*COUNTIFS('Teacher Rankings'!B:B,$A152,'Teacher Rankings'!A:A,"&gt;="&amp;$B$4,'Teacher Rankings'!A:A,"&lt;="&amp;$B$5,'Teacher Rankings'!H:H,20)/$C152,0))</f>
        <v/>
      </c>
      <c r="I152">
        <f>IF($C152=0,"",ROUND(100*COUNTIFS('Teacher Rankings'!B:B,$A152,'Teacher Rankings'!A:A,"&gt;="&amp;$B$4,'Teacher Rankings'!A:A,"&lt;="&amp;$B$5,'Teacher Rankings'!G:G,20)/$C152,0))</f>
        <v/>
      </c>
    </row>
    <row r="153">
      <c r="A153">
        <f>IF(Teachers!A147="","",Teachers!A147)</f>
        <v/>
      </c>
      <c r="B153">
        <f>IF($A153="","",Teachers!B147)</f>
        <v/>
      </c>
      <c r="C153">
        <f>IF($A153="","",COUNTIFS('Teacher Rankings'!B:B,$A153,'Teacher Rankings'!A:A,"&gt;="&amp;$B$4,'Teacher Rankings'!A:A,"&lt;="&amp;$B$5))</f>
        <v/>
      </c>
      <c r="D153">
        <f>IF($C153=0,"",ROUND(AVERAGEIFS('Teacher Rankings'!I:I,'Teacher Rankings'!B:B,$A153,'Teacher Rankings'!A:A,"&gt;="&amp;$B$4,'Teacher Rankings'!A:A,"&lt;="&amp;$B$5),0))</f>
        <v/>
      </c>
      <c r="E153">
        <f>IF($C153=0,"",IFERROR(INDEX('Teacher Rankings'!I:I,MATCH(1,('Teacher Rankings'!B:B=$A153)*('Teacher Rankings'!A:A=$B$5),0)),0) - IFERROR(INDEX('Teacher Rankings'!I:I,MATCH(1,('Teacher Rankings'!B:B=$A153)*('Teacher Rankings'!A:A=$B$4),0)),0))</f>
        <v/>
      </c>
      <c r="F153">
        <f>IF($C153=0,"",ROUND(100*COUNTIFS('Teacher Rankings'!B:B,$A153,'Teacher Rankings'!A:A,"&gt;="&amp;$B$4,'Teacher Rankings'!A:A,"&lt;="&amp;$B$5,'Teacher Rankings'!F:F,20)/$C153,0))</f>
        <v/>
      </c>
      <c r="G153">
        <f>IF($C153=0,"",ROUND(100*COUNTIFS('Teacher Rankings'!B:B,$A153,'Teacher Rankings'!A:A,"&gt;="&amp;$B$4,'Teacher Rankings'!A:A,"&lt;="&amp;$B$5,'Teacher Rankings'!D:D,20)/$C153,0))</f>
        <v/>
      </c>
      <c r="H153">
        <f>IF($C153=0,"",ROUND(100*COUNTIFS('Teacher Rankings'!B:B,$A153,'Teacher Rankings'!A:A,"&gt;="&amp;$B$4,'Teacher Rankings'!A:A,"&lt;="&amp;$B$5,'Teacher Rankings'!H:H,20)/$C153,0))</f>
        <v/>
      </c>
      <c r="I153">
        <f>IF($C153=0,"",ROUND(100*COUNTIFS('Teacher Rankings'!B:B,$A153,'Teacher Rankings'!A:A,"&gt;="&amp;$B$4,'Teacher Rankings'!A:A,"&lt;="&amp;$B$5,'Teacher Rankings'!G:G,20)/$C153,0))</f>
        <v/>
      </c>
    </row>
    <row r="154">
      <c r="A154">
        <f>IF(Teachers!A148="","",Teachers!A148)</f>
        <v/>
      </c>
      <c r="B154">
        <f>IF($A154="","",Teachers!B148)</f>
        <v/>
      </c>
      <c r="C154">
        <f>IF($A154="","",COUNTIFS('Teacher Rankings'!B:B,$A154,'Teacher Rankings'!A:A,"&gt;="&amp;$B$4,'Teacher Rankings'!A:A,"&lt;="&amp;$B$5))</f>
        <v/>
      </c>
      <c r="D154">
        <f>IF($C154=0,"",ROUND(AVERAGEIFS('Teacher Rankings'!I:I,'Teacher Rankings'!B:B,$A154,'Teacher Rankings'!A:A,"&gt;="&amp;$B$4,'Teacher Rankings'!A:A,"&lt;="&amp;$B$5),0))</f>
        <v/>
      </c>
      <c r="E154">
        <f>IF($C154=0,"",IFERROR(INDEX('Teacher Rankings'!I:I,MATCH(1,('Teacher Rankings'!B:B=$A154)*('Teacher Rankings'!A:A=$B$5),0)),0) - IFERROR(INDEX('Teacher Rankings'!I:I,MATCH(1,('Teacher Rankings'!B:B=$A154)*('Teacher Rankings'!A:A=$B$4),0)),0))</f>
        <v/>
      </c>
      <c r="F154">
        <f>IF($C154=0,"",ROUND(100*COUNTIFS('Teacher Rankings'!B:B,$A154,'Teacher Rankings'!A:A,"&gt;="&amp;$B$4,'Teacher Rankings'!A:A,"&lt;="&amp;$B$5,'Teacher Rankings'!F:F,20)/$C154,0))</f>
        <v/>
      </c>
      <c r="G154">
        <f>IF($C154=0,"",ROUND(100*COUNTIFS('Teacher Rankings'!B:B,$A154,'Teacher Rankings'!A:A,"&gt;="&amp;$B$4,'Teacher Rankings'!A:A,"&lt;="&amp;$B$5,'Teacher Rankings'!D:D,20)/$C154,0))</f>
        <v/>
      </c>
      <c r="H154">
        <f>IF($C154=0,"",ROUND(100*COUNTIFS('Teacher Rankings'!B:B,$A154,'Teacher Rankings'!A:A,"&gt;="&amp;$B$4,'Teacher Rankings'!A:A,"&lt;="&amp;$B$5,'Teacher Rankings'!H:H,20)/$C154,0))</f>
        <v/>
      </c>
      <c r="I154">
        <f>IF($C154=0,"",ROUND(100*COUNTIFS('Teacher Rankings'!B:B,$A154,'Teacher Rankings'!A:A,"&gt;="&amp;$B$4,'Teacher Rankings'!A:A,"&lt;="&amp;$B$5,'Teacher Rankings'!G:G,20)/$C154,0))</f>
        <v/>
      </c>
    </row>
    <row r="155">
      <c r="A155">
        <f>IF(Teachers!A149="","",Teachers!A149)</f>
        <v/>
      </c>
      <c r="B155">
        <f>IF($A155="","",Teachers!B149)</f>
        <v/>
      </c>
      <c r="C155">
        <f>IF($A155="","",COUNTIFS('Teacher Rankings'!B:B,$A155,'Teacher Rankings'!A:A,"&gt;="&amp;$B$4,'Teacher Rankings'!A:A,"&lt;="&amp;$B$5))</f>
        <v/>
      </c>
      <c r="D155">
        <f>IF($C155=0,"",ROUND(AVERAGEIFS('Teacher Rankings'!I:I,'Teacher Rankings'!B:B,$A155,'Teacher Rankings'!A:A,"&gt;="&amp;$B$4,'Teacher Rankings'!A:A,"&lt;="&amp;$B$5),0))</f>
        <v/>
      </c>
      <c r="E155">
        <f>IF($C155=0,"",IFERROR(INDEX('Teacher Rankings'!I:I,MATCH(1,('Teacher Rankings'!B:B=$A155)*('Teacher Rankings'!A:A=$B$5),0)),0) - IFERROR(INDEX('Teacher Rankings'!I:I,MATCH(1,('Teacher Rankings'!B:B=$A155)*('Teacher Rankings'!A:A=$B$4),0)),0))</f>
        <v/>
      </c>
      <c r="F155">
        <f>IF($C155=0,"",ROUND(100*COUNTIFS('Teacher Rankings'!B:B,$A155,'Teacher Rankings'!A:A,"&gt;="&amp;$B$4,'Teacher Rankings'!A:A,"&lt;="&amp;$B$5,'Teacher Rankings'!F:F,20)/$C155,0))</f>
        <v/>
      </c>
      <c r="G155">
        <f>IF($C155=0,"",ROUND(100*COUNTIFS('Teacher Rankings'!B:B,$A155,'Teacher Rankings'!A:A,"&gt;="&amp;$B$4,'Teacher Rankings'!A:A,"&lt;="&amp;$B$5,'Teacher Rankings'!D:D,20)/$C155,0))</f>
        <v/>
      </c>
      <c r="H155">
        <f>IF($C155=0,"",ROUND(100*COUNTIFS('Teacher Rankings'!B:B,$A155,'Teacher Rankings'!A:A,"&gt;="&amp;$B$4,'Teacher Rankings'!A:A,"&lt;="&amp;$B$5,'Teacher Rankings'!H:H,20)/$C155,0))</f>
        <v/>
      </c>
      <c r="I155">
        <f>IF($C155=0,"",ROUND(100*COUNTIFS('Teacher Rankings'!B:B,$A155,'Teacher Rankings'!A:A,"&gt;="&amp;$B$4,'Teacher Rankings'!A:A,"&lt;="&amp;$B$5,'Teacher Rankings'!G:G,20)/$C155,0))</f>
        <v/>
      </c>
    </row>
    <row r="156">
      <c r="A156">
        <f>IF(Teachers!A150="","",Teachers!A150)</f>
        <v/>
      </c>
      <c r="B156">
        <f>IF($A156="","",Teachers!B150)</f>
        <v/>
      </c>
      <c r="C156">
        <f>IF($A156="","",COUNTIFS('Teacher Rankings'!B:B,$A156,'Teacher Rankings'!A:A,"&gt;="&amp;$B$4,'Teacher Rankings'!A:A,"&lt;="&amp;$B$5))</f>
        <v/>
      </c>
      <c r="D156">
        <f>IF($C156=0,"",ROUND(AVERAGEIFS('Teacher Rankings'!I:I,'Teacher Rankings'!B:B,$A156,'Teacher Rankings'!A:A,"&gt;="&amp;$B$4,'Teacher Rankings'!A:A,"&lt;="&amp;$B$5),0))</f>
        <v/>
      </c>
      <c r="E156">
        <f>IF($C156=0,"",IFERROR(INDEX('Teacher Rankings'!I:I,MATCH(1,('Teacher Rankings'!B:B=$A156)*('Teacher Rankings'!A:A=$B$5),0)),0) - IFERROR(INDEX('Teacher Rankings'!I:I,MATCH(1,('Teacher Rankings'!B:B=$A156)*('Teacher Rankings'!A:A=$B$4),0)),0))</f>
        <v/>
      </c>
      <c r="F156">
        <f>IF($C156=0,"",ROUND(100*COUNTIFS('Teacher Rankings'!B:B,$A156,'Teacher Rankings'!A:A,"&gt;="&amp;$B$4,'Teacher Rankings'!A:A,"&lt;="&amp;$B$5,'Teacher Rankings'!F:F,20)/$C156,0))</f>
        <v/>
      </c>
      <c r="G156">
        <f>IF($C156=0,"",ROUND(100*COUNTIFS('Teacher Rankings'!B:B,$A156,'Teacher Rankings'!A:A,"&gt;="&amp;$B$4,'Teacher Rankings'!A:A,"&lt;="&amp;$B$5,'Teacher Rankings'!D:D,20)/$C156,0))</f>
        <v/>
      </c>
      <c r="H156">
        <f>IF($C156=0,"",ROUND(100*COUNTIFS('Teacher Rankings'!B:B,$A156,'Teacher Rankings'!A:A,"&gt;="&amp;$B$4,'Teacher Rankings'!A:A,"&lt;="&amp;$B$5,'Teacher Rankings'!H:H,20)/$C156,0))</f>
        <v/>
      </c>
      <c r="I156">
        <f>IF($C156=0,"",ROUND(100*COUNTIFS('Teacher Rankings'!B:B,$A156,'Teacher Rankings'!A:A,"&gt;="&amp;$B$4,'Teacher Rankings'!A:A,"&lt;="&amp;$B$5,'Teacher Rankings'!G:G,20)/$C156,0))</f>
        <v/>
      </c>
    </row>
    <row r="157">
      <c r="A157">
        <f>IF(Teachers!A151="","",Teachers!A151)</f>
        <v/>
      </c>
      <c r="B157">
        <f>IF($A157="","",Teachers!B151)</f>
        <v/>
      </c>
      <c r="C157">
        <f>IF($A157="","",COUNTIFS('Teacher Rankings'!B:B,$A157,'Teacher Rankings'!A:A,"&gt;="&amp;$B$4,'Teacher Rankings'!A:A,"&lt;="&amp;$B$5))</f>
        <v/>
      </c>
      <c r="D157">
        <f>IF($C157=0,"",ROUND(AVERAGEIFS('Teacher Rankings'!I:I,'Teacher Rankings'!B:B,$A157,'Teacher Rankings'!A:A,"&gt;="&amp;$B$4,'Teacher Rankings'!A:A,"&lt;="&amp;$B$5),0))</f>
        <v/>
      </c>
      <c r="E157">
        <f>IF($C157=0,"",IFERROR(INDEX('Teacher Rankings'!I:I,MATCH(1,('Teacher Rankings'!B:B=$A157)*('Teacher Rankings'!A:A=$B$5),0)),0) - IFERROR(INDEX('Teacher Rankings'!I:I,MATCH(1,('Teacher Rankings'!B:B=$A157)*('Teacher Rankings'!A:A=$B$4),0)),0))</f>
        <v/>
      </c>
      <c r="F157">
        <f>IF($C157=0,"",ROUND(100*COUNTIFS('Teacher Rankings'!B:B,$A157,'Teacher Rankings'!A:A,"&gt;="&amp;$B$4,'Teacher Rankings'!A:A,"&lt;="&amp;$B$5,'Teacher Rankings'!F:F,20)/$C157,0))</f>
        <v/>
      </c>
      <c r="G157">
        <f>IF($C157=0,"",ROUND(100*COUNTIFS('Teacher Rankings'!B:B,$A157,'Teacher Rankings'!A:A,"&gt;="&amp;$B$4,'Teacher Rankings'!A:A,"&lt;="&amp;$B$5,'Teacher Rankings'!D:D,20)/$C157,0))</f>
        <v/>
      </c>
      <c r="H157">
        <f>IF($C157=0,"",ROUND(100*COUNTIFS('Teacher Rankings'!B:B,$A157,'Teacher Rankings'!A:A,"&gt;="&amp;$B$4,'Teacher Rankings'!A:A,"&lt;="&amp;$B$5,'Teacher Rankings'!H:H,20)/$C157,0))</f>
        <v/>
      </c>
      <c r="I157">
        <f>IF($C157=0,"",ROUND(100*COUNTIFS('Teacher Rankings'!B:B,$A157,'Teacher Rankings'!A:A,"&gt;="&amp;$B$4,'Teacher Rankings'!A:A,"&lt;="&amp;$B$5,'Teacher Rankings'!G:G,20)/$C157,0))</f>
        <v/>
      </c>
    </row>
    <row r="158">
      <c r="A158">
        <f>IF(Teachers!A152="","",Teachers!A152)</f>
        <v/>
      </c>
      <c r="B158">
        <f>IF($A158="","",Teachers!B152)</f>
        <v/>
      </c>
      <c r="C158">
        <f>IF($A158="","",COUNTIFS('Teacher Rankings'!B:B,$A158,'Teacher Rankings'!A:A,"&gt;="&amp;$B$4,'Teacher Rankings'!A:A,"&lt;="&amp;$B$5))</f>
        <v/>
      </c>
      <c r="D158">
        <f>IF($C158=0,"",ROUND(AVERAGEIFS('Teacher Rankings'!I:I,'Teacher Rankings'!B:B,$A158,'Teacher Rankings'!A:A,"&gt;="&amp;$B$4,'Teacher Rankings'!A:A,"&lt;="&amp;$B$5),0))</f>
        <v/>
      </c>
      <c r="E158">
        <f>IF($C158=0,"",IFERROR(INDEX('Teacher Rankings'!I:I,MATCH(1,('Teacher Rankings'!B:B=$A158)*('Teacher Rankings'!A:A=$B$5),0)),0) - IFERROR(INDEX('Teacher Rankings'!I:I,MATCH(1,('Teacher Rankings'!B:B=$A158)*('Teacher Rankings'!A:A=$B$4),0)),0))</f>
        <v/>
      </c>
      <c r="F158">
        <f>IF($C158=0,"",ROUND(100*COUNTIFS('Teacher Rankings'!B:B,$A158,'Teacher Rankings'!A:A,"&gt;="&amp;$B$4,'Teacher Rankings'!A:A,"&lt;="&amp;$B$5,'Teacher Rankings'!F:F,20)/$C158,0))</f>
        <v/>
      </c>
      <c r="G158">
        <f>IF($C158=0,"",ROUND(100*COUNTIFS('Teacher Rankings'!B:B,$A158,'Teacher Rankings'!A:A,"&gt;="&amp;$B$4,'Teacher Rankings'!A:A,"&lt;="&amp;$B$5,'Teacher Rankings'!D:D,20)/$C158,0))</f>
        <v/>
      </c>
      <c r="H158">
        <f>IF($C158=0,"",ROUND(100*COUNTIFS('Teacher Rankings'!B:B,$A158,'Teacher Rankings'!A:A,"&gt;="&amp;$B$4,'Teacher Rankings'!A:A,"&lt;="&amp;$B$5,'Teacher Rankings'!H:H,20)/$C158,0))</f>
        <v/>
      </c>
      <c r="I158">
        <f>IF($C158=0,"",ROUND(100*COUNTIFS('Teacher Rankings'!B:B,$A158,'Teacher Rankings'!A:A,"&gt;="&amp;$B$4,'Teacher Rankings'!A:A,"&lt;="&amp;$B$5,'Teacher Rankings'!G:G,20)/$C158,0))</f>
        <v/>
      </c>
    </row>
    <row r="159">
      <c r="A159">
        <f>IF(Teachers!A153="","",Teachers!A153)</f>
        <v/>
      </c>
      <c r="B159">
        <f>IF($A159="","",Teachers!B153)</f>
        <v/>
      </c>
      <c r="C159">
        <f>IF($A159="","",COUNTIFS('Teacher Rankings'!B:B,$A159,'Teacher Rankings'!A:A,"&gt;="&amp;$B$4,'Teacher Rankings'!A:A,"&lt;="&amp;$B$5))</f>
        <v/>
      </c>
      <c r="D159">
        <f>IF($C159=0,"",ROUND(AVERAGEIFS('Teacher Rankings'!I:I,'Teacher Rankings'!B:B,$A159,'Teacher Rankings'!A:A,"&gt;="&amp;$B$4,'Teacher Rankings'!A:A,"&lt;="&amp;$B$5),0))</f>
        <v/>
      </c>
      <c r="E159">
        <f>IF($C159=0,"",IFERROR(INDEX('Teacher Rankings'!I:I,MATCH(1,('Teacher Rankings'!B:B=$A159)*('Teacher Rankings'!A:A=$B$5),0)),0) - IFERROR(INDEX('Teacher Rankings'!I:I,MATCH(1,('Teacher Rankings'!B:B=$A159)*('Teacher Rankings'!A:A=$B$4),0)),0))</f>
        <v/>
      </c>
      <c r="F159">
        <f>IF($C159=0,"",ROUND(100*COUNTIFS('Teacher Rankings'!B:B,$A159,'Teacher Rankings'!A:A,"&gt;="&amp;$B$4,'Teacher Rankings'!A:A,"&lt;="&amp;$B$5,'Teacher Rankings'!F:F,20)/$C159,0))</f>
        <v/>
      </c>
      <c r="G159">
        <f>IF($C159=0,"",ROUND(100*COUNTIFS('Teacher Rankings'!B:B,$A159,'Teacher Rankings'!A:A,"&gt;="&amp;$B$4,'Teacher Rankings'!A:A,"&lt;="&amp;$B$5,'Teacher Rankings'!D:D,20)/$C159,0))</f>
        <v/>
      </c>
      <c r="H159">
        <f>IF($C159=0,"",ROUND(100*COUNTIFS('Teacher Rankings'!B:B,$A159,'Teacher Rankings'!A:A,"&gt;="&amp;$B$4,'Teacher Rankings'!A:A,"&lt;="&amp;$B$5,'Teacher Rankings'!H:H,20)/$C159,0))</f>
        <v/>
      </c>
      <c r="I159">
        <f>IF($C159=0,"",ROUND(100*COUNTIFS('Teacher Rankings'!B:B,$A159,'Teacher Rankings'!A:A,"&gt;="&amp;$B$4,'Teacher Rankings'!A:A,"&lt;="&amp;$B$5,'Teacher Rankings'!G:G,20)/$C159,0))</f>
        <v/>
      </c>
    </row>
    <row r="160">
      <c r="A160">
        <f>IF(Teachers!A154="","",Teachers!A154)</f>
        <v/>
      </c>
      <c r="B160">
        <f>IF($A160="","",Teachers!B154)</f>
        <v/>
      </c>
      <c r="C160">
        <f>IF($A160="","",COUNTIFS('Teacher Rankings'!B:B,$A160,'Teacher Rankings'!A:A,"&gt;="&amp;$B$4,'Teacher Rankings'!A:A,"&lt;="&amp;$B$5))</f>
        <v/>
      </c>
      <c r="D160">
        <f>IF($C160=0,"",ROUND(AVERAGEIFS('Teacher Rankings'!I:I,'Teacher Rankings'!B:B,$A160,'Teacher Rankings'!A:A,"&gt;="&amp;$B$4,'Teacher Rankings'!A:A,"&lt;="&amp;$B$5),0))</f>
        <v/>
      </c>
      <c r="E160">
        <f>IF($C160=0,"",IFERROR(INDEX('Teacher Rankings'!I:I,MATCH(1,('Teacher Rankings'!B:B=$A160)*('Teacher Rankings'!A:A=$B$5),0)),0) - IFERROR(INDEX('Teacher Rankings'!I:I,MATCH(1,('Teacher Rankings'!B:B=$A160)*('Teacher Rankings'!A:A=$B$4),0)),0))</f>
        <v/>
      </c>
      <c r="F160">
        <f>IF($C160=0,"",ROUND(100*COUNTIFS('Teacher Rankings'!B:B,$A160,'Teacher Rankings'!A:A,"&gt;="&amp;$B$4,'Teacher Rankings'!A:A,"&lt;="&amp;$B$5,'Teacher Rankings'!F:F,20)/$C160,0))</f>
        <v/>
      </c>
      <c r="G160">
        <f>IF($C160=0,"",ROUND(100*COUNTIFS('Teacher Rankings'!B:B,$A160,'Teacher Rankings'!A:A,"&gt;="&amp;$B$4,'Teacher Rankings'!A:A,"&lt;="&amp;$B$5,'Teacher Rankings'!D:D,20)/$C160,0))</f>
        <v/>
      </c>
      <c r="H160">
        <f>IF($C160=0,"",ROUND(100*COUNTIFS('Teacher Rankings'!B:B,$A160,'Teacher Rankings'!A:A,"&gt;="&amp;$B$4,'Teacher Rankings'!A:A,"&lt;="&amp;$B$5,'Teacher Rankings'!H:H,20)/$C160,0))</f>
        <v/>
      </c>
      <c r="I160">
        <f>IF($C160=0,"",ROUND(100*COUNTIFS('Teacher Rankings'!B:B,$A160,'Teacher Rankings'!A:A,"&gt;="&amp;$B$4,'Teacher Rankings'!A:A,"&lt;="&amp;$B$5,'Teacher Rankings'!G:G,20)/$C160,0))</f>
        <v/>
      </c>
    </row>
    <row r="161">
      <c r="A161">
        <f>IF(Teachers!A155="","",Teachers!A155)</f>
        <v/>
      </c>
      <c r="B161">
        <f>IF($A161="","",Teachers!B155)</f>
        <v/>
      </c>
      <c r="C161">
        <f>IF($A161="","",COUNTIFS('Teacher Rankings'!B:B,$A161,'Teacher Rankings'!A:A,"&gt;="&amp;$B$4,'Teacher Rankings'!A:A,"&lt;="&amp;$B$5))</f>
        <v/>
      </c>
      <c r="D161">
        <f>IF($C161=0,"",ROUND(AVERAGEIFS('Teacher Rankings'!I:I,'Teacher Rankings'!B:B,$A161,'Teacher Rankings'!A:A,"&gt;="&amp;$B$4,'Teacher Rankings'!A:A,"&lt;="&amp;$B$5),0))</f>
        <v/>
      </c>
      <c r="E161">
        <f>IF($C161=0,"",IFERROR(INDEX('Teacher Rankings'!I:I,MATCH(1,('Teacher Rankings'!B:B=$A161)*('Teacher Rankings'!A:A=$B$5),0)),0) - IFERROR(INDEX('Teacher Rankings'!I:I,MATCH(1,('Teacher Rankings'!B:B=$A161)*('Teacher Rankings'!A:A=$B$4),0)),0))</f>
        <v/>
      </c>
      <c r="F161">
        <f>IF($C161=0,"",ROUND(100*COUNTIFS('Teacher Rankings'!B:B,$A161,'Teacher Rankings'!A:A,"&gt;="&amp;$B$4,'Teacher Rankings'!A:A,"&lt;="&amp;$B$5,'Teacher Rankings'!F:F,20)/$C161,0))</f>
        <v/>
      </c>
      <c r="G161">
        <f>IF($C161=0,"",ROUND(100*COUNTIFS('Teacher Rankings'!B:B,$A161,'Teacher Rankings'!A:A,"&gt;="&amp;$B$4,'Teacher Rankings'!A:A,"&lt;="&amp;$B$5,'Teacher Rankings'!D:D,20)/$C161,0))</f>
        <v/>
      </c>
      <c r="H161">
        <f>IF($C161=0,"",ROUND(100*COUNTIFS('Teacher Rankings'!B:B,$A161,'Teacher Rankings'!A:A,"&gt;="&amp;$B$4,'Teacher Rankings'!A:A,"&lt;="&amp;$B$5,'Teacher Rankings'!H:H,20)/$C161,0))</f>
        <v/>
      </c>
      <c r="I161">
        <f>IF($C161=0,"",ROUND(100*COUNTIFS('Teacher Rankings'!B:B,$A161,'Teacher Rankings'!A:A,"&gt;="&amp;$B$4,'Teacher Rankings'!A:A,"&lt;="&amp;$B$5,'Teacher Rankings'!G:G,20)/$C161,0))</f>
        <v/>
      </c>
    </row>
    <row r="162">
      <c r="A162">
        <f>IF(Teachers!A156="","",Teachers!A156)</f>
        <v/>
      </c>
      <c r="B162">
        <f>IF($A162="","",Teachers!B156)</f>
        <v/>
      </c>
      <c r="C162">
        <f>IF($A162="","",COUNTIFS('Teacher Rankings'!B:B,$A162,'Teacher Rankings'!A:A,"&gt;="&amp;$B$4,'Teacher Rankings'!A:A,"&lt;="&amp;$B$5))</f>
        <v/>
      </c>
      <c r="D162">
        <f>IF($C162=0,"",ROUND(AVERAGEIFS('Teacher Rankings'!I:I,'Teacher Rankings'!B:B,$A162,'Teacher Rankings'!A:A,"&gt;="&amp;$B$4,'Teacher Rankings'!A:A,"&lt;="&amp;$B$5),0))</f>
        <v/>
      </c>
      <c r="E162">
        <f>IF($C162=0,"",IFERROR(INDEX('Teacher Rankings'!I:I,MATCH(1,('Teacher Rankings'!B:B=$A162)*('Teacher Rankings'!A:A=$B$5),0)),0) - IFERROR(INDEX('Teacher Rankings'!I:I,MATCH(1,('Teacher Rankings'!B:B=$A162)*('Teacher Rankings'!A:A=$B$4),0)),0))</f>
        <v/>
      </c>
      <c r="F162">
        <f>IF($C162=0,"",ROUND(100*COUNTIFS('Teacher Rankings'!B:B,$A162,'Teacher Rankings'!A:A,"&gt;="&amp;$B$4,'Teacher Rankings'!A:A,"&lt;="&amp;$B$5,'Teacher Rankings'!F:F,20)/$C162,0))</f>
        <v/>
      </c>
      <c r="G162">
        <f>IF($C162=0,"",ROUND(100*COUNTIFS('Teacher Rankings'!B:B,$A162,'Teacher Rankings'!A:A,"&gt;="&amp;$B$4,'Teacher Rankings'!A:A,"&lt;="&amp;$B$5,'Teacher Rankings'!D:D,20)/$C162,0))</f>
        <v/>
      </c>
      <c r="H162">
        <f>IF($C162=0,"",ROUND(100*COUNTIFS('Teacher Rankings'!B:B,$A162,'Teacher Rankings'!A:A,"&gt;="&amp;$B$4,'Teacher Rankings'!A:A,"&lt;="&amp;$B$5,'Teacher Rankings'!H:H,20)/$C162,0))</f>
        <v/>
      </c>
      <c r="I162">
        <f>IF($C162=0,"",ROUND(100*COUNTIFS('Teacher Rankings'!B:B,$A162,'Teacher Rankings'!A:A,"&gt;="&amp;$B$4,'Teacher Rankings'!A:A,"&lt;="&amp;$B$5,'Teacher Rankings'!G:G,20)/$C162,0))</f>
        <v/>
      </c>
    </row>
    <row r="163">
      <c r="A163">
        <f>IF(Teachers!A157="","",Teachers!A157)</f>
        <v/>
      </c>
      <c r="B163">
        <f>IF($A163="","",Teachers!B157)</f>
        <v/>
      </c>
      <c r="C163">
        <f>IF($A163="","",COUNTIFS('Teacher Rankings'!B:B,$A163,'Teacher Rankings'!A:A,"&gt;="&amp;$B$4,'Teacher Rankings'!A:A,"&lt;="&amp;$B$5))</f>
        <v/>
      </c>
      <c r="D163">
        <f>IF($C163=0,"",ROUND(AVERAGEIFS('Teacher Rankings'!I:I,'Teacher Rankings'!B:B,$A163,'Teacher Rankings'!A:A,"&gt;="&amp;$B$4,'Teacher Rankings'!A:A,"&lt;="&amp;$B$5),0))</f>
        <v/>
      </c>
      <c r="E163">
        <f>IF($C163=0,"",IFERROR(INDEX('Teacher Rankings'!I:I,MATCH(1,('Teacher Rankings'!B:B=$A163)*('Teacher Rankings'!A:A=$B$5),0)),0) - IFERROR(INDEX('Teacher Rankings'!I:I,MATCH(1,('Teacher Rankings'!B:B=$A163)*('Teacher Rankings'!A:A=$B$4),0)),0))</f>
        <v/>
      </c>
      <c r="F163">
        <f>IF($C163=0,"",ROUND(100*COUNTIFS('Teacher Rankings'!B:B,$A163,'Teacher Rankings'!A:A,"&gt;="&amp;$B$4,'Teacher Rankings'!A:A,"&lt;="&amp;$B$5,'Teacher Rankings'!F:F,20)/$C163,0))</f>
        <v/>
      </c>
      <c r="G163">
        <f>IF($C163=0,"",ROUND(100*COUNTIFS('Teacher Rankings'!B:B,$A163,'Teacher Rankings'!A:A,"&gt;="&amp;$B$4,'Teacher Rankings'!A:A,"&lt;="&amp;$B$5,'Teacher Rankings'!D:D,20)/$C163,0))</f>
        <v/>
      </c>
      <c r="H163">
        <f>IF($C163=0,"",ROUND(100*COUNTIFS('Teacher Rankings'!B:B,$A163,'Teacher Rankings'!A:A,"&gt;="&amp;$B$4,'Teacher Rankings'!A:A,"&lt;="&amp;$B$5,'Teacher Rankings'!H:H,20)/$C163,0))</f>
        <v/>
      </c>
      <c r="I163">
        <f>IF($C163=0,"",ROUND(100*COUNTIFS('Teacher Rankings'!B:B,$A163,'Teacher Rankings'!A:A,"&gt;="&amp;$B$4,'Teacher Rankings'!A:A,"&lt;="&amp;$B$5,'Teacher Rankings'!G:G,20)/$C163,0))</f>
        <v/>
      </c>
    </row>
    <row r="164">
      <c r="A164">
        <f>IF(Teachers!A158="","",Teachers!A158)</f>
        <v/>
      </c>
      <c r="B164">
        <f>IF($A164="","",Teachers!B158)</f>
        <v/>
      </c>
      <c r="C164">
        <f>IF($A164="","",COUNTIFS('Teacher Rankings'!B:B,$A164,'Teacher Rankings'!A:A,"&gt;="&amp;$B$4,'Teacher Rankings'!A:A,"&lt;="&amp;$B$5))</f>
        <v/>
      </c>
      <c r="D164">
        <f>IF($C164=0,"",ROUND(AVERAGEIFS('Teacher Rankings'!I:I,'Teacher Rankings'!B:B,$A164,'Teacher Rankings'!A:A,"&gt;="&amp;$B$4,'Teacher Rankings'!A:A,"&lt;="&amp;$B$5),0))</f>
        <v/>
      </c>
      <c r="E164">
        <f>IF($C164=0,"",IFERROR(INDEX('Teacher Rankings'!I:I,MATCH(1,('Teacher Rankings'!B:B=$A164)*('Teacher Rankings'!A:A=$B$5),0)),0) - IFERROR(INDEX('Teacher Rankings'!I:I,MATCH(1,('Teacher Rankings'!B:B=$A164)*('Teacher Rankings'!A:A=$B$4),0)),0))</f>
        <v/>
      </c>
      <c r="F164">
        <f>IF($C164=0,"",ROUND(100*COUNTIFS('Teacher Rankings'!B:B,$A164,'Teacher Rankings'!A:A,"&gt;="&amp;$B$4,'Teacher Rankings'!A:A,"&lt;="&amp;$B$5,'Teacher Rankings'!F:F,20)/$C164,0))</f>
        <v/>
      </c>
      <c r="G164">
        <f>IF($C164=0,"",ROUND(100*COUNTIFS('Teacher Rankings'!B:B,$A164,'Teacher Rankings'!A:A,"&gt;="&amp;$B$4,'Teacher Rankings'!A:A,"&lt;="&amp;$B$5,'Teacher Rankings'!D:D,20)/$C164,0))</f>
        <v/>
      </c>
      <c r="H164">
        <f>IF($C164=0,"",ROUND(100*COUNTIFS('Teacher Rankings'!B:B,$A164,'Teacher Rankings'!A:A,"&gt;="&amp;$B$4,'Teacher Rankings'!A:A,"&lt;="&amp;$B$5,'Teacher Rankings'!H:H,20)/$C164,0))</f>
        <v/>
      </c>
      <c r="I164">
        <f>IF($C164=0,"",ROUND(100*COUNTIFS('Teacher Rankings'!B:B,$A164,'Teacher Rankings'!A:A,"&gt;="&amp;$B$4,'Teacher Rankings'!A:A,"&lt;="&amp;$B$5,'Teacher Rankings'!G:G,20)/$C164,0))</f>
        <v/>
      </c>
    </row>
    <row r="165">
      <c r="A165">
        <f>IF(Teachers!A159="","",Teachers!A159)</f>
        <v/>
      </c>
      <c r="B165">
        <f>IF($A165="","",Teachers!B159)</f>
        <v/>
      </c>
      <c r="C165">
        <f>IF($A165="","",COUNTIFS('Teacher Rankings'!B:B,$A165,'Teacher Rankings'!A:A,"&gt;="&amp;$B$4,'Teacher Rankings'!A:A,"&lt;="&amp;$B$5))</f>
        <v/>
      </c>
      <c r="D165">
        <f>IF($C165=0,"",ROUND(AVERAGEIFS('Teacher Rankings'!I:I,'Teacher Rankings'!B:B,$A165,'Teacher Rankings'!A:A,"&gt;="&amp;$B$4,'Teacher Rankings'!A:A,"&lt;="&amp;$B$5),0))</f>
        <v/>
      </c>
      <c r="E165">
        <f>IF($C165=0,"",IFERROR(INDEX('Teacher Rankings'!I:I,MATCH(1,('Teacher Rankings'!B:B=$A165)*('Teacher Rankings'!A:A=$B$5),0)),0) - IFERROR(INDEX('Teacher Rankings'!I:I,MATCH(1,('Teacher Rankings'!B:B=$A165)*('Teacher Rankings'!A:A=$B$4),0)),0))</f>
        <v/>
      </c>
      <c r="F165">
        <f>IF($C165=0,"",ROUND(100*COUNTIFS('Teacher Rankings'!B:B,$A165,'Teacher Rankings'!A:A,"&gt;="&amp;$B$4,'Teacher Rankings'!A:A,"&lt;="&amp;$B$5,'Teacher Rankings'!F:F,20)/$C165,0))</f>
        <v/>
      </c>
      <c r="G165">
        <f>IF($C165=0,"",ROUND(100*COUNTIFS('Teacher Rankings'!B:B,$A165,'Teacher Rankings'!A:A,"&gt;="&amp;$B$4,'Teacher Rankings'!A:A,"&lt;="&amp;$B$5,'Teacher Rankings'!D:D,20)/$C165,0))</f>
        <v/>
      </c>
      <c r="H165">
        <f>IF($C165=0,"",ROUND(100*COUNTIFS('Teacher Rankings'!B:B,$A165,'Teacher Rankings'!A:A,"&gt;="&amp;$B$4,'Teacher Rankings'!A:A,"&lt;="&amp;$B$5,'Teacher Rankings'!H:H,20)/$C165,0))</f>
        <v/>
      </c>
      <c r="I165">
        <f>IF($C165=0,"",ROUND(100*COUNTIFS('Teacher Rankings'!B:B,$A165,'Teacher Rankings'!A:A,"&gt;="&amp;$B$4,'Teacher Rankings'!A:A,"&lt;="&amp;$B$5,'Teacher Rankings'!G:G,20)/$C165,0))</f>
        <v/>
      </c>
    </row>
    <row r="166">
      <c r="A166">
        <f>IF(Teachers!A160="","",Teachers!A160)</f>
        <v/>
      </c>
      <c r="B166">
        <f>IF($A166="","",Teachers!B160)</f>
        <v/>
      </c>
      <c r="C166">
        <f>IF($A166="","",COUNTIFS('Teacher Rankings'!B:B,$A166,'Teacher Rankings'!A:A,"&gt;="&amp;$B$4,'Teacher Rankings'!A:A,"&lt;="&amp;$B$5))</f>
        <v/>
      </c>
      <c r="D166">
        <f>IF($C166=0,"",ROUND(AVERAGEIFS('Teacher Rankings'!I:I,'Teacher Rankings'!B:B,$A166,'Teacher Rankings'!A:A,"&gt;="&amp;$B$4,'Teacher Rankings'!A:A,"&lt;="&amp;$B$5),0))</f>
        <v/>
      </c>
      <c r="E166">
        <f>IF($C166=0,"",IFERROR(INDEX('Teacher Rankings'!I:I,MATCH(1,('Teacher Rankings'!B:B=$A166)*('Teacher Rankings'!A:A=$B$5),0)),0) - IFERROR(INDEX('Teacher Rankings'!I:I,MATCH(1,('Teacher Rankings'!B:B=$A166)*('Teacher Rankings'!A:A=$B$4),0)),0))</f>
        <v/>
      </c>
      <c r="F166">
        <f>IF($C166=0,"",ROUND(100*COUNTIFS('Teacher Rankings'!B:B,$A166,'Teacher Rankings'!A:A,"&gt;="&amp;$B$4,'Teacher Rankings'!A:A,"&lt;="&amp;$B$5,'Teacher Rankings'!F:F,20)/$C166,0))</f>
        <v/>
      </c>
      <c r="G166">
        <f>IF($C166=0,"",ROUND(100*COUNTIFS('Teacher Rankings'!B:B,$A166,'Teacher Rankings'!A:A,"&gt;="&amp;$B$4,'Teacher Rankings'!A:A,"&lt;="&amp;$B$5,'Teacher Rankings'!D:D,20)/$C166,0))</f>
        <v/>
      </c>
      <c r="H166">
        <f>IF($C166=0,"",ROUND(100*COUNTIFS('Teacher Rankings'!B:B,$A166,'Teacher Rankings'!A:A,"&gt;="&amp;$B$4,'Teacher Rankings'!A:A,"&lt;="&amp;$B$5,'Teacher Rankings'!H:H,20)/$C166,0))</f>
        <v/>
      </c>
      <c r="I166">
        <f>IF($C166=0,"",ROUND(100*COUNTIFS('Teacher Rankings'!B:B,$A166,'Teacher Rankings'!A:A,"&gt;="&amp;$B$4,'Teacher Rankings'!A:A,"&lt;="&amp;$B$5,'Teacher Rankings'!G:G,20)/$C166,0))</f>
        <v/>
      </c>
    </row>
    <row r="167">
      <c r="A167">
        <f>IF(Teachers!A161="","",Teachers!A161)</f>
        <v/>
      </c>
      <c r="B167">
        <f>IF($A167="","",Teachers!B161)</f>
        <v/>
      </c>
      <c r="C167">
        <f>IF($A167="","",COUNTIFS('Teacher Rankings'!B:B,$A167,'Teacher Rankings'!A:A,"&gt;="&amp;$B$4,'Teacher Rankings'!A:A,"&lt;="&amp;$B$5))</f>
        <v/>
      </c>
      <c r="D167">
        <f>IF($C167=0,"",ROUND(AVERAGEIFS('Teacher Rankings'!I:I,'Teacher Rankings'!B:B,$A167,'Teacher Rankings'!A:A,"&gt;="&amp;$B$4,'Teacher Rankings'!A:A,"&lt;="&amp;$B$5),0))</f>
        <v/>
      </c>
      <c r="E167">
        <f>IF($C167=0,"",IFERROR(INDEX('Teacher Rankings'!I:I,MATCH(1,('Teacher Rankings'!B:B=$A167)*('Teacher Rankings'!A:A=$B$5),0)),0) - IFERROR(INDEX('Teacher Rankings'!I:I,MATCH(1,('Teacher Rankings'!B:B=$A167)*('Teacher Rankings'!A:A=$B$4),0)),0))</f>
        <v/>
      </c>
      <c r="F167">
        <f>IF($C167=0,"",ROUND(100*COUNTIFS('Teacher Rankings'!B:B,$A167,'Teacher Rankings'!A:A,"&gt;="&amp;$B$4,'Teacher Rankings'!A:A,"&lt;="&amp;$B$5,'Teacher Rankings'!F:F,20)/$C167,0))</f>
        <v/>
      </c>
      <c r="G167">
        <f>IF($C167=0,"",ROUND(100*COUNTIFS('Teacher Rankings'!B:B,$A167,'Teacher Rankings'!A:A,"&gt;="&amp;$B$4,'Teacher Rankings'!A:A,"&lt;="&amp;$B$5,'Teacher Rankings'!D:D,20)/$C167,0))</f>
        <v/>
      </c>
      <c r="H167">
        <f>IF($C167=0,"",ROUND(100*COUNTIFS('Teacher Rankings'!B:B,$A167,'Teacher Rankings'!A:A,"&gt;="&amp;$B$4,'Teacher Rankings'!A:A,"&lt;="&amp;$B$5,'Teacher Rankings'!H:H,20)/$C167,0))</f>
        <v/>
      </c>
      <c r="I167">
        <f>IF($C167=0,"",ROUND(100*COUNTIFS('Teacher Rankings'!B:B,$A167,'Teacher Rankings'!A:A,"&gt;="&amp;$B$4,'Teacher Rankings'!A:A,"&lt;="&amp;$B$5,'Teacher Rankings'!G:G,20)/$C167,0))</f>
        <v/>
      </c>
    </row>
    <row r="168">
      <c r="A168">
        <f>IF(Teachers!A162="","",Teachers!A162)</f>
        <v/>
      </c>
      <c r="B168">
        <f>IF($A168="","",Teachers!B162)</f>
        <v/>
      </c>
      <c r="C168">
        <f>IF($A168="","",COUNTIFS('Teacher Rankings'!B:B,$A168,'Teacher Rankings'!A:A,"&gt;="&amp;$B$4,'Teacher Rankings'!A:A,"&lt;="&amp;$B$5))</f>
        <v/>
      </c>
      <c r="D168">
        <f>IF($C168=0,"",ROUND(AVERAGEIFS('Teacher Rankings'!I:I,'Teacher Rankings'!B:B,$A168,'Teacher Rankings'!A:A,"&gt;="&amp;$B$4,'Teacher Rankings'!A:A,"&lt;="&amp;$B$5),0))</f>
        <v/>
      </c>
      <c r="E168">
        <f>IF($C168=0,"",IFERROR(INDEX('Teacher Rankings'!I:I,MATCH(1,('Teacher Rankings'!B:B=$A168)*('Teacher Rankings'!A:A=$B$5),0)),0) - IFERROR(INDEX('Teacher Rankings'!I:I,MATCH(1,('Teacher Rankings'!B:B=$A168)*('Teacher Rankings'!A:A=$B$4),0)),0))</f>
        <v/>
      </c>
      <c r="F168">
        <f>IF($C168=0,"",ROUND(100*COUNTIFS('Teacher Rankings'!B:B,$A168,'Teacher Rankings'!A:A,"&gt;="&amp;$B$4,'Teacher Rankings'!A:A,"&lt;="&amp;$B$5,'Teacher Rankings'!F:F,20)/$C168,0))</f>
        <v/>
      </c>
      <c r="G168">
        <f>IF($C168=0,"",ROUND(100*COUNTIFS('Teacher Rankings'!B:B,$A168,'Teacher Rankings'!A:A,"&gt;="&amp;$B$4,'Teacher Rankings'!A:A,"&lt;="&amp;$B$5,'Teacher Rankings'!D:D,20)/$C168,0))</f>
        <v/>
      </c>
      <c r="H168">
        <f>IF($C168=0,"",ROUND(100*COUNTIFS('Teacher Rankings'!B:B,$A168,'Teacher Rankings'!A:A,"&gt;="&amp;$B$4,'Teacher Rankings'!A:A,"&lt;="&amp;$B$5,'Teacher Rankings'!H:H,20)/$C168,0))</f>
        <v/>
      </c>
      <c r="I168">
        <f>IF($C168=0,"",ROUND(100*COUNTIFS('Teacher Rankings'!B:B,$A168,'Teacher Rankings'!A:A,"&gt;="&amp;$B$4,'Teacher Rankings'!A:A,"&lt;="&amp;$B$5,'Teacher Rankings'!G:G,20)/$C168,0))</f>
        <v/>
      </c>
    </row>
    <row r="169">
      <c r="A169">
        <f>IF(Teachers!A163="","",Teachers!A163)</f>
        <v/>
      </c>
      <c r="B169">
        <f>IF($A169="","",Teachers!B163)</f>
        <v/>
      </c>
      <c r="C169">
        <f>IF($A169="","",COUNTIFS('Teacher Rankings'!B:B,$A169,'Teacher Rankings'!A:A,"&gt;="&amp;$B$4,'Teacher Rankings'!A:A,"&lt;="&amp;$B$5))</f>
        <v/>
      </c>
      <c r="D169">
        <f>IF($C169=0,"",ROUND(AVERAGEIFS('Teacher Rankings'!I:I,'Teacher Rankings'!B:B,$A169,'Teacher Rankings'!A:A,"&gt;="&amp;$B$4,'Teacher Rankings'!A:A,"&lt;="&amp;$B$5),0))</f>
        <v/>
      </c>
      <c r="E169">
        <f>IF($C169=0,"",IFERROR(INDEX('Teacher Rankings'!I:I,MATCH(1,('Teacher Rankings'!B:B=$A169)*('Teacher Rankings'!A:A=$B$5),0)),0) - IFERROR(INDEX('Teacher Rankings'!I:I,MATCH(1,('Teacher Rankings'!B:B=$A169)*('Teacher Rankings'!A:A=$B$4),0)),0))</f>
        <v/>
      </c>
      <c r="F169">
        <f>IF($C169=0,"",ROUND(100*COUNTIFS('Teacher Rankings'!B:B,$A169,'Teacher Rankings'!A:A,"&gt;="&amp;$B$4,'Teacher Rankings'!A:A,"&lt;="&amp;$B$5,'Teacher Rankings'!F:F,20)/$C169,0))</f>
        <v/>
      </c>
      <c r="G169">
        <f>IF($C169=0,"",ROUND(100*COUNTIFS('Teacher Rankings'!B:B,$A169,'Teacher Rankings'!A:A,"&gt;="&amp;$B$4,'Teacher Rankings'!A:A,"&lt;="&amp;$B$5,'Teacher Rankings'!D:D,20)/$C169,0))</f>
        <v/>
      </c>
      <c r="H169">
        <f>IF($C169=0,"",ROUND(100*COUNTIFS('Teacher Rankings'!B:B,$A169,'Teacher Rankings'!A:A,"&gt;="&amp;$B$4,'Teacher Rankings'!A:A,"&lt;="&amp;$B$5,'Teacher Rankings'!H:H,20)/$C169,0))</f>
        <v/>
      </c>
      <c r="I169">
        <f>IF($C169=0,"",ROUND(100*COUNTIFS('Teacher Rankings'!B:B,$A169,'Teacher Rankings'!A:A,"&gt;="&amp;$B$4,'Teacher Rankings'!A:A,"&lt;="&amp;$B$5,'Teacher Rankings'!G:G,20)/$C169,0))</f>
        <v/>
      </c>
    </row>
    <row r="170">
      <c r="A170">
        <f>IF(Teachers!A164="","",Teachers!A164)</f>
        <v/>
      </c>
      <c r="B170">
        <f>IF($A170="","",Teachers!B164)</f>
        <v/>
      </c>
      <c r="C170">
        <f>IF($A170="","",COUNTIFS('Teacher Rankings'!B:B,$A170,'Teacher Rankings'!A:A,"&gt;="&amp;$B$4,'Teacher Rankings'!A:A,"&lt;="&amp;$B$5))</f>
        <v/>
      </c>
      <c r="D170">
        <f>IF($C170=0,"",ROUND(AVERAGEIFS('Teacher Rankings'!I:I,'Teacher Rankings'!B:B,$A170,'Teacher Rankings'!A:A,"&gt;="&amp;$B$4,'Teacher Rankings'!A:A,"&lt;="&amp;$B$5),0))</f>
        <v/>
      </c>
      <c r="E170">
        <f>IF($C170=0,"",IFERROR(INDEX('Teacher Rankings'!I:I,MATCH(1,('Teacher Rankings'!B:B=$A170)*('Teacher Rankings'!A:A=$B$5),0)),0) - IFERROR(INDEX('Teacher Rankings'!I:I,MATCH(1,('Teacher Rankings'!B:B=$A170)*('Teacher Rankings'!A:A=$B$4),0)),0))</f>
        <v/>
      </c>
      <c r="F170">
        <f>IF($C170=0,"",ROUND(100*COUNTIFS('Teacher Rankings'!B:B,$A170,'Teacher Rankings'!A:A,"&gt;="&amp;$B$4,'Teacher Rankings'!A:A,"&lt;="&amp;$B$5,'Teacher Rankings'!F:F,20)/$C170,0))</f>
        <v/>
      </c>
      <c r="G170">
        <f>IF($C170=0,"",ROUND(100*COUNTIFS('Teacher Rankings'!B:B,$A170,'Teacher Rankings'!A:A,"&gt;="&amp;$B$4,'Teacher Rankings'!A:A,"&lt;="&amp;$B$5,'Teacher Rankings'!D:D,20)/$C170,0))</f>
        <v/>
      </c>
      <c r="H170">
        <f>IF($C170=0,"",ROUND(100*COUNTIFS('Teacher Rankings'!B:B,$A170,'Teacher Rankings'!A:A,"&gt;="&amp;$B$4,'Teacher Rankings'!A:A,"&lt;="&amp;$B$5,'Teacher Rankings'!H:H,20)/$C170,0))</f>
        <v/>
      </c>
      <c r="I170">
        <f>IF($C170=0,"",ROUND(100*COUNTIFS('Teacher Rankings'!B:B,$A170,'Teacher Rankings'!A:A,"&gt;="&amp;$B$4,'Teacher Rankings'!A:A,"&lt;="&amp;$B$5,'Teacher Rankings'!G:G,20)/$C170,0))</f>
        <v/>
      </c>
    </row>
    <row r="171">
      <c r="A171">
        <f>IF(Teachers!A165="","",Teachers!A165)</f>
        <v/>
      </c>
      <c r="B171">
        <f>IF($A171="","",Teachers!B165)</f>
        <v/>
      </c>
      <c r="C171">
        <f>IF($A171="","",COUNTIFS('Teacher Rankings'!B:B,$A171,'Teacher Rankings'!A:A,"&gt;="&amp;$B$4,'Teacher Rankings'!A:A,"&lt;="&amp;$B$5))</f>
        <v/>
      </c>
      <c r="D171">
        <f>IF($C171=0,"",ROUND(AVERAGEIFS('Teacher Rankings'!I:I,'Teacher Rankings'!B:B,$A171,'Teacher Rankings'!A:A,"&gt;="&amp;$B$4,'Teacher Rankings'!A:A,"&lt;="&amp;$B$5),0))</f>
        <v/>
      </c>
      <c r="E171">
        <f>IF($C171=0,"",IFERROR(INDEX('Teacher Rankings'!I:I,MATCH(1,('Teacher Rankings'!B:B=$A171)*('Teacher Rankings'!A:A=$B$5),0)),0) - IFERROR(INDEX('Teacher Rankings'!I:I,MATCH(1,('Teacher Rankings'!B:B=$A171)*('Teacher Rankings'!A:A=$B$4),0)),0))</f>
        <v/>
      </c>
      <c r="F171">
        <f>IF($C171=0,"",ROUND(100*COUNTIFS('Teacher Rankings'!B:B,$A171,'Teacher Rankings'!A:A,"&gt;="&amp;$B$4,'Teacher Rankings'!A:A,"&lt;="&amp;$B$5,'Teacher Rankings'!F:F,20)/$C171,0))</f>
        <v/>
      </c>
      <c r="G171">
        <f>IF($C171=0,"",ROUND(100*COUNTIFS('Teacher Rankings'!B:B,$A171,'Teacher Rankings'!A:A,"&gt;="&amp;$B$4,'Teacher Rankings'!A:A,"&lt;="&amp;$B$5,'Teacher Rankings'!D:D,20)/$C171,0))</f>
        <v/>
      </c>
      <c r="H171">
        <f>IF($C171=0,"",ROUND(100*COUNTIFS('Teacher Rankings'!B:B,$A171,'Teacher Rankings'!A:A,"&gt;="&amp;$B$4,'Teacher Rankings'!A:A,"&lt;="&amp;$B$5,'Teacher Rankings'!H:H,20)/$C171,0))</f>
        <v/>
      </c>
      <c r="I171">
        <f>IF($C171=0,"",ROUND(100*COUNTIFS('Teacher Rankings'!B:B,$A171,'Teacher Rankings'!A:A,"&gt;="&amp;$B$4,'Teacher Rankings'!A:A,"&lt;="&amp;$B$5,'Teacher Rankings'!G:G,20)/$C171,0))</f>
        <v/>
      </c>
    </row>
    <row r="172">
      <c r="A172">
        <f>IF(Teachers!A166="","",Teachers!A166)</f>
        <v/>
      </c>
      <c r="B172">
        <f>IF($A172="","",Teachers!B166)</f>
        <v/>
      </c>
      <c r="C172">
        <f>IF($A172="","",COUNTIFS('Teacher Rankings'!B:B,$A172,'Teacher Rankings'!A:A,"&gt;="&amp;$B$4,'Teacher Rankings'!A:A,"&lt;="&amp;$B$5))</f>
        <v/>
      </c>
      <c r="D172">
        <f>IF($C172=0,"",ROUND(AVERAGEIFS('Teacher Rankings'!I:I,'Teacher Rankings'!B:B,$A172,'Teacher Rankings'!A:A,"&gt;="&amp;$B$4,'Teacher Rankings'!A:A,"&lt;="&amp;$B$5),0))</f>
        <v/>
      </c>
      <c r="E172">
        <f>IF($C172=0,"",IFERROR(INDEX('Teacher Rankings'!I:I,MATCH(1,('Teacher Rankings'!B:B=$A172)*('Teacher Rankings'!A:A=$B$5),0)),0) - IFERROR(INDEX('Teacher Rankings'!I:I,MATCH(1,('Teacher Rankings'!B:B=$A172)*('Teacher Rankings'!A:A=$B$4),0)),0))</f>
        <v/>
      </c>
      <c r="F172">
        <f>IF($C172=0,"",ROUND(100*COUNTIFS('Teacher Rankings'!B:B,$A172,'Teacher Rankings'!A:A,"&gt;="&amp;$B$4,'Teacher Rankings'!A:A,"&lt;="&amp;$B$5,'Teacher Rankings'!F:F,20)/$C172,0))</f>
        <v/>
      </c>
      <c r="G172">
        <f>IF($C172=0,"",ROUND(100*COUNTIFS('Teacher Rankings'!B:B,$A172,'Teacher Rankings'!A:A,"&gt;="&amp;$B$4,'Teacher Rankings'!A:A,"&lt;="&amp;$B$5,'Teacher Rankings'!D:D,20)/$C172,0))</f>
        <v/>
      </c>
      <c r="H172">
        <f>IF($C172=0,"",ROUND(100*COUNTIFS('Teacher Rankings'!B:B,$A172,'Teacher Rankings'!A:A,"&gt;="&amp;$B$4,'Teacher Rankings'!A:A,"&lt;="&amp;$B$5,'Teacher Rankings'!H:H,20)/$C172,0))</f>
        <v/>
      </c>
      <c r="I172">
        <f>IF($C172=0,"",ROUND(100*COUNTIFS('Teacher Rankings'!B:B,$A172,'Teacher Rankings'!A:A,"&gt;="&amp;$B$4,'Teacher Rankings'!A:A,"&lt;="&amp;$B$5,'Teacher Rankings'!G:G,20)/$C172,0))</f>
        <v/>
      </c>
    </row>
    <row r="173">
      <c r="A173">
        <f>IF(Teachers!A167="","",Teachers!A167)</f>
        <v/>
      </c>
      <c r="B173">
        <f>IF($A173="","",Teachers!B167)</f>
        <v/>
      </c>
      <c r="C173">
        <f>IF($A173="","",COUNTIFS('Teacher Rankings'!B:B,$A173,'Teacher Rankings'!A:A,"&gt;="&amp;$B$4,'Teacher Rankings'!A:A,"&lt;="&amp;$B$5))</f>
        <v/>
      </c>
      <c r="D173">
        <f>IF($C173=0,"",ROUND(AVERAGEIFS('Teacher Rankings'!I:I,'Teacher Rankings'!B:B,$A173,'Teacher Rankings'!A:A,"&gt;="&amp;$B$4,'Teacher Rankings'!A:A,"&lt;="&amp;$B$5),0))</f>
        <v/>
      </c>
      <c r="E173">
        <f>IF($C173=0,"",IFERROR(INDEX('Teacher Rankings'!I:I,MATCH(1,('Teacher Rankings'!B:B=$A173)*('Teacher Rankings'!A:A=$B$5),0)),0) - IFERROR(INDEX('Teacher Rankings'!I:I,MATCH(1,('Teacher Rankings'!B:B=$A173)*('Teacher Rankings'!A:A=$B$4),0)),0))</f>
        <v/>
      </c>
      <c r="F173">
        <f>IF($C173=0,"",ROUND(100*COUNTIFS('Teacher Rankings'!B:B,$A173,'Teacher Rankings'!A:A,"&gt;="&amp;$B$4,'Teacher Rankings'!A:A,"&lt;="&amp;$B$5,'Teacher Rankings'!F:F,20)/$C173,0))</f>
        <v/>
      </c>
      <c r="G173">
        <f>IF($C173=0,"",ROUND(100*COUNTIFS('Teacher Rankings'!B:B,$A173,'Teacher Rankings'!A:A,"&gt;="&amp;$B$4,'Teacher Rankings'!A:A,"&lt;="&amp;$B$5,'Teacher Rankings'!D:D,20)/$C173,0))</f>
        <v/>
      </c>
      <c r="H173">
        <f>IF($C173=0,"",ROUND(100*COUNTIFS('Teacher Rankings'!B:B,$A173,'Teacher Rankings'!A:A,"&gt;="&amp;$B$4,'Teacher Rankings'!A:A,"&lt;="&amp;$B$5,'Teacher Rankings'!H:H,20)/$C173,0))</f>
        <v/>
      </c>
      <c r="I173">
        <f>IF($C173=0,"",ROUND(100*COUNTIFS('Teacher Rankings'!B:B,$A173,'Teacher Rankings'!A:A,"&gt;="&amp;$B$4,'Teacher Rankings'!A:A,"&lt;="&amp;$B$5,'Teacher Rankings'!G:G,20)/$C173,0))</f>
        <v/>
      </c>
    </row>
    <row r="174">
      <c r="A174">
        <f>IF(Teachers!A168="","",Teachers!A168)</f>
        <v/>
      </c>
      <c r="B174">
        <f>IF($A174="","",Teachers!B168)</f>
        <v/>
      </c>
      <c r="C174">
        <f>IF($A174="","",COUNTIFS('Teacher Rankings'!B:B,$A174,'Teacher Rankings'!A:A,"&gt;="&amp;$B$4,'Teacher Rankings'!A:A,"&lt;="&amp;$B$5))</f>
        <v/>
      </c>
      <c r="D174">
        <f>IF($C174=0,"",ROUND(AVERAGEIFS('Teacher Rankings'!I:I,'Teacher Rankings'!B:B,$A174,'Teacher Rankings'!A:A,"&gt;="&amp;$B$4,'Teacher Rankings'!A:A,"&lt;="&amp;$B$5),0))</f>
        <v/>
      </c>
      <c r="E174">
        <f>IF($C174=0,"",IFERROR(INDEX('Teacher Rankings'!I:I,MATCH(1,('Teacher Rankings'!B:B=$A174)*('Teacher Rankings'!A:A=$B$5),0)),0) - IFERROR(INDEX('Teacher Rankings'!I:I,MATCH(1,('Teacher Rankings'!B:B=$A174)*('Teacher Rankings'!A:A=$B$4),0)),0))</f>
        <v/>
      </c>
      <c r="F174">
        <f>IF($C174=0,"",ROUND(100*COUNTIFS('Teacher Rankings'!B:B,$A174,'Teacher Rankings'!A:A,"&gt;="&amp;$B$4,'Teacher Rankings'!A:A,"&lt;="&amp;$B$5,'Teacher Rankings'!F:F,20)/$C174,0))</f>
        <v/>
      </c>
      <c r="G174">
        <f>IF($C174=0,"",ROUND(100*COUNTIFS('Teacher Rankings'!B:B,$A174,'Teacher Rankings'!A:A,"&gt;="&amp;$B$4,'Teacher Rankings'!A:A,"&lt;="&amp;$B$5,'Teacher Rankings'!D:D,20)/$C174,0))</f>
        <v/>
      </c>
      <c r="H174">
        <f>IF($C174=0,"",ROUND(100*COUNTIFS('Teacher Rankings'!B:B,$A174,'Teacher Rankings'!A:A,"&gt;="&amp;$B$4,'Teacher Rankings'!A:A,"&lt;="&amp;$B$5,'Teacher Rankings'!H:H,20)/$C174,0))</f>
        <v/>
      </c>
      <c r="I174">
        <f>IF($C174=0,"",ROUND(100*COUNTIFS('Teacher Rankings'!B:B,$A174,'Teacher Rankings'!A:A,"&gt;="&amp;$B$4,'Teacher Rankings'!A:A,"&lt;="&amp;$B$5,'Teacher Rankings'!G:G,20)/$C174,0))</f>
        <v/>
      </c>
    </row>
    <row r="175">
      <c r="A175">
        <f>IF(Teachers!A169="","",Teachers!A169)</f>
        <v/>
      </c>
      <c r="B175">
        <f>IF($A175="","",Teachers!B169)</f>
        <v/>
      </c>
      <c r="C175">
        <f>IF($A175="","",COUNTIFS('Teacher Rankings'!B:B,$A175,'Teacher Rankings'!A:A,"&gt;="&amp;$B$4,'Teacher Rankings'!A:A,"&lt;="&amp;$B$5))</f>
        <v/>
      </c>
      <c r="D175">
        <f>IF($C175=0,"",ROUND(AVERAGEIFS('Teacher Rankings'!I:I,'Teacher Rankings'!B:B,$A175,'Teacher Rankings'!A:A,"&gt;="&amp;$B$4,'Teacher Rankings'!A:A,"&lt;="&amp;$B$5),0))</f>
        <v/>
      </c>
      <c r="E175">
        <f>IF($C175=0,"",IFERROR(INDEX('Teacher Rankings'!I:I,MATCH(1,('Teacher Rankings'!B:B=$A175)*('Teacher Rankings'!A:A=$B$5),0)),0) - IFERROR(INDEX('Teacher Rankings'!I:I,MATCH(1,('Teacher Rankings'!B:B=$A175)*('Teacher Rankings'!A:A=$B$4),0)),0))</f>
        <v/>
      </c>
      <c r="F175">
        <f>IF($C175=0,"",ROUND(100*COUNTIFS('Teacher Rankings'!B:B,$A175,'Teacher Rankings'!A:A,"&gt;="&amp;$B$4,'Teacher Rankings'!A:A,"&lt;="&amp;$B$5,'Teacher Rankings'!F:F,20)/$C175,0))</f>
        <v/>
      </c>
      <c r="G175">
        <f>IF($C175=0,"",ROUND(100*COUNTIFS('Teacher Rankings'!B:B,$A175,'Teacher Rankings'!A:A,"&gt;="&amp;$B$4,'Teacher Rankings'!A:A,"&lt;="&amp;$B$5,'Teacher Rankings'!D:D,20)/$C175,0))</f>
        <v/>
      </c>
      <c r="H175">
        <f>IF($C175=0,"",ROUND(100*COUNTIFS('Teacher Rankings'!B:B,$A175,'Teacher Rankings'!A:A,"&gt;="&amp;$B$4,'Teacher Rankings'!A:A,"&lt;="&amp;$B$5,'Teacher Rankings'!H:H,20)/$C175,0))</f>
        <v/>
      </c>
      <c r="I175">
        <f>IF($C175=0,"",ROUND(100*COUNTIFS('Teacher Rankings'!B:B,$A175,'Teacher Rankings'!A:A,"&gt;="&amp;$B$4,'Teacher Rankings'!A:A,"&lt;="&amp;$B$5,'Teacher Rankings'!G:G,20)/$C175,0))</f>
        <v/>
      </c>
    </row>
    <row r="176">
      <c r="A176">
        <f>IF(Teachers!A170="","",Teachers!A170)</f>
        <v/>
      </c>
      <c r="B176">
        <f>IF($A176="","",Teachers!B170)</f>
        <v/>
      </c>
      <c r="C176">
        <f>IF($A176="","",COUNTIFS('Teacher Rankings'!B:B,$A176,'Teacher Rankings'!A:A,"&gt;="&amp;$B$4,'Teacher Rankings'!A:A,"&lt;="&amp;$B$5))</f>
        <v/>
      </c>
      <c r="D176">
        <f>IF($C176=0,"",ROUND(AVERAGEIFS('Teacher Rankings'!I:I,'Teacher Rankings'!B:B,$A176,'Teacher Rankings'!A:A,"&gt;="&amp;$B$4,'Teacher Rankings'!A:A,"&lt;="&amp;$B$5),0))</f>
        <v/>
      </c>
      <c r="E176">
        <f>IF($C176=0,"",IFERROR(INDEX('Teacher Rankings'!I:I,MATCH(1,('Teacher Rankings'!B:B=$A176)*('Teacher Rankings'!A:A=$B$5),0)),0) - IFERROR(INDEX('Teacher Rankings'!I:I,MATCH(1,('Teacher Rankings'!B:B=$A176)*('Teacher Rankings'!A:A=$B$4),0)),0))</f>
        <v/>
      </c>
      <c r="F176">
        <f>IF($C176=0,"",ROUND(100*COUNTIFS('Teacher Rankings'!B:B,$A176,'Teacher Rankings'!A:A,"&gt;="&amp;$B$4,'Teacher Rankings'!A:A,"&lt;="&amp;$B$5,'Teacher Rankings'!F:F,20)/$C176,0))</f>
        <v/>
      </c>
      <c r="G176">
        <f>IF($C176=0,"",ROUND(100*COUNTIFS('Teacher Rankings'!B:B,$A176,'Teacher Rankings'!A:A,"&gt;="&amp;$B$4,'Teacher Rankings'!A:A,"&lt;="&amp;$B$5,'Teacher Rankings'!D:D,20)/$C176,0))</f>
        <v/>
      </c>
      <c r="H176">
        <f>IF($C176=0,"",ROUND(100*COUNTIFS('Teacher Rankings'!B:B,$A176,'Teacher Rankings'!A:A,"&gt;="&amp;$B$4,'Teacher Rankings'!A:A,"&lt;="&amp;$B$5,'Teacher Rankings'!H:H,20)/$C176,0))</f>
        <v/>
      </c>
      <c r="I176">
        <f>IF($C176=0,"",ROUND(100*COUNTIFS('Teacher Rankings'!B:B,$A176,'Teacher Rankings'!A:A,"&gt;="&amp;$B$4,'Teacher Rankings'!A:A,"&lt;="&amp;$B$5,'Teacher Rankings'!G:G,20)/$C176,0))</f>
        <v/>
      </c>
    </row>
    <row r="177">
      <c r="A177">
        <f>IF(Teachers!A171="","",Teachers!A171)</f>
        <v/>
      </c>
      <c r="B177">
        <f>IF($A177="","",Teachers!B171)</f>
        <v/>
      </c>
      <c r="C177">
        <f>IF($A177="","",COUNTIFS('Teacher Rankings'!B:B,$A177,'Teacher Rankings'!A:A,"&gt;="&amp;$B$4,'Teacher Rankings'!A:A,"&lt;="&amp;$B$5))</f>
        <v/>
      </c>
      <c r="D177">
        <f>IF($C177=0,"",ROUND(AVERAGEIFS('Teacher Rankings'!I:I,'Teacher Rankings'!B:B,$A177,'Teacher Rankings'!A:A,"&gt;="&amp;$B$4,'Teacher Rankings'!A:A,"&lt;="&amp;$B$5),0))</f>
        <v/>
      </c>
      <c r="E177">
        <f>IF($C177=0,"",IFERROR(INDEX('Teacher Rankings'!I:I,MATCH(1,('Teacher Rankings'!B:B=$A177)*('Teacher Rankings'!A:A=$B$5),0)),0) - IFERROR(INDEX('Teacher Rankings'!I:I,MATCH(1,('Teacher Rankings'!B:B=$A177)*('Teacher Rankings'!A:A=$B$4),0)),0))</f>
        <v/>
      </c>
      <c r="F177">
        <f>IF($C177=0,"",ROUND(100*COUNTIFS('Teacher Rankings'!B:B,$A177,'Teacher Rankings'!A:A,"&gt;="&amp;$B$4,'Teacher Rankings'!A:A,"&lt;="&amp;$B$5,'Teacher Rankings'!F:F,20)/$C177,0))</f>
        <v/>
      </c>
      <c r="G177">
        <f>IF($C177=0,"",ROUND(100*COUNTIFS('Teacher Rankings'!B:B,$A177,'Teacher Rankings'!A:A,"&gt;="&amp;$B$4,'Teacher Rankings'!A:A,"&lt;="&amp;$B$5,'Teacher Rankings'!D:D,20)/$C177,0))</f>
        <v/>
      </c>
      <c r="H177">
        <f>IF($C177=0,"",ROUND(100*COUNTIFS('Teacher Rankings'!B:B,$A177,'Teacher Rankings'!A:A,"&gt;="&amp;$B$4,'Teacher Rankings'!A:A,"&lt;="&amp;$B$5,'Teacher Rankings'!H:H,20)/$C177,0))</f>
        <v/>
      </c>
      <c r="I177">
        <f>IF($C177=0,"",ROUND(100*COUNTIFS('Teacher Rankings'!B:B,$A177,'Teacher Rankings'!A:A,"&gt;="&amp;$B$4,'Teacher Rankings'!A:A,"&lt;="&amp;$B$5,'Teacher Rankings'!G:G,20)/$C177,0))</f>
        <v/>
      </c>
    </row>
    <row r="178">
      <c r="A178">
        <f>IF(Teachers!A172="","",Teachers!A172)</f>
        <v/>
      </c>
      <c r="B178">
        <f>IF($A178="","",Teachers!B172)</f>
        <v/>
      </c>
      <c r="C178">
        <f>IF($A178="","",COUNTIFS('Teacher Rankings'!B:B,$A178,'Teacher Rankings'!A:A,"&gt;="&amp;$B$4,'Teacher Rankings'!A:A,"&lt;="&amp;$B$5))</f>
        <v/>
      </c>
      <c r="D178">
        <f>IF($C178=0,"",ROUND(AVERAGEIFS('Teacher Rankings'!I:I,'Teacher Rankings'!B:B,$A178,'Teacher Rankings'!A:A,"&gt;="&amp;$B$4,'Teacher Rankings'!A:A,"&lt;="&amp;$B$5),0))</f>
        <v/>
      </c>
      <c r="E178">
        <f>IF($C178=0,"",IFERROR(INDEX('Teacher Rankings'!I:I,MATCH(1,('Teacher Rankings'!B:B=$A178)*('Teacher Rankings'!A:A=$B$5),0)),0) - IFERROR(INDEX('Teacher Rankings'!I:I,MATCH(1,('Teacher Rankings'!B:B=$A178)*('Teacher Rankings'!A:A=$B$4),0)),0))</f>
        <v/>
      </c>
      <c r="F178">
        <f>IF($C178=0,"",ROUND(100*COUNTIFS('Teacher Rankings'!B:B,$A178,'Teacher Rankings'!A:A,"&gt;="&amp;$B$4,'Teacher Rankings'!A:A,"&lt;="&amp;$B$5,'Teacher Rankings'!F:F,20)/$C178,0))</f>
        <v/>
      </c>
      <c r="G178">
        <f>IF($C178=0,"",ROUND(100*COUNTIFS('Teacher Rankings'!B:B,$A178,'Teacher Rankings'!A:A,"&gt;="&amp;$B$4,'Teacher Rankings'!A:A,"&lt;="&amp;$B$5,'Teacher Rankings'!D:D,20)/$C178,0))</f>
        <v/>
      </c>
      <c r="H178">
        <f>IF($C178=0,"",ROUND(100*COUNTIFS('Teacher Rankings'!B:B,$A178,'Teacher Rankings'!A:A,"&gt;="&amp;$B$4,'Teacher Rankings'!A:A,"&lt;="&amp;$B$5,'Teacher Rankings'!H:H,20)/$C178,0))</f>
        <v/>
      </c>
      <c r="I178">
        <f>IF($C178=0,"",ROUND(100*COUNTIFS('Teacher Rankings'!B:B,$A178,'Teacher Rankings'!A:A,"&gt;="&amp;$B$4,'Teacher Rankings'!A:A,"&lt;="&amp;$B$5,'Teacher Rankings'!G:G,20)/$C178,0))</f>
        <v/>
      </c>
    </row>
    <row r="179">
      <c r="A179">
        <f>IF(Teachers!A173="","",Teachers!A173)</f>
        <v/>
      </c>
      <c r="B179">
        <f>IF($A179="","",Teachers!B173)</f>
        <v/>
      </c>
      <c r="C179">
        <f>IF($A179="","",COUNTIFS('Teacher Rankings'!B:B,$A179,'Teacher Rankings'!A:A,"&gt;="&amp;$B$4,'Teacher Rankings'!A:A,"&lt;="&amp;$B$5))</f>
        <v/>
      </c>
      <c r="D179">
        <f>IF($C179=0,"",ROUND(AVERAGEIFS('Teacher Rankings'!I:I,'Teacher Rankings'!B:B,$A179,'Teacher Rankings'!A:A,"&gt;="&amp;$B$4,'Teacher Rankings'!A:A,"&lt;="&amp;$B$5),0))</f>
        <v/>
      </c>
      <c r="E179">
        <f>IF($C179=0,"",IFERROR(INDEX('Teacher Rankings'!I:I,MATCH(1,('Teacher Rankings'!B:B=$A179)*('Teacher Rankings'!A:A=$B$5),0)),0) - IFERROR(INDEX('Teacher Rankings'!I:I,MATCH(1,('Teacher Rankings'!B:B=$A179)*('Teacher Rankings'!A:A=$B$4),0)),0))</f>
        <v/>
      </c>
      <c r="F179">
        <f>IF($C179=0,"",ROUND(100*COUNTIFS('Teacher Rankings'!B:B,$A179,'Teacher Rankings'!A:A,"&gt;="&amp;$B$4,'Teacher Rankings'!A:A,"&lt;="&amp;$B$5,'Teacher Rankings'!F:F,20)/$C179,0))</f>
        <v/>
      </c>
      <c r="G179">
        <f>IF($C179=0,"",ROUND(100*COUNTIFS('Teacher Rankings'!B:B,$A179,'Teacher Rankings'!A:A,"&gt;="&amp;$B$4,'Teacher Rankings'!A:A,"&lt;="&amp;$B$5,'Teacher Rankings'!D:D,20)/$C179,0))</f>
        <v/>
      </c>
      <c r="H179">
        <f>IF($C179=0,"",ROUND(100*COUNTIFS('Teacher Rankings'!B:B,$A179,'Teacher Rankings'!A:A,"&gt;="&amp;$B$4,'Teacher Rankings'!A:A,"&lt;="&amp;$B$5,'Teacher Rankings'!H:H,20)/$C179,0))</f>
        <v/>
      </c>
      <c r="I179">
        <f>IF($C179=0,"",ROUND(100*COUNTIFS('Teacher Rankings'!B:B,$A179,'Teacher Rankings'!A:A,"&gt;="&amp;$B$4,'Teacher Rankings'!A:A,"&lt;="&amp;$B$5,'Teacher Rankings'!G:G,20)/$C179,0))</f>
        <v/>
      </c>
    </row>
    <row r="180">
      <c r="A180">
        <f>IF(Teachers!A174="","",Teachers!A174)</f>
        <v/>
      </c>
      <c r="B180">
        <f>IF($A180="","",Teachers!B174)</f>
        <v/>
      </c>
      <c r="C180">
        <f>IF($A180="","",COUNTIFS('Teacher Rankings'!B:B,$A180,'Teacher Rankings'!A:A,"&gt;="&amp;$B$4,'Teacher Rankings'!A:A,"&lt;="&amp;$B$5))</f>
        <v/>
      </c>
      <c r="D180">
        <f>IF($C180=0,"",ROUND(AVERAGEIFS('Teacher Rankings'!I:I,'Teacher Rankings'!B:B,$A180,'Teacher Rankings'!A:A,"&gt;="&amp;$B$4,'Teacher Rankings'!A:A,"&lt;="&amp;$B$5),0))</f>
        <v/>
      </c>
      <c r="E180">
        <f>IF($C180=0,"",IFERROR(INDEX('Teacher Rankings'!I:I,MATCH(1,('Teacher Rankings'!B:B=$A180)*('Teacher Rankings'!A:A=$B$5),0)),0) - IFERROR(INDEX('Teacher Rankings'!I:I,MATCH(1,('Teacher Rankings'!B:B=$A180)*('Teacher Rankings'!A:A=$B$4),0)),0))</f>
        <v/>
      </c>
      <c r="F180">
        <f>IF($C180=0,"",ROUND(100*COUNTIFS('Teacher Rankings'!B:B,$A180,'Teacher Rankings'!A:A,"&gt;="&amp;$B$4,'Teacher Rankings'!A:A,"&lt;="&amp;$B$5,'Teacher Rankings'!F:F,20)/$C180,0))</f>
        <v/>
      </c>
      <c r="G180">
        <f>IF($C180=0,"",ROUND(100*COUNTIFS('Teacher Rankings'!B:B,$A180,'Teacher Rankings'!A:A,"&gt;="&amp;$B$4,'Teacher Rankings'!A:A,"&lt;="&amp;$B$5,'Teacher Rankings'!D:D,20)/$C180,0))</f>
        <v/>
      </c>
      <c r="H180">
        <f>IF($C180=0,"",ROUND(100*COUNTIFS('Teacher Rankings'!B:B,$A180,'Teacher Rankings'!A:A,"&gt;="&amp;$B$4,'Teacher Rankings'!A:A,"&lt;="&amp;$B$5,'Teacher Rankings'!H:H,20)/$C180,0))</f>
        <v/>
      </c>
      <c r="I180">
        <f>IF($C180=0,"",ROUND(100*COUNTIFS('Teacher Rankings'!B:B,$A180,'Teacher Rankings'!A:A,"&gt;="&amp;$B$4,'Teacher Rankings'!A:A,"&lt;="&amp;$B$5,'Teacher Rankings'!G:G,20)/$C180,0))</f>
        <v/>
      </c>
    </row>
    <row r="181">
      <c r="A181">
        <f>IF(Teachers!A175="","",Teachers!A175)</f>
        <v/>
      </c>
      <c r="B181">
        <f>IF($A181="","",Teachers!B175)</f>
        <v/>
      </c>
      <c r="C181">
        <f>IF($A181="","",COUNTIFS('Teacher Rankings'!B:B,$A181,'Teacher Rankings'!A:A,"&gt;="&amp;$B$4,'Teacher Rankings'!A:A,"&lt;="&amp;$B$5))</f>
        <v/>
      </c>
      <c r="D181">
        <f>IF($C181=0,"",ROUND(AVERAGEIFS('Teacher Rankings'!I:I,'Teacher Rankings'!B:B,$A181,'Teacher Rankings'!A:A,"&gt;="&amp;$B$4,'Teacher Rankings'!A:A,"&lt;="&amp;$B$5),0))</f>
        <v/>
      </c>
      <c r="E181">
        <f>IF($C181=0,"",IFERROR(INDEX('Teacher Rankings'!I:I,MATCH(1,('Teacher Rankings'!B:B=$A181)*('Teacher Rankings'!A:A=$B$5),0)),0) - IFERROR(INDEX('Teacher Rankings'!I:I,MATCH(1,('Teacher Rankings'!B:B=$A181)*('Teacher Rankings'!A:A=$B$4),0)),0))</f>
        <v/>
      </c>
      <c r="F181">
        <f>IF($C181=0,"",ROUND(100*COUNTIFS('Teacher Rankings'!B:B,$A181,'Teacher Rankings'!A:A,"&gt;="&amp;$B$4,'Teacher Rankings'!A:A,"&lt;="&amp;$B$5,'Teacher Rankings'!F:F,20)/$C181,0))</f>
        <v/>
      </c>
      <c r="G181">
        <f>IF($C181=0,"",ROUND(100*COUNTIFS('Teacher Rankings'!B:B,$A181,'Teacher Rankings'!A:A,"&gt;="&amp;$B$4,'Teacher Rankings'!A:A,"&lt;="&amp;$B$5,'Teacher Rankings'!D:D,20)/$C181,0))</f>
        <v/>
      </c>
      <c r="H181">
        <f>IF($C181=0,"",ROUND(100*COUNTIFS('Teacher Rankings'!B:B,$A181,'Teacher Rankings'!A:A,"&gt;="&amp;$B$4,'Teacher Rankings'!A:A,"&lt;="&amp;$B$5,'Teacher Rankings'!H:H,20)/$C181,0))</f>
        <v/>
      </c>
      <c r="I181">
        <f>IF($C181=0,"",ROUND(100*COUNTIFS('Teacher Rankings'!B:B,$A181,'Teacher Rankings'!A:A,"&gt;="&amp;$B$4,'Teacher Rankings'!A:A,"&lt;="&amp;$B$5,'Teacher Rankings'!G:G,20)/$C181,0))</f>
        <v/>
      </c>
    </row>
    <row r="182">
      <c r="A182">
        <f>IF(Teachers!A176="","",Teachers!A176)</f>
        <v/>
      </c>
      <c r="B182">
        <f>IF($A182="","",Teachers!B176)</f>
        <v/>
      </c>
      <c r="C182">
        <f>IF($A182="","",COUNTIFS('Teacher Rankings'!B:B,$A182,'Teacher Rankings'!A:A,"&gt;="&amp;$B$4,'Teacher Rankings'!A:A,"&lt;="&amp;$B$5))</f>
        <v/>
      </c>
      <c r="D182">
        <f>IF($C182=0,"",ROUND(AVERAGEIFS('Teacher Rankings'!I:I,'Teacher Rankings'!B:B,$A182,'Teacher Rankings'!A:A,"&gt;="&amp;$B$4,'Teacher Rankings'!A:A,"&lt;="&amp;$B$5),0))</f>
        <v/>
      </c>
      <c r="E182">
        <f>IF($C182=0,"",IFERROR(INDEX('Teacher Rankings'!I:I,MATCH(1,('Teacher Rankings'!B:B=$A182)*('Teacher Rankings'!A:A=$B$5),0)),0) - IFERROR(INDEX('Teacher Rankings'!I:I,MATCH(1,('Teacher Rankings'!B:B=$A182)*('Teacher Rankings'!A:A=$B$4),0)),0))</f>
        <v/>
      </c>
      <c r="F182">
        <f>IF($C182=0,"",ROUND(100*COUNTIFS('Teacher Rankings'!B:B,$A182,'Teacher Rankings'!A:A,"&gt;="&amp;$B$4,'Teacher Rankings'!A:A,"&lt;="&amp;$B$5,'Teacher Rankings'!F:F,20)/$C182,0))</f>
        <v/>
      </c>
      <c r="G182">
        <f>IF($C182=0,"",ROUND(100*COUNTIFS('Teacher Rankings'!B:B,$A182,'Teacher Rankings'!A:A,"&gt;="&amp;$B$4,'Teacher Rankings'!A:A,"&lt;="&amp;$B$5,'Teacher Rankings'!D:D,20)/$C182,0))</f>
        <v/>
      </c>
      <c r="H182">
        <f>IF($C182=0,"",ROUND(100*COUNTIFS('Teacher Rankings'!B:B,$A182,'Teacher Rankings'!A:A,"&gt;="&amp;$B$4,'Teacher Rankings'!A:A,"&lt;="&amp;$B$5,'Teacher Rankings'!H:H,20)/$C182,0))</f>
        <v/>
      </c>
      <c r="I182">
        <f>IF($C182=0,"",ROUND(100*COUNTIFS('Teacher Rankings'!B:B,$A182,'Teacher Rankings'!A:A,"&gt;="&amp;$B$4,'Teacher Rankings'!A:A,"&lt;="&amp;$B$5,'Teacher Rankings'!G:G,20)/$C182,0))</f>
        <v/>
      </c>
    </row>
    <row r="183">
      <c r="A183">
        <f>IF(Teachers!A177="","",Teachers!A177)</f>
        <v/>
      </c>
      <c r="B183">
        <f>IF($A183="","",Teachers!B177)</f>
        <v/>
      </c>
      <c r="C183">
        <f>IF($A183="","",COUNTIFS('Teacher Rankings'!B:B,$A183,'Teacher Rankings'!A:A,"&gt;="&amp;$B$4,'Teacher Rankings'!A:A,"&lt;="&amp;$B$5))</f>
        <v/>
      </c>
      <c r="D183">
        <f>IF($C183=0,"",ROUND(AVERAGEIFS('Teacher Rankings'!I:I,'Teacher Rankings'!B:B,$A183,'Teacher Rankings'!A:A,"&gt;="&amp;$B$4,'Teacher Rankings'!A:A,"&lt;="&amp;$B$5),0))</f>
        <v/>
      </c>
      <c r="E183">
        <f>IF($C183=0,"",IFERROR(INDEX('Teacher Rankings'!I:I,MATCH(1,('Teacher Rankings'!B:B=$A183)*('Teacher Rankings'!A:A=$B$5),0)),0) - IFERROR(INDEX('Teacher Rankings'!I:I,MATCH(1,('Teacher Rankings'!B:B=$A183)*('Teacher Rankings'!A:A=$B$4),0)),0))</f>
        <v/>
      </c>
      <c r="F183">
        <f>IF($C183=0,"",ROUND(100*COUNTIFS('Teacher Rankings'!B:B,$A183,'Teacher Rankings'!A:A,"&gt;="&amp;$B$4,'Teacher Rankings'!A:A,"&lt;="&amp;$B$5,'Teacher Rankings'!F:F,20)/$C183,0))</f>
        <v/>
      </c>
      <c r="G183">
        <f>IF($C183=0,"",ROUND(100*COUNTIFS('Teacher Rankings'!B:B,$A183,'Teacher Rankings'!A:A,"&gt;="&amp;$B$4,'Teacher Rankings'!A:A,"&lt;="&amp;$B$5,'Teacher Rankings'!D:D,20)/$C183,0))</f>
        <v/>
      </c>
      <c r="H183">
        <f>IF($C183=0,"",ROUND(100*COUNTIFS('Teacher Rankings'!B:B,$A183,'Teacher Rankings'!A:A,"&gt;="&amp;$B$4,'Teacher Rankings'!A:A,"&lt;="&amp;$B$5,'Teacher Rankings'!H:H,20)/$C183,0))</f>
        <v/>
      </c>
      <c r="I183">
        <f>IF($C183=0,"",ROUND(100*COUNTIFS('Teacher Rankings'!B:B,$A183,'Teacher Rankings'!A:A,"&gt;="&amp;$B$4,'Teacher Rankings'!A:A,"&lt;="&amp;$B$5,'Teacher Rankings'!G:G,20)/$C183,0))</f>
        <v/>
      </c>
    </row>
    <row r="184">
      <c r="A184">
        <f>IF(Teachers!A178="","",Teachers!A178)</f>
        <v/>
      </c>
      <c r="B184">
        <f>IF($A184="","",Teachers!B178)</f>
        <v/>
      </c>
      <c r="C184">
        <f>IF($A184="","",COUNTIFS('Teacher Rankings'!B:B,$A184,'Teacher Rankings'!A:A,"&gt;="&amp;$B$4,'Teacher Rankings'!A:A,"&lt;="&amp;$B$5))</f>
        <v/>
      </c>
      <c r="D184">
        <f>IF($C184=0,"",ROUND(AVERAGEIFS('Teacher Rankings'!I:I,'Teacher Rankings'!B:B,$A184,'Teacher Rankings'!A:A,"&gt;="&amp;$B$4,'Teacher Rankings'!A:A,"&lt;="&amp;$B$5),0))</f>
        <v/>
      </c>
      <c r="E184">
        <f>IF($C184=0,"",IFERROR(INDEX('Teacher Rankings'!I:I,MATCH(1,('Teacher Rankings'!B:B=$A184)*('Teacher Rankings'!A:A=$B$5),0)),0) - IFERROR(INDEX('Teacher Rankings'!I:I,MATCH(1,('Teacher Rankings'!B:B=$A184)*('Teacher Rankings'!A:A=$B$4),0)),0))</f>
        <v/>
      </c>
      <c r="F184">
        <f>IF($C184=0,"",ROUND(100*COUNTIFS('Teacher Rankings'!B:B,$A184,'Teacher Rankings'!A:A,"&gt;="&amp;$B$4,'Teacher Rankings'!A:A,"&lt;="&amp;$B$5,'Teacher Rankings'!F:F,20)/$C184,0))</f>
        <v/>
      </c>
      <c r="G184">
        <f>IF($C184=0,"",ROUND(100*COUNTIFS('Teacher Rankings'!B:B,$A184,'Teacher Rankings'!A:A,"&gt;="&amp;$B$4,'Teacher Rankings'!A:A,"&lt;="&amp;$B$5,'Teacher Rankings'!D:D,20)/$C184,0))</f>
        <v/>
      </c>
      <c r="H184">
        <f>IF($C184=0,"",ROUND(100*COUNTIFS('Teacher Rankings'!B:B,$A184,'Teacher Rankings'!A:A,"&gt;="&amp;$B$4,'Teacher Rankings'!A:A,"&lt;="&amp;$B$5,'Teacher Rankings'!H:H,20)/$C184,0))</f>
        <v/>
      </c>
      <c r="I184">
        <f>IF($C184=0,"",ROUND(100*COUNTIFS('Teacher Rankings'!B:B,$A184,'Teacher Rankings'!A:A,"&gt;="&amp;$B$4,'Teacher Rankings'!A:A,"&lt;="&amp;$B$5,'Teacher Rankings'!G:G,20)/$C184,0))</f>
        <v/>
      </c>
    </row>
    <row r="185">
      <c r="A185">
        <f>IF(Teachers!A179="","",Teachers!A179)</f>
        <v/>
      </c>
      <c r="B185">
        <f>IF($A185="","",Teachers!B179)</f>
        <v/>
      </c>
      <c r="C185">
        <f>IF($A185="","",COUNTIFS('Teacher Rankings'!B:B,$A185,'Teacher Rankings'!A:A,"&gt;="&amp;$B$4,'Teacher Rankings'!A:A,"&lt;="&amp;$B$5))</f>
        <v/>
      </c>
      <c r="D185">
        <f>IF($C185=0,"",ROUND(AVERAGEIFS('Teacher Rankings'!I:I,'Teacher Rankings'!B:B,$A185,'Teacher Rankings'!A:A,"&gt;="&amp;$B$4,'Teacher Rankings'!A:A,"&lt;="&amp;$B$5),0))</f>
        <v/>
      </c>
      <c r="E185">
        <f>IF($C185=0,"",IFERROR(INDEX('Teacher Rankings'!I:I,MATCH(1,('Teacher Rankings'!B:B=$A185)*('Teacher Rankings'!A:A=$B$5),0)),0) - IFERROR(INDEX('Teacher Rankings'!I:I,MATCH(1,('Teacher Rankings'!B:B=$A185)*('Teacher Rankings'!A:A=$B$4),0)),0))</f>
        <v/>
      </c>
      <c r="F185">
        <f>IF($C185=0,"",ROUND(100*COUNTIFS('Teacher Rankings'!B:B,$A185,'Teacher Rankings'!A:A,"&gt;="&amp;$B$4,'Teacher Rankings'!A:A,"&lt;="&amp;$B$5,'Teacher Rankings'!F:F,20)/$C185,0))</f>
        <v/>
      </c>
      <c r="G185">
        <f>IF($C185=0,"",ROUND(100*COUNTIFS('Teacher Rankings'!B:B,$A185,'Teacher Rankings'!A:A,"&gt;="&amp;$B$4,'Teacher Rankings'!A:A,"&lt;="&amp;$B$5,'Teacher Rankings'!D:D,20)/$C185,0))</f>
        <v/>
      </c>
      <c r="H185">
        <f>IF($C185=0,"",ROUND(100*COUNTIFS('Teacher Rankings'!B:B,$A185,'Teacher Rankings'!A:A,"&gt;="&amp;$B$4,'Teacher Rankings'!A:A,"&lt;="&amp;$B$5,'Teacher Rankings'!H:H,20)/$C185,0))</f>
        <v/>
      </c>
      <c r="I185">
        <f>IF($C185=0,"",ROUND(100*COUNTIFS('Teacher Rankings'!B:B,$A185,'Teacher Rankings'!A:A,"&gt;="&amp;$B$4,'Teacher Rankings'!A:A,"&lt;="&amp;$B$5,'Teacher Rankings'!G:G,20)/$C185,0))</f>
        <v/>
      </c>
    </row>
    <row r="186">
      <c r="A186">
        <f>IF(Teachers!A180="","",Teachers!A180)</f>
        <v/>
      </c>
      <c r="B186">
        <f>IF($A186="","",Teachers!B180)</f>
        <v/>
      </c>
      <c r="C186">
        <f>IF($A186="","",COUNTIFS('Teacher Rankings'!B:B,$A186,'Teacher Rankings'!A:A,"&gt;="&amp;$B$4,'Teacher Rankings'!A:A,"&lt;="&amp;$B$5))</f>
        <v/>
      </c>
      <c r="D186">
        <f>IF($C186=0,"",ROUND(AVERAGEIFS('Teacher Rankings'!I:I,'Teacher Rankings'!B:B,$A186,'Teacher Rankings'!A:A,"&gt;="&amp;$B$4,'Teacher Rankings'!A:A,"&lt;="&amp;$B$5),0))</f>
        <v/>
      </c>
      <c r="E186">
        <f>IF($C186=0,"",IFERROR(INDEX('Teacher Rankings'!I:I,MATCH(1,('Teacher Rankings'!B:B=$A186)*('Teacher Rankings'!A:A=$B$5),0)),0) - IFERROR(INDEX('Teacher Rankings'!I:I,MATCH(1,('Teacher Rankings'!B:B=$A186)*('Teacher Rankings'!A:A=$B$4),0)),0))</f>
        <v/>
      </c>
      <c r="F186">
        <f>IF($C186=0,"",ROUND(100*COUNTIFS('Teacher Rankings'!B:B,$A186,'Teacher Rankings'!A:A,"&gt;="&amp;$B$4,'Teacher Rankings'!A:A,"&lt;="&amp;$B$5,'Teacher Rankings'!F:F,20)/$C186,0))</f>
        <v/>
      </c>
      <c r="G186">
        <f>IF($C186=0,"",ROUND(100*COUNTIFS('Teacher Rankings'!B:B,$A186,'Teacher Rankings'!A:A,"&gt;="&amp;$B$4,'Teacher Rankings'!A:A,"&lt;="&amp;$B$5,'Teacher Rankings'!D:D,20)/$C186,0))</f>
        <v/>
      </c>
      <c r="H186">
        <f>IF($C186=0,"",ROUND(100*COUNTIFS('Teacher Rankings'!B:B,$A186,'Teacher Rankings'!A:A,"&gt;="&amp;$B$4,'Teacher Rankings'!A:A,"&lt;="&amp;$B$5,'Teacher Rankings'!H:H,20)/$C186,0))</f>
        <v/>
      </c>
      <c r="I186">
        <f>IF($C186=0,"",ROUND(100*COUNTIFS('Teacher Rankings'!B:B,$A186,'Teacher Rankings'!A:A,"&gt;="&amp;$B$4,'Teacher Rankings'!A:A,"&lt;="&amp;$B$5,'Teacher Rankings'!G:G,20)/$C186,0))</f>
        <v/>
      </c>
    </row>
    <row r="187">
      <c r="A187">
        <f>IF(Teachers!A181="","",Teachers!A181)</f>
        <v/>
      </c>
      <c r="B187">
        <f>IF($A187="","",Teachers!B181)</f>
        <v/>
      </c>
      <c r="C187">
        <f>IF($A187="","",COUNTIFS('Teacher Rankings'!B:B,$A187,'Teacher Rankings'!A:A,"&gt;="&amp;$B$4,'Teacher Rankings'!A:A,"&lt;="&amp;$B$5))</f>
        <v/>
      </c>
      <c r="D187">
        <f>IF($C187=0,"",ROUND(AVERAGEIFS('Teacher Rankings'!I:I,'Teacher Rankings'!B:B,$A187,'Teacher Rankings'!A:A,"&gt;="&amp;$B$4,'Teacher Rankings'!A:A,"&lt;="&amp;$B$5),0))</f>
        <v/>
      </c>
      <c r="E187">
        <f>IF($C187=0,"",IFERROR(INDEX('Teacher Rankings'!I:I,MATCH(1,('Teacher Rankings'!B:B=$A187)*('Teacher Rankings'!A:A=$B$5),0)),0) - IFERROR(INDEX('Teacher Rankings'!I:I,MATCH(1,('Teacher Rankings'!B:B=$A187)*('Teacher Rankings'!A:A=$B$4),0)),0))</f>
        <v/>
      </c>
      <c r="F187">
        <f>IF($C187=0,"",ROUND(100*COUNTIFS('Teacher Rankings'!B:B,$A187,'Teacher Rankings'!A:A,"&gt;="&amp;$B$4,'Teacher Rankings'!A:A,"&lt;="&amp;$B$5,'Teacher Rankings'!F:F,20)/$C187,0))</f>
        <v/>
      </c>
      <c r="G187">
        <f>IF($C187=0,"",ROUND(100*COUNTIFS('Teacher Rankings'!B:B,$A187,'Teacher Rankings'!A:A,"&gt;="&amp;$B$4,'Teacher Rankings'!A:A,"&lt;="&amp;$B$5,'Teacher Rankings'!D:D,20)/$C187,0))</f>
        <v/>
      </c>
      <c r="H187">
        <f>IF($C187=0,"",ROUND(100*COUNTIFS('Teacher Rankings'!B:B,$A187,'Teacher Rankings'!A:A,"&gt;="&amp;$B$4,'Teacher Rankings'!A:A,"&lt;="&amp;$B$5,'Teacher Rankings'!H:H,20)/$C187,0))</f>
        <v/>
      </c>
      <c r="I187">
        <f>IF($C187=0,"",ROUND(100*COUNTIFS('Teacher Rankings'!B:B,$A187,'Teacher Rankings'!A:A,"&gt;="&amp;$B$4,'Teacher Rankings'!A:A,"&lt;="&amp;$B$5,'Teacher Rankings'!G:G,20)/$C187,0))</f>
        <v/>
      </c>
    </row>
    <row r="188">
      <c r="A188">
        <f>IF(Teachers!A182="","",Teachers!A182)</f>
        <v/>
      </c>
      <c r="B188">
        <f>IF($A188="","",Teachers!B182)</f>
        <v/>
      </c>
      <c r="C188">
        <f>IF($A188="","",COUNTIFS('Teacher Rankings'!B:B,$A188,'Teacher Rankings'!A:A,"&gt;="&amp;$B$4,'Teacher Rankings'!A:A,"&lt;="&amp;$B$5))</f>
        <v/>
      </c>
      <c r="D188">
        <f>IF($C188=0,"",ROUND(AVERAGEIFS('Teacher Rankings'!I:I,'Teacher Rankings'!B:B,$A188,'Teacher Rankings'!A:A,"&gt;="&amp;$B$4,'Teacher Rankings'!A:A,"&lt;="&amp;$B$5),0))</f>
        <v/>
      </c>
      <c r="E188">
        <f>IF($C188=0,"",IFERROR(INDEX('Teacher Rankings'!I:I,MATCH(1,('Teacher Rankings'!B:B=$A188)*('Teacher Rankings'!A:A=$B$5),0)),0) - IFERROR(INDEX('Teacher Rankings'!I:I,MATCH(1,('Teacher Rankings'!B:B=$A188)*('Teacher Rankings'!A:A=$B$4),0)),0))</f>
        <v/>
      </c>
      <c r="F188">
        <f>IF($C188=0,"",ROUND(100*COUNTIFS('Teacher Rankings'!B:B,$A188,'Teacher Rankings'!A:A,"&gt;="&amp;$B$4,'Teacher Rankings'!A:A,"&lt;="&amp;$B$5,'Teacher Rankings'!F:F,20)/$C188,0))</f>
        <v/>
      </c>
      <c r="G188">
        <f>IF($C188=0,"",ROUND(100*COUNTIFS('Teacher Rankings'!B:B,$A188,'Teacher Rankings'!A:A,"&gt;="&amp;$B$4,'Teacher Rankings'!A:A,"&lt;="&amp;$B$5,'Teacher Rankings'!D:D,20)/$C188,0))</f>
        <v/>
      </c>
      <c r="H188">
        <f>IF($C188=0,"",ROUND(100*COUNTIFS('Teacher Rankings'!B:B,$A188,'Teacher Rankings'!A:A,"&gt;="&amp;$B$4,'Teacher Rankings'!A:A,"&lt;="&amp;$B$5,'Teacher Rankings'!H:H,20)/$C188,0))</f>
        <v/>
      </c>
      <c r="I188">
        <f>IF($C188=0,"",ROUND(100*COUNTIFS('Teacher Rankings'!B:B,$A188,'Teacher Rankings'!A:A,"&gt;="&amp;$B$4,'Teacher Rankings'!A:A,"&lt;="&amp;$B$5,'Teacher Rankings'!G:G,20)/$C188,0))</f>
        <v/>
      </c>
    </row>
    <row r="189">
      <c r="A189">
        <f>IF(Teachers!A183="","",Teachers!A183)</f>
        <v/>
      </c>
      <c r="B189">
        <f>IF($A189="","",Teachers!B183)</f>
        <v/>
      </c>
      <c r="C189">
        <f>IF($A189="","",COUNTIFS('Teacher Rankings'!B:B,$A189,'Teacher Rankings'!A:A,"&gt;="&amp;$B$4,'Teacher Rankings'!A:A,"&lt;="&amp;$B$5))</f>
        <v/>
      </c>
      <c r="D189">
        <f>IF($C189=0,"",ROUND(AVERAGEIFS('Teacher Rankings'!I:I,'Teacher Rankings'!B:B,$A189,'Teacher Rankings'!A:A,"&gt;="&amp;$B$4,'Teacher Rankings'!A:A,"&lt;="&amp;$B$5),0))</f>
        <v/>
      </c>
      <c r="E189">
        <f>IF($C189=0,"",IFERROR(INDEX('Teacher Rankings'!I:I,MATCH(1,('Teacher Rankings'!B:B=$A189)*('Teacher Rankings'!A:A=$B$5),0)),0) - IFERROR(INDEX('Teacher Rankings'!I:I,MATCH(1,('Teacher Rankings'!B:B=$A189)*('Teacher Rankings'!A:A=$B$4),0)),0))</f>
        <v/>
      </c>
      <c r="F189">
        <f>IF($C189=0,"",ROUND(100*COUNTIFS('Teacher Rankings'!B:B,$A189,'Teacher Rankings'!A:A,"&gt;="&amp;$B$4,'Teacher Rankings'!A:A,"&lt;="&amp;$B$5,'Teacher Rankings'!F:F,20)/$C189,0))</f>
        <v/>
      </c>
      <c r="G189">
        <f>IF($C189=0,"",ROUND(100*COUNTIFS('Teacher Rankings'!B:B,$A189,'Teacher Rankings'!A:A,"&gt;="&amp;$B$4,'Teacher Rankings'!A:A,"&lt;="&amp;$B$5,'Teacher Rankings'!D:D,20)/$C189,0))</f>
        <v/>
      </c>
      <c r="H189">
        <f>IF($C189=0,"",ROUND(100*COUNTIFS('Teacher Rankings'!B:B,$A189,'Teacher Rankings'!A:A,"&gt;="&amp;$B$4,'Teacher Rankings'!A:A,"&lt;="&amp;$B$5,'Teacher Rankings'!H:H,20)/$C189,0))</f>
        <v/>
      </c>
      <c r="I189">
        <f>IF($C189=0,"",ROUND(100*COUNTIFS('Teacher Rankings'!B:B,$A189,'Teacher Rankings'!A:A,"&gt;="&amp;$B$4,'Teacher Rankings'!A:A,"&lt;="&amp;$B$5,'Teacher Rankings'!G:G,20)/$C189,0))</f>
        <v/>
      </c>
    </row>
    <row r="190">
      <c r="A190">
        <f>IF(Teachers!A184="","",Teachers!A184)</f>
        <v/>
      </c>
      <c r="B190">
        <f>IF($A190="","",Teachers!B184)</f>
        <v/>
      </c>
      <c r="C190">
        <f>IF($A190="","",COUNTIFS('Teacher Rankings'!B:B,$A190,'Teacher Rankings'!A:A,"&gt;="&amp;$B$4,'Teacher Rankings'!A:A,"&lt;="&amp;$B$5))</f>
        <v/>
      </c>
      <c r="D190">
        <f>IF($C190=0,"",ROUND(AVERAGEIFS('Teacher Rankings'!I:I,'Teacher Rankings'!B:B,$A190,'Teacher Rankings'!A:A,"&gt;="&amp;$B$4,'Teacher Rankings'!A:A,"&lt;="&amp;$B$5),0))</f>
        <v/>
      </c>
      <c r="E190">
        <f>IF($C190=0,"",IFERROR(INDEX('Teacher Rankings'!I:I,MATCH(1,('Teacher Rankings'!B:B=$A190)*('Teacher Rankings'!A:A=$B$5),0)),0) - IFERROR(INDEX('Teacher Rankings'!I:I,MATCH(1,('Teacher Rankings'!B:B=$A190)*('Teacher Rankings'!A:A=$B$4),0)),0))</f>
        <v/>
      </c>
      <c r="F190">
        <f>IF($C190=0,"",ROUND(100*COUNTIFS('Teacher Rankings'!B:B,$A190,'Teacher Rankings'!A:A,"&gt;="&amp;$B$4,'Teacher Rankings'!A:A,"&lt;="&amp;$B$5,'Teacher Rankings'!F:F,20)/$C190,0))</f>
        <v/>
      </c>
      <c r="G190">
        <f>IF($C190=0,"",ROUND(100*COUNTIFS('Teacher Rankings'!B:B,$A190,'Teacher Rankings'!A:A,"&gt;="&amp;$B$4,'Teacher Rankings'!A:A,"&lt;="&amp;$B$5,'Teacher Rankings'!D:D,20)/$C190,0))</f>
        <v/>
      </c>
      <c r="H190">
        <f>IF($C190=0,"",ROUND(100*COUNTIFS('Teacher Rankings'!B:B,$A190,'Teacher Rankings'!A:A,"&gt;="&amp;$B$4,'Teacher Rankings'!A:A,"&lt;="&amp;$B$5,'Teacher Rankings'!H:H,20)/$C190,0))</f>
        <v/>
      </c>
      <c r="I190">
        <f>IF($C190=0,"",ROUND(100*COUNTIFS('Teacher Rankings'!B:B,$A190,'Teacher Rankings'!A:A,"&gt;="&amp;$B$4,'Teacher Rankings'!A:A,"&lt;="&amp;$B$5,'Teacher Rankings'!G:G,20)/$C190,0))</f>
        <v/>
      </c>
    </row>
    <row r="191">
      <c r="A191">
        <f>IF(Teachers!A185="","",Teachers!A185)</f>
        <v/>
      </c>
      <c r="B191">
        <f>IF($A191="","",Teachers!B185)</f>
        <v/>
      </c>
      <c r="C191">
        <f>IF($A191="","",COUNTIFS('Teacher Rankings'!B:B,$A191,'Teacher Rankings'!A:A,"&gt;="&amp;$B$4,'Teacher Rankings'!A:A,"&lt;="&amp;$B$5))</f>
        <v/>
      </c>
      <c r="D191">
        <f>IF($C191=0,"",ROUND(AVERAGEIFS('Teacher Rankings'!I:I,'Teacher Rankings'!B:B,$A191,'Teacher Rankings'!A:A,"&gt;="&amp;$B$4,'Teacher Rankings'!A:A,"&lt;="&amp;$B$5),0))</f>
        <v/>
      </c>
      <c r="E191">
        <f>IF($C191=0,"",IFERROR(INDEX('Teacher Rankings'!I:I,MATCH(1,('Teacher Rankings'!B:B=$A191)*('Teacher Rankings'!A:A=$B$5),0)),0) - IFERROR(INDEX('Teacher Rankings'!I:I,MATCH(1,('Teacher Rankings'!B:B=$A191)*('Teacher Rankings'!A:A=$B$4),0)),0))</f>
        <v/>
      </c>
      <c r="F191">
        <f>IF($C191=0,"",ROUND(100*COUNTIFS('Teacher Rankings'!B:B,$A191,'Teacher Rankings'!A:A,"&gt;="&amp;$B$4,'Teacher Rankings'!A:A,"&lt;="&amp;$B$5,'Teacher Rankings'!F:F,20)/$C191,0))</f>
        <v/>
      </c>
      <c r="G191">
        <f>IF($C191=0,"",ROUND(100*COUNTIFS('Teacher Rankings'!B:B,$A191,'Teacher Rankings'!A:A,"&gt;="&amp;$B$4,'Teacher Rankings'!A:A,"&lt;="&amp;$B$5,'Teacher Rankings'!D:D,20)/$C191,0))</f>
        <v/>
      </c>
      <c r="H191">
        <f>IF($C191=0,"",ROUND(100*COUNTIFS('Teacher Rankings'!B:B,$A191,'Teacher Rankings'!A:A,"&gt;="&amp;$B$4,'Teacher Rankings'!A:A,"&lt;="&amp;$B$5,'Teacher Rankings'!H:H,20)/$C191,0))</f>
        <v/>
      </c>
      <c r="I191">
        <f>IF($C191=0,"",ROUND(100*COUNTIFS('Teacher Rankings'!B:B,$A191,'Teacher Rankings'!A:A,"&gt;="&amp;$B$4,'Teacher Rankings'!A:A,"&lt;="&amp;$B$5,'Teacher Rankings'!G:G,20)/$C191,0))</f>
        <v/>
      </c>
    </row>
    <row r="192">
      <c r="A192">
        <f>IF(Teachers!A186="","",Teachers!A186)</f>
        <v/>
      </c>
      <c r="B192">
        <f>IF($A192="","",Teachers!B186)</f>
        <v/>
      </c>
      <c r="C192">
        <f>IF($A192="","",COUNTIFS('Teacher Rankings'!B:B,$A192,'Teacher Rankings'!A:A,"&gt;="&amp;$B$4,'Teacher Rankings'!A:A,"&lt;="&amp;$B$5))</f>
        <v/>
      </c>
      <c r="D192">
        <f>IF($C192=0,"",ROUND(AVERAGEIFS('Teacher Rankings'!I:I,'Teacher Rankings'!B:B,$A192,'Teacher Rankings'!A:A,"&gt;="&amp;$B$4,'Teacher Rankings'!A:A,"&lt;="&amp;$B$5),0))</f>
        <v/>
      </c>
      <c r="E192">
        <f>IF($C192=0,"",IFERROR(INDEX('Teacher Rankings'!I:I,MATCH(1,('Teacher Rankings'!B:B=$A192)*('Teacher Rankings'!A:A=$B$5),0)),0) - IFERROR(INDEX('Teacher Rankings'!I:I,MATCH(1,('Teacher Rankings'!B:B=$A192)*('Teacher Rankings'!A:A=$B$4),0)),0))</f>
        <v/>
      </c>
      <c r="F192">
        <f>IF($C192=0,"",ROUND(100*COUNTIFS('Teacher Rankings'!B:B,$A192,'Teacher Rankings'!A:A,"&gt;="&amp;$B$4,'Teacher Rankings'!A:A,"&lt;="&amp;$B$5,'Teacher Rankings'!F:F,20)/$C192,0))</f>
        <v/>
      </c>
      <c r="G192">
        <f>IF($C192=0,"",ROUND(100*COUNTIFS('Teacher Rankings'!B:B,$A192,'Teacher Rankings'!A:A,"&gt;="&amp;$B$4,'Teacher Rankings'!A:A,"&lt;="&amp;$B$5,'Teacher Rankings'!D:D,20)/$C192,0))</f>
        <v/>
      </c>
      <c r="H192">
        <f>IF($C192=0,"",ROUND(100*COUNTIFS('Teacher Rankings'!B:B,$A192,'Teacher Rankings'!A:A,"&gt;="&amp;$B$4,'Teacher Rankings'!A:A,"&lt;="&amp;$B$5,'Teacher Rankings'!H:H,20)/$C192,0))</f>
        <v/>
      </c>
      <c r="I192">
        <f>IF($C192=0,"",ROUND(100*COUNTIFS('Teacher Rankings'!B:B,$A192,'Teacher Rankings'!A:A,"&gt;="&amp;$B$4,'Teacher Rankings'!A:A,"&lt;="&amp;$B$5,'Teacher Rankings'!G:G,20)/$C192,0))</f>
        <v/>
      </c>
    </row>
    <row r="193">
      <c r="A193">
        <f>IF(Teachers!A187="","",Teachers!A187)</f>
        <v/>
      </c>
      <c r="B193">
        <f>IF($A193="","",Teachers!B187)</f>
        <v/>
      </c>
      <c r="C193">
        <f>IF($A193="","",COUNTIFS('Teacher Rankings'!B:B,$A193,'Teacher Rankings'!A:A,"&gt;="&amp;$B$4,'Teacher Rankings'!A:A,"&lt;="&amp;$B$5))</f>
        <v/>
      </c>
      <c r="D193">
        <f>IF($C193=0,"",ROUND(AVERAGEIFS('Teacher Rankings'!I:I,'Teacher Rankings'!B:B,$A193,'Teacher Rankings'!A:A,"&gt;="&amp;$B$4,'Teacher Rankings'!A:A,"&lt;="&amp;$B$5),0))</f>
        <v/>
      </c>
      <c r="E193">
        <f>IF($C193=0,"",IFERROR(INDEX('Teacher Rankings'!I:I,MATCH(1,('Teacher Rankings'!B:B=$A193)*('Teacher Rankings'!A:A=$B$5),0)),0) - IFERROR(INDEX('Teacher Rankings'!I:I,MATCH(1,('Teacher Rankings'!B:B=$A193)*('Teacher Rankings'!A:A=$B$4),0)),0))</f>
        <v/>
      </c>
      <c r="F193">
        <f>IF($C193=0,"",ROUND(100*COUNTIFS('Teacher Rankings'!B:B,$A193,'Teacher Rankings'!A:A,"&gt;="&amp;$B$4,'Teacher Rankings'!A:A,"&lt;="&amp;$B$5,'Teacher Rankings'!F:F,20)/$C193,0))</f>
        <v/>
      </c>
      <c r="G193">
        <f>IF($C193=0,"",ROUND(100*COUNTIFS('Teacher Rankings'!B:B,$A193,'Teacher Rankings'!A:A,"&gt;="&amp;$B$4,'Teacher Rankings'!A:A,"&lt;="&amp;$B$5,'Teacher Rankings'!D:D,20)/$C193,0))</f>
        <v/>
      </c>
      <c r="H193">
        <f>IF($C193=0,"",ROUND(100*COUNTIFS('Teacher Rankings'!B:B,$A193,'Teacher Rankings'!A:A,"&gt;="&amp;$B$4,'Teacher Rankings'!A:A,"&lt;="&amp;$B$5,'Teacher Rankings'!H:H,20)/$C193,0))</f>
        <v/>
      </c>
      <c r="I193">
        <f>IF($C193=0,"",ROUND(100*COUNTIFS('Teacher Rankings'!B:B,$A193,'Teacher Rankings'!A:A,"&gt;="&amp;$B$4,'Teacher Rankings'!A:A,"&lt;="&amp;$B$5,'Teacher Rankings'!G:G,20)/$C193,0))</f>
        <v/>
      </c>
    </row>
    <row r="194">
      <c r="A194">
        <f>IF(Teachers!A188="","",Teachers!A188)</f>
        <v/>
      </c>
      <c r="B194">
        <f>IF($A194="","",Teachers!B188)</f>
        <v/>
      </c>
      <c r="C194">
        <f>IF($A194="","",COUNTIFS('Teacher Rankings'!B:B,$A194,'Teacher Rankings'!A:A,"&gt;="&amp;$B$4,'Teacher Rankings'!A:A,"&lt;="&amp;$B$5))</f>
        <v/>
      </c>
      <c r="D194">
        <f>IF($C194=0,"",ROUND(AVERAGEIFS('Teacher Rankings'!I:I,'Teacher Rankings'!B:B,$A194,'Teacher Rankings'!A:A,"&gt;="&amp;$B$4,'Teacher Rankings'!A:A,"&lt;="&amp;$B$5),0))</f>
        <v/>
      </c>
      <c r="E194">
        <f>IF($C194=0,"",IFERROR(INDEX('Teacher Rankings'!I:I,MATCH(1,('Teacher Rankings'!B:B=$A194)*('Teacher Rankings'!A:A=$B$5),0)),0) - IFERROR(INDEX('Teacher Rankings'!I:I,MATCH(1,('Teacher Rankings'!B:B=$A194)*('Teacher Rankings'!A:A=$B$4),0)),0))</f>
        <v/>
      </c>
      <c r="F194">
        <f>IF($C194=0,"",ROUND(100*COUNTIFS('Teacher Rankings'!B:B,$A194,'Teacher Rankings'!A:A,"&gt;="&amp;$B$4,'Teacher Rankings'!A:A,"&lt;="&amp;$B$5,'Teacher Rankings'!F:F,20)/$C194,0))</f>
        <v/>
      </c>
      <c r="G194">
        <f>IF($C194=0,"",ROUND(100*COUNTIFS('Teacher Rankings'!B:B,$A194,'Teacher Rankings'!A:A,"&gt;="&amp;$B$4,'Teacher Rankings'!A:A,"&lt;="&amp;$B$5,'Teacher Rankings'!D:D,20)/$C194,0))</f>
        <v/>
      </c>
      <c r="H194">
        <f>IF($C194=0,"",ROUND(100*COUNTIFS('Teacher Rankings'!B:B,$A194,'Teacher Rankings'!A:A,"&gt;="&amp;$B$4,'Teacher Rankings'!A:A,"&lt;="&amp;$B$5,'Teacher Rankings'!H:H,20)/$C194,0))</f>
        <v/>
      </c>
      <c r="I194">
        <f>IF($C194=0,"",ROUND(100*COUNTIFS('Teacher Rankings'!B:B,$A194,'Teacher Rankings'!A:A,"&gt;="&amp;$B$4,'Teacher Rankings'!A:A,"&lt;="&amp;$B$5,'Teacher Rankings'!G:G,20)/$C194,0))</f>
        <v/>
      </c>
    </row>
    <row r="195">
      <c r="A195">
        <f>IF(Teachers!A189="","",Teachers!A189)</f>
        <v/>
      </c>
      <c r="B195">
        <f>IF($A195="","",Teachers!B189)</f>
        <v/>
      </c>
      <c r="C195">
        <f>IF($A195="","",COUNTIFS('Teacher Rankings'!B:B,$A195,'Teacher Rankings'!A:A,"&gt;="&amp;$B$4,'Teacher Rankings'!A:A,"&lt;="&amp;$B$5))</f>
        <v/>
      </c>
      <c r="D195">
        <f>IF($C195=0,"",ROUND(AVERAGEIFS('Teacher Rankings'!I:I,'Teacher Rankings'!B:B,$A195,'Teacher Rankings'!A:A,"&gt;="&amp;$B$4,'Teacher Rankings'!A:A,"&lt;="&amp;$B$5),0))</f>
        <v/>
      </c>
      <c r="E195">
        <f>IF($C195=0,"",IFERROR(INDEX('Teacher Rankings'!I:I,MATCH(1,('Teacher Rankings'!B:B=$A195)*('Teacher Rankings'!A:A=$B$5),0)),0) - IFERROR(INDEX('Teacher Rankings'!I:I,MATCH(1,('Teacher Rankings'!B:B=$A195)*('Teacher Rankings'!A:A=$B$4),0)),0))</f>
        <v/>
      </c>
      <c r="F195">
        <f>IF($C195=0,"",ROUND(100*COUNTIFS('Teacher Rankings'!B:B,$A195,'Teacher Rankings'!A:A,"&gt;="&amp;$B$4,'Teacher Rankings'!A:A,"&lt;="&amp;$B$5,'Teacher Rankings'!F:F,20)/$C195,0))</f>
        <v/>
      </c>
      <c r="G195">
        <f>IF($C195=0,"",ROUND(100*COUNTIFS('Teacher Rankings'!B:B,$A195,'Teacher Rankings'!A:A,"&gt;="&amp;$B$4,'Teacher Rankings'!A:A,"&lt;="&amp;$B$5,'Teacher Rankings'!D:D,20)/$C195,0))</f>
        <v/>
      </c>
      <c r="H195">
        <f>IF($C195=0,"",ROUND(100*COUNTIFS('Teacher Rankings'!B:B,$A195,'Teacher Rankings'!A:A,"&gt;="&amp;$B$4,'Teacher Rankings'!A:A,"&lt;="&amp;$B$5,'Teacher Rankings'!H:H,20)/$C195,0))</f>
        <v/>
      </c>
      <c r="I195">
        <f>IF($C195=0,"",ROUND(100*COUNTIFS('Teacher Rankings'!B:B,$A195,'Teacher Rankings'!A:A,"&gt;="&amp;$B$4,'Teacher Rankings'!A:A,"&lt;="&amp;$B$5,'Teacher Rankings'!G:G,20)/$C195,0))</f>
        <v/>
      </c>
    </row>
    <row r="196">
      <c r="A196">
        <f>IF(Teachers!A190="","",Teachers!A190)</f>
        <v/>
      </c>
      <c r="B196">
        <f>IF($A196="","",Teachers!B190)</f>
        <v/>
      </c>
      <c r="C196">
        <f>IF($A196="","",COUNTIFS('Teacher Rankings'!B:B,$A196,'Teacher Rankings'!A:A,"&gt;="&amp;$B$4,'Teacher Rankings'!A:A,"&lt;="&amp;$B$5))</f>
        <v/>
      </c>
      <c r="D196">
        <f>IF($C196=0,"",ROUND(AVERAGEIFS('Teacher Rankings'!I:I,'Teacher Rankings'!B:B,$A196,'Teacher Rankings'!A:A,"&gt;="&amp;$B$4,'Teacher Rankings'!A:A,"&lt;="&amp;$B$5),0))</f>
        <v/>
      </c>
      <c r="E196">
        <f>IF($C196=0,"",IFERROR(INDEX('Teacher Rankings'!I:I,MATCH(1,('Teacher Rankings'!B:B=$A196)*('Teacher Rankings'!A:A=$B$5),0)),0) - IFERROR(INDEX('Teacher Rankings'!I:I,MATCH(1,('Teacher Rankings'!B:B=$A196)*('Teacher Rankings'!A:A=$B$4),0)),0))</f>
        <v/>
      </c>
      <c r="F196">
        <f>IF($C196=0,"",ROUND(100*COUNTIFS('Teacher Rankings'!B:B,$A196,'Teacher Rankings'!A:A,"&gt;="&amp;$B$4,'Teacher Rankings'!A:A,"&lt;="&amp;$B$5,'Teacher Rankings'!F:F,20)/$C196,0))</f>
        <v/>
      </c>
      <c r="G196">
        <f>IF($C196=0,"",ROUND(100*COUNTIFS('Teacher Rankings'!B:B,$A196,'Teacher Rankings'!A:A,"&gt;="&amp;$B$4,'Teacher Rankings'!A:A,"&lt;="&amp;$B$5,'Teacher Rankings'!D:D,20)/$C196,0))</f>
        <v/>
      </c>
      <c r="H196">
        <f>IF($C196=0,"",ROUND(100*COUNTIFS('Teacher Rankings'!B:B,$A196,'Teacher Rankings'!A:A,"&gt;="&amp;$B$4,'Teacher Rankings'!A:A,"&lt;="&amp;$B$5,'Teacher Rankings'!H:H,20)/$C196,0))</f>
        <v/>
      </c>
      <c r="I196">
        <f>IF($C196=0,"",ROUND(100*COUNTIFS('Teacher Rankings'!B:B,$A196,'Teacher Rankings'!A:A,"&gt;="&amp;$B$4,'Teacher Rankings'!A:A,"&lt;="&amp;$B$5,'Teacher Rankings'!G:G,20)/$C196,0))</f>
        <v/>
      </c>
    </row>
    <row r="197">
      <c r="A197">
        <f>IF(Teachers!A191="","",Teachers!A191)</f>
        <v/>
      </c>
      <c r="B197">
        <f>IF($A197="","",Teachers!B191)</f>
        <v/>
      </c>
      <c r="C197">
        <f>IF($A197="","",COUNTIFS('Teacher Rankings'!B:B,$A197,'Teacher Rankings'!A:A,"&gt;="&amp;$B$4,'Teacher Rankings'!A:A,"&lt;="&amp;$B$5))</f>
        <v/>
      </c>
      <c r="D197">
        <f>IF($C197=0,"",ROUND(AVERAGEIFS('Teacher Rankings'!I:I,'Teacher Rankings'!B:B,$A197,'Teacher Rankings'!A:A,"&gt;="&amp;$B$4,'Teacher Rankings'!A:A,"&lt;="&amp;$B$5),0))</f>
        <v/>
      </c>
      <c r="E197">
        <f>IF($C197=0,"",IFERROR(INDEX('Teacher Rankings'!I:I,MATCH(1,('Teacher Rankings'!B:B=$A197)*('Teacher Rankings'!A:A=$B$5),0)),0) - IFERROR(INDEX('Teacher Rankings'!I:I,MATCH(1,('Teacher Rankings'!B:B=$A197)*('Teacher Rankings'!A:A=$B$4),0)),0))</f>
        <v/>
      </c>
      <c r="F197">
        <f>IF($C197=0,"",ROUND(100*COUNTIFS('Teacher Rankings'!B:B,$A197,'Teacher Rankings'!A:A,"&gt;="&amp;$B$4,'Teacher Rankings'!A:A,"&lt;="&amp;$B$5,'Teacher Rankings'!F:F,20)/$C197,0))</f>
        <v/>
      </c>
      <c r="G197">
        <f>IF($C197=0,"",ROUND(100*COUNTIFS('Teacher Rankings'!B:B,$A197,'Teacher Rankings'!A:A,"&gt;="&amp;$B$4,'Teacher Rankings'!A:A,"&lt;="&amp;$B$5,'Teacher Rankings'!D:D,20)/$C197,0))</f>
        <v/>
      </c>
      <c r="H197">
        <f>IF($C197=0,"",ROUND(100*COUNTIFS('Teacher Rankings'!B:B,$A197,'Teacher Rankings'!A:A,"&gt;="&amp;$B$4,'Teacher Rankings'!A:A,"&lt;="&amp;$B$5,'Teacher Rankings'!H:H,20)/$C197,0))</f>
        <v/>
      </c>
      <c r="I197">
        <f>IF($C197=0,"",ROUND(100*COUNTIFS('Teacher Rankings'!B:B,$A197,'Teacher Rankings'!A:A,"&gt;="&amp;$B$4,'Teacher Rankings'!A:A,"&lt;="&amp;$B$5,'Teacher Rankings'!G:G,20)/$C197,0))</f>
        <v/>
      </c>
    </row>
    <row r="198">
      <c r="A198">
        <f>IF(Teachers!A192="","",Teachers!A192)</f>
        <v/>
      </c>
      <c r="B198">
        <f>IF($A198="","",Teachers!B192)</f>
        <v/>
      </c>
      <c r="C198">
        <f>IF($A198="","",COUNTIFS('Teacher Rankings'!B:B,$A198,'Teacher Rankings'!A:A,"&gt;="&amp;$B$4,'Teacher Rankings'!A:A,"&lt;="&amp;$B$5))</f>
        <v/>
      </c>
      <c r="D198">
        <f>IF($C198=0,"",ROUND(AVERAGEIFS('Teacher Rankings'!I:I,'Teacher Rankings'!B:B,$A198,'Teacher Rankings'!A:A,"&gt;="&amp;$B$4,'Teacher Rankings'!A:A,"&lt;="&amp;$B$5),0))</f>
        <v/>
      </c>
      <c r="E198">
        <f>IF($C198=0,"",IFERROR(INDEX('Teacher Rankings'!I:I,MATCH(1,('Teacher Rankings'!B:B=$A198)*('Teacher Rankings'!A:A=$B$5),0)),0) - IFERROR(INDEX('Teacher Rankings'!I:I,MATCH(1,('Teacher Rankings'!B:B=$A198)*('Teacher Rankings'!A:A=$B$4),0)),0))</f>
        <v/>
      </c>
      <c r="F198">
        <f>IF($C198=0,"",ROUND(100*COUNTIFS('Teacher Rankings'!B:B,$A198,'Teacher Rankings'!A:A,"&gt;="&amp;$B$4,'Teacher Rankings'!A:A,"&lt;="&amp;$B$5,'Teacher Rankings'!F:F,20)/$C198,0))</f>
        <v/>
      </c>
      <c r="G198">
        <f>IF($C198=0,"",ROUND(100*COUNTIFS('Teacher Rankings'!B:B,$A198,'Teacher Rankings'!A:A,"&gt;="&amp;$B$4,'Teacher Rankings'!A:A,"&lt;="&amp;$B$5,'Teacher Rankings'!D:D,20)/$C198,0))</f>
        <v/>
      </c>
      <c r="H198">
        <f>IF($C198=0,"",ROUND(100*COUNTIFS('Teacher Rankings'!B:B,$A198,'Teacher Rankings'!A:A,"&gt;="&amp;$B$4,'Teacher Rankings'!A:A,"&lt;="&amp;$B$5,'Teacher Rankings'!H:H,20)/$C198,0))</f>
        <v/>
      </c>
      <c r="I198">
        <f>IF($C198=0,"",ROUND(100*COUNTIFS('Teacher Rankings'!B:B,$A198,'Teacher Rankings'!A:A,"&gt;="&amp;$B$4,'Teacher Rankings'!A:A,"&lt;="&amp;$B$5,'Teacher Rankings'!G:G,20)/$C198,0))</f>
        <v/>
      </c>
    </row>
    <row r="199">
      <c r="A199">
        <f>IF(Teachers!A193="","",Teachers!A193)</f>
        <v/>
      </c>
      <c r="B199">
        <f>IF($A199="","",Teachers!B193)</f>
        <v/>
      </c>
      <c r="C199">
        <f>IF($A199="","",COUNTIFS('Teacher Rankings'!B:B,$A199,'Teacher Rankings'!A:A,"&gt;="&amp;$B$4,'Teacher Rankings'!A:A,"&lt;="&amp;$B$5))</f>
        <v/>
      </c>
      <c r="D199">
        <f>IF($C199=0,"",ROUND(AVERAGEIFS('Teacher Rankings'!I:I,'Teacher Rankings'!B:B,$A199,'Teacher Rankings'!A:A,"&gt;="&amp;$B$4,'Teacher Rankings'!A:A,"&lt;="&amp;$B$5),0))</f>
        <v/>
      </c>
      <c r="E199">
        <f>IF($C199=0,"",IFERROR(INDEX('Teacher Rankings'!I:I,MATCH(1,('Teacher Rankings'!B:B=$A199)*('Teacher Rankings'!A:A=$B$5),0)),0) - IFERROR(INDEX('Teacher Rankings'!I:I,MATCH(1,('Teacher Rankings'!B:B=$A199)*('Teacher Rankings'!A:A=$B$4),0)),0))</f>
        <v/>
      </c>
      <c r="F199">
        <f>IF($C199=0,"",ROUND(100*COUNTIFS('Teacher Rankings'!B:B,$A199,'Teacher Rankings'!A:A,"&gt;="&amp;$B$4,'Teacher Rankings'!A:A,"&lt;="&amp;$B$5,'Teacher Rankings'!F:F,20)/$C199,0))</f>
        <v/>
      </c>
      <c r="G199">
        <f>IF($C199=0,"",ROUND(100*COUNTIFS('Teacher Rankings'!B:B,$A199,'Teacher Rankings'!A:A,"&gt;="&amp;$B$4,'Teacher Rankings'!A:A,"&lt;="&amp;$B$5,'Teacher Rankings'!D:D,20)/$C199,0))</f>
        <v/>
      </c>
      <c r="H199">
        <f>IF($C199=0,"",ROUND(100*COUNTIFS('Teacher Rankings'!B:B,$A199,'Teacher Rankings'!A:A,"&gt;="&amp;$B$4,'Teacher Rankings'!A:A,"&lt;="&amp;$B$5,'Teacher Rankings'!H:H,20)/$C199,0))</f>
        <v/>
      </c>
      <c r="I199">
        <f>IF($C199=0,"",ROUND(100*COUNTIFS('Teacher Rankings'!B:B,$A199,'Teacher Rankings'!A:A,"&gt;="&amp;$B$4,'Teacher Rankings'!A:A,"&lt;="&amp;$B$5,'Teacher Rankings'!G:G,20)/$C199,0))</f>
        <v/>
      </c>
    </row>
    <row r="200">
      <c r="A200">
        <f>IF(Teachers!A194="","",Teachers!A194)</f>
        <v/>
      </c>
      <c r="B200">
        <f>IF($A200="","",Teachers!B194)</f>
        <v/>
      </c>
      <c r="C200">
        <f>IF($A200="","",COUNTIFS('Teacher Rankings'!B:B,$A200,'Teacher Rankings'!A:A,"&gt;="&amp;$B$4,'Teacher Rankings'!A:A,"&lt;="&amp;$B$5))</f>
        <v/>
      </c>
      <c r="D200">
        <f>IF($C200=0,"",ROUND(AVERAGEIFS('Teacher Rankings'!I:I,'Teacher Rankings'!B:B,$A200,'Teacher Rankings'!A:A,"&gt;="&amp;$B$4,'Teacher Rankings'!A:A,"&lt;="&amp;$B$5),0))</f>
        <v/>
      </c>
      <c r="E200">
        <f>IF($C200=0,"",IFERROR(INDEX('Teacher Rankings'!I:I,MATCH(1,('Teacher Rankings'!B:B=$A200)*('Teacher Rankings'!A:A=$B$5),0)),0) - IFERROR(INDEX('Teacher Rankings'!I:I,MATCH(1,('Teacher Rankings'!B:B=$A200)*('Teacher Rankings'!A:A=$B$4),0)),0))</f>
        <v/>
      </c>
      <c r="F200">
        <f>IF($C200=0,"",ROUND(100*COUNTIFS('Teacher Rankings'!B:B,$A200,'Teacher Rankings'!A:A,"&gt;="&amp;$B$4,'Teacher Rankings'!A:A,"&lt;="&amp;$B$5,'Teacher Rankings'!F:F,20)/$C200,0))</f>
        <v/>
      </c>
      <c r="G200">
        <f>IF($C200=0,"",ROUND(100*COUNTIFS('Teacher Rankings'!B:B,$A200,'Teacher Rankings'!A:A,"&gt;="&amp;$B$4,'Teacher Rankings'!A:A,"&lt;="&amp;$B$5,'Teacher Rankings'!D:D,20)/$C200,0))</f>
        <v/>
      </c>
      <c r="H200">
        <f>IF($C200=0,"",ROUND(100*COUNTIFS('Teacher Rankings'!B:B,$A200,'Teacher Rankings'!A:A,"&gt;="&amp;$B$4,'Teacher Rankings'!A:A,"&lt;="&amp;$B$5,'Teacher Rankings'!H:H,20)/$C200,0))</f>
        <v/>
      </c>
      <c r="I200">
        <f>IF($C200=0,"",ROUND(100*COUNTIFS('Teacher Rankings'!B:B,$A200,'Teacher Rankings'!A:A,"&gt;="&amp;$B$4,'Teacher Rankings'!A:A,"&lt;="&amp;$B$5,'Teacher Rankings'!G:G,20)/$C200,0))</f>
        <v/>
      </c>
    </row>
    <row r="201">
      <c r="A201">
        <f>IF(Teachers!A195="","",Teachers!A195)</f>
        <v/>
      </c>
      <c r="B201">
        <f>IF($A201="","",Teachers!B195)</f>
        <v/>
      </c>
      <c r="C201">
        <f>IF($A201="","",COUNTIFS('Teacher Rankings'!B:B,$A201,'Teacher Rankings'!A:A,"&gt;="&amp;$B$4,'Teacher Rankings'!A:A,"&lt;="&amp;$B$5))</f>
        <v/>
      </c>
      <c r="D201">
        <f>IF($C201=0,"",ROUND(AVERAGEIFS('Teacher Rankings'!I:I,'Teacher Rankings'!B:B,$A201,'Teacher Rankings'!A:A,"&gt;="&amp;$B$4,'Teacher Rankings'!A:A,"&lt;="&amp;$B$5),0))</f>
        <v/>
      </c>
      <c r="E201">
        <f>IF($C201=0,"",IFERROR(INDEX('Teacher Rankings'!I:I,MATCH(1,('Teacher Rankings'!B:B=$A201)*('Teacher Rankings'!A:A=$B$5),0)),0) - IFERROR(INDEX('Teacher Rankings'!I:I,MATCH(1,('Teacher Rankings'!B:B=$A201)*('Teacher Rankings'!A:A=$B$4),0)),0))</f>
        <v/>
      </c>
      <c r="F201">
        <f>IF($C201=0,"",ROUND(100*COUNTIFS('Teacher Rankings'!B:B,$A201,'Teacher Rankings'!A:A,"&gt;="&amp;$B$4,'Teacher Rankings'!A:A,"&lt;="&amp;$B$5,'Teacher Rankings'!F:F,20)/$C201,0))</f>
        <v/>
      </c>
      <c r="G201">
        <f>IF($C201=0,"",ROUND(100*COUNTIFS('Teacher Rankings'!B:B,$A201,'Teacher Rankings'!A:A,"&gt;="&amp;$B$4,'Teacher Rankings'!A:A,"&lt;="&amp;$B$5,'Teacher Rankings'!D:D,20)/$C201,0))</f>
        <v/>
      </c>
      <c r="H201">
        <f>IF($C201=0,"",ROUND(100*COUNTIFS('Teacher Rankings'!B:B,$A201,'Teacher Rankings'!A:A,"&gt;="&amp;$B$4,'Teacher Rankings'!A:A,"&lt;="&amp;$B$5,'Teacher Rankings'!H:H,20)/$C201,0))</f>
        <v/>
      </c>
      <c r="I201">
        <f>IF($C201=0,"",ROUND(100*COUNTIFS('Teacher Rankings'!B:B,$A201,'Teacher Rankings'!A:A,"&gt;="&amp;$B$4,'Teacher Rankings'!A:A,"&lt;="&amp;$B$5,'Teacher Rankings'!G:G,20)/$C201,0))</f>
        <v/>
      </c>
    </row>
    <row r="202">
      <c r="A202">
        <f>IF(Teachers!A196="","",Teachers!A196)</f>
        <v/>
      </c>
      <c r="B202">
        <f>IF($A202="","",Teachers!B196)</f>
        <v/>
      </c>
      <c r="C202">
        <f>IF($A202="","",COUNTIFS('Teacher Rankings'!B:B,$A202,'Teacher Rankings'!A:A,"&gt;="&amp;$B$4,'Teacher Rankings'!A:A,"&lt;="&amp;$B$5))</f>
        <v/>
      </c>
      <c r="D202">
        <f>IF($C202=0,"",ROUND(AVERAGEIFS('Teacher Rankings'!I:I,'Teacher Rankings'!B:B,$A202,'Teacher Rankings'!A:A,"&gt;="&amp;$B$4,'Teacher Rankings'!A:A,"&lt;="&amp;$B$5),0))</f>
        <v/>
      </c>
      <c r="E202">
        <f>IF($C202=0,"",IFERROR(INDEX('Teacher Rankings'!I:I,MATCH(1,('Teacher Rankings'!B:B=$A202)*('Teacher Rankings'!A:A=$B$5),0)),0) - IFERROR(INDEX('Teacher Rankings'!I:I,MATCH(1,('Teacher Rankings'!B:B=$A202)*('Teacher Rankings'!A:A=$B$4),0)),0))</f>
        <v/>
      </c>
      <c r="F202">
        <f>IF($C202=0,"",ROUND(100*COUNTIFS('Teacher Rankings'!B:B,$A202,'Teacher Rankings'!A:A,"&gt;="&amp;$B$4,'Teacher Rankings'!A:A,"&lt;="&amp;$B$5,'Teacher Rankings'!F:F,20)/$C202,0))</f>
        <v/>
      </c>
      <c r="G202">
        <f>IF($C202=0,"",ROUND(100*COUNTIFS('Teacher Rankings'!B:B,$A202,'Teacher Rankings'!A:A,"&gt;="&amp;$B$4,'Teacher Rankings'!A:A,"&lt;="&amp;$B$5,'Teacher Rankings'!D:D,20)/$C202,0))</f>
        <v/>
      </c>
      <c r="H202">
        <f>IF($C202=0,"",ROUND(100*COUNTIFS('Teacher Rankings'!B:B,$A202,'Teacher Rankings'!A:A,"&gt;="&amp;$B$4,'Teacher Rankings'!A:A,"&lt;="&amp;$B$5,'Teacher Rankings'!H:H,20)/$C202,0))</f>
        <v/>
      </c>
      <c r="I202">
        <f>IF($C202=0,"",ROUND(100*COUNTIFS('Teacher Rankings'!B:B,$A202,'Teacher Rankings'!A:A,"&gt;="&amp;$B$4,'Teacher Rankings'!A:A,"&lt;="&amp;$B$5,'Teacher Rankings'!G:G,20)/$C202,0))</f>
        <v/>
      </c>
    </row>
    <row r="203">
      <c r="A203">
        <f>IF(Teachers!A197="","",Teachers!A197)</f>
        <v/>
      </c>
      <c r="B203">
        <f>IF($A203="","",Teachers!B197)</f>
        <v/>
      </c>
      <c r="C203">
        <f>IF($A203="","",COUNTIFS('Teacher Rankings'!B:B,$A203,'Teacher Rankings'!A:A,"&gt;="&amp;$B$4,'Teacher Rankings'!A:A,"&lt;="&amp;$B$5))</f>
        <v/>
      </c>
      <c r="D203">
        <f>IF($C203=0,"",ROUND(AVERAGEIFS('Teacher Rankings'!I:I,'Teacher Rankings'!B:B,$A203,'Teacher Rankings'!A:A,"&gt;="&amp;$B$4,'Teacher Rankings'!A:A,"&lt;="&amp;$B$5),0))</f>
        <v/>
      </c>
      <c r="E203">
        <f>IF($C203=0,"",IFERROR(INDEX('Teacher Rankings'!I:I,MATCH(1,('Teacher Rankings'!B:B=$A203)*('Teacher Rankings'!A:A=$B$5),0)),0) - IFERROR(INDEX('Teacher Rankings'!I:I,MATCH(1,('Teacher Rankings'!B:B=$A203)*('Teacher Rankings'!A:A=$B$4),0)),0))</f>
        <v/>
      </c>
      <c r="F203">
        <f>IF($C203=0,"",ROUND(100*COUNTIFS('Teacher Rankings'!B:B,$A203,'Teacher Rankings'!A:A,"&gt;="&amp;$B$4,'Teacher Rankings'!A:A,"&lt;="&amp;$B$5,'Teacher Rankings'!F:F,20)/$C203,0))</f>
        <v/>
      </c>
      <c r="G203">
        <f>IF($C203=0,"",ROUND(100*COUNTIFS('Teacher Rankings'!B:B,$A203,'Teacher Rankings'!A:A,"&gt;="&amp;$B$4,'Teacher Rankings'!A:A,"&lt;="&amp;$B$5,'Teacher Rankings'!D:D,20)/$C203,0))</f>
        <v/>
      </c>
      <c r="H203">
        <f>IF($C203=0,"",ROUND(100*COUNTIFS('Teacher Rankings'!B:B,$A203,'Teacher Rankings'!A:A,"&gt;="&amp;$B$4,'Teacher Rankings'!A:A,"&lt;="&amp;$B$5,'Teacher Rankings'!H:H,20)/$C203,0))</f>
        <v/>
      </c>
      <c r="I203">
        <f>IF($C203=0,"",ROUND(100*COUNTIFS('Teacher Rankings'!B:B,$A203,'Teacher Rankings'!A:A,"&gt;="&amp;$B$4,'Teacher Rankings'!A:A,"&lt;="&amp;$B$5,'Teacher Rankings'!G:G,20)/$C203,0))</f>
        <v/>
      </c>
    </row>
    <row r="204">
      <c r="A204">
        <f>IF(Teachers!A198="","",Teachers!A198)</f>
        <v/>
      </c>
      <c r="B204">
        <f>IF($A204="","",Teachers!B198)</f>
        <v/>
      </c>
      <c r="C204">
        <f>IF($A204="","",COUNTIFS('Teacher Rankings'!B:B,$A204,'Teacher Rankings'!A:A,"&gt;="&amp;$B$4,'Teacher Rankings'!A:A,"&lt;="&amp;$B$5))</f>
        <v/>
      </c>
      <c r="D204">
        <f>IF($C204=0,"",ROUND(AVERAGEIFS('Teacher Rankings'!I:I,'Teacher Rankings'!B:B,$A204,'Teacher Rankings'!A:A,"&gt;="&amp;$B$4,'Teacher Rankings'!A:A,"&lt;="&amp;$B$5),0))</f>
        <v/>
      </c>
      <c r="E204">
        <f>IF($C204=0,"",IFERROR(INDEX('Teacher Rankings'!I:I,MATCH(1,('Teacher Rankings'!B:B=$A204)*('Teacher Rankings'!A:A=$B$5),0)),0) - IFERROR(INDEX('Teacher Rankings'!I:I,MATCH(1,('Teacher Rankings'!B:B=$A204)*('Teacher Rankings'!A:A=$B$4),0)),0))</f>
        <v/>
      </c>
      <c r="F204">
        <f>IF($C204=0,"",ROUND(100*COUNTIFS('Teacher Rankings'!B:B,$A204,'Teacher Rankings'!A:A,"&gt;="&amp;$B$4,'Teacher Rankings'!A:A,"&lt;="&amp;$B$5,'Teacher Rankings'!F:F,20)/$C204,0))</f>
        <v/>
      </c>
      <c r="G204">
        <f>IF($C204=0,"",ROUND(100*COUNTIFS('Teacher Rankings'!B:B,$A204,'Teacher Rankings'!A:A,"&gt;="&amp;$B$4,'Teacher Rankings'!A:A,"&lt;="&amp;$B$5,'Teacher Rankings'!D:D,20)/$C204,0))</f>
        <v/>
      </c>
      <c r="H204">
        <f>IF($C204=0,"",ROUND(100*COUNTIFS('Teacher Rankings'!B:B,$A204,'Teacher Rankings'!A:A,"&gt;="&amp;$B$4,'Teacher Rankings'!A:A,"&lt;="&amp;$B$5,'Teacher Rankings'!H:H,20)/$C204,0))</f>
        <v/>
      </c>
      <c r="I204">
        <f>IF($C204=0,"",ROUND(100*COUNTIFS('Teacher Rankings'!B:B,$A204,'Teacher Rankings'!A:A,"&gt;="&amp;$B$4,'Teacher Rankings'!A:A,"&lt;="&amp;$B$5,'Teacher Rankings'!G:G,20)/$C204,0))</f>
        <v/>
      </c>
    </row>
    <row r="205">
      <c r="A205">
        <f>IF(Teachers!A199="","",Teachers!A199)</f>
        <v/>
      </c>
      <c r="B205">
        <f>IF($A205="","",Teachers!B199)</f>
        <v/>
      </c>
      <c r="C205">
        <f>IF($A205="","",COUNTIFS('Teacher Rankings'!B:B,$A205,'Teacher Rankings'!A:A,"&gt;="&amp;$B$4,'Teacher Rankings'!A:A,"&lt;="&amp;$B$5))</f>
        <v/>
      </c>
      <c r="D205">
        <f>IF($C205=0,"",ROUND(AVERAGEIFS('Teacher Rankings'!I:I,'Teacher Rankings'!B:B,$A205,'Teacher Rankings'!A:A,"&gt;="&amp;$B$4,'Teacher Rankings'!A:A,"&lt;="&amp;$B$5),0))</f>
        <v/>
      </c>
      <c r="E205">
        <f>IF($C205=0,"",IFERROR(INDEX('Teacher Rankings'!I:I,MATCH(1,('Teacher Rankings'!B:B=$A205)*('Teacher Rankings'!A:A=$B$5),0)),0) - IFERROR(INDEX('Teacher Rankings'!I:I,MATCH(1,('Teacher Rankings'!B:B=$A205)*('Teacher Rankings'!A:A=$B$4),0)),0))</f>
        <v/>
      </c>
      <c r="F205">
        <f>IF($C205=0,"",ROUND(100*COUNTIFS('Teacher Rankings'!B:B,$A205,'Teacher Rankings'!A:A,"&gt;="&amp;$B$4,'Teacher Rankings'!A:A,"&lt;="&amp;$B$5,'Teacher Rankings'!F:F,20)/$C205,0))</f>
        <v/>
      </c>
      <c r="G205">
        <f>IF($C205=0,"",ROUND(100*COUNTIFS('Teacher Rankings'!B:B,$A205,'Teacher Rankings'!A:A,"&gt;="&amp;$B$4,'Teacher Rankings'!A:A,"&lt;="&amp;$B$5,'Teacher Rankings'!D:D,20)/$C205,0))</f>
        <v/>
      </c>
      <c r="H205">
        <f>IF($C205=0,"",ROUND(100*COUNTIFS('Teacher Rankings'!B:B,$A205,'Teacher Rankings'!A:A,"&gt;="&amp;$B$4,'Teacher Rankings'!A:A,"&lt;="&amp;$B$5,'Teacher Rankings'!H:H,20)/$C205,0))</f>
        <v/>
      </c>
      <c r="I205">
        <f>IF($C205=0,"",ROUND(100*COUNTIFS('Teacher Rankings'!B:B,$A205,'Teacher Rankings'!A:A,"&gt;="&amp;$B$4,'Teacher Rankings'!A:A,"&lt;="&amp;$B$5,'Teacher Rankings'!G:G,20)/$C205,0))</f>
        <v/>
      </c>
    </row>
    <row r="206">
      <c r="A206">
        <f>IF(Teachers!A200="","",Teachers!A200)</f>
        <v/>
      </c>
      <c r="B206">
        <f>IF($A206="","",Teachers!B200)</f>
        <v/>
      </c>
      <c r="C206">
        <f>IF($A206="","",COUNTIFS('Teacher Rankings'!B:B,$A206,'Teacher Rankings'!A:A,"&gt;="&amp;$B$4,'Teacher Rankings'!A:A,"&lt;="&amp;$B$5))</f>
        <v/>
      </c>
      <c r="D206">
        <f>IF($C206=0,"",ROUND(AVERAGEIFS('Teacher Rankings'!I:I,'Teacher Rankings'!B:B,$A206,'Teacher Rankings'!A:A,"&gt;="&amp;$B$4,'Teacher Rankings'!A:A,"&lt;="&amp;$B$5),0))</f>
        <v/>
      </c>
      <c r="E206">
        <f>IF($C206=0,"",IFERROR(INDEX('Teacher Rankings'!I:I,MATCH(1,('Teacher Rankings'!B:B=$A206)*('Teacher Rankings'!A:A=$B$5),0)),0) - IFERROR(INDEX('Teacher Rankings'!I:I,MATCH(1,('Teacher Rankings'!B:B=$A206)*('Teacher Rankings'!A:A=$B$4),0)),0))</f>
        <v/>
      </c>
      <c r="F206">
        <f>IF($C206=0,"",ROUND(100*COUNTIFS('Teacher Rankings'!B:B,$A206,'Teacher Rankings'!A:A,"&gt;="&amp;$B$4,'Teacher Rankings'!A:A,"&lt;="&amp;$B$5,'Teacher Rankings'!F:F,20)/$C206,0))</f>
        <v/>
      </c>
      <c r="G206">
        <f>IF($C206=0,"",ROUND(100*COUNTIFS('Teacher Rankings'!B:B,$A206,'Teacher Rankings'!A:A,"&gt;="&amp;$B$4,'Teacher Rankings'!A:A,"&lt;="&amp;$B$5,'Teacher Rankings'!D:D,20)/$C206,0))</f>
        <v/>
      </c>
      <c r="H206">
        <f>IF($C206=0,"",ROUND(100*COUNTIFS('Teacher Rankings'!B:B,$A206,'Teacher Rankings'!A:A,"&gt;="&amp;$B$4,'Teacher Rankings'!A:A,"&lt;="&amp;$B$5,'Teacher Rankings'!H:H,20)/$C206,0))</f>
        <v/>
      </c>
      <c r="I206">
        <f>IF($C206=0,"",ROUND(100*COUNTIFS('Teacher Rankings'!B:B,$A206,'Teacher Rankings'!A:A,"&gt;="&amp;$B$4,'Teacher Rankings'!A:A,"&lt;="&amp;$B$5,'Teacher Rankings'!G:G,20)/$C206,0))</f>
        <v/>
      </c>
    </row>
    <row r="207">
      <c r="A207">
        <f>IF(Teachers!A201="","",Teachers!A201)</f>
        <v/>
      </c>
      <c r="B207">
        <f>IF($A207="","",Teachers!B201)</f>
        <v/>
      </c>
      <c r="C207">
        <f>IF($A207="","",COUNTIFS('Teacher Rankings'!B:B,$A207,'Teacher Rankings'!A:A,"&gt;="&amp;$B$4,'Teacher Rankings'!A:A,"&lt;="&amp;$B$5))</f>
        <v/>
      </c>
      <c r="D207">
        <f>IF($C207=0,"",ROUND(AVERAGEIFS('Teacher Rankings'!I:I,'Teacher Rankings'!B:B,$A207,'Teacher Rankings'!A:A,"&gt;="&amp;$B$4,'Teacher Rankings'!A:A,"&lt;="&amp;$B$5),0))</f>
        <v/>
      </c>
      <c r="E207">
        <f>IF($C207=0,"",IFERROR(INDEX('Teacher Rankings'!I:I,MATCH(1,('Teacher Rankings'!B:B=$A207)*('Teacher Rankings'!A:A=$B$5),0)),0) - IFERROR(INDEX('Teacher Rankings'!I:I,MATCH(1,('Teacher Rankings'!B:B=$A207)*('Teacher Rankings'!A:A=$B$4),0)),0))</f>
        <v/>
      </c>
      <c r="F207">
        <f>IF($C207=0,"",ROUND(100*COUNTIFS('Teacher Rankings'!B:B,$A207,'Teacher Rankings'!A:A,"&gt;="&amp;$B$4,'Teacher Rankings'!A:A,"&lt;="&amp;$B$5,'Teacher Rankings'!F:F,20)/$C207,0))</f>
        <v/>
      </c>
      <c r="G207">
        <f>IF($C207=0,"",ROUND(100*COUNTIFS('Teacher Rankings'!B:B,$A207,'Teacher Rankings'!A:A,"&gt;="&amp;$B$4,'Teacher Rankings'!A:A,"&lt;="&amp;$B$5,'Teacher Rankings'!D:D,20)/$C207,0))</f>
        <v/>
      </c>
      <c r="H207">
        <f>IF($C207=0,"",ROUND(100*COUNTIFS('Teacher Rankings'!B:B,$A207,'Teacher Rankings'!A:A,"&gt;="&amp;$B$4,'Teacher Rankings'!A:A,"&lt;="&amp;$B$5,'Teacher Rankings'!H:H,20)/$C207,0))</f>
        <v/>
      </c>
      <c r="I207">
        <f>IF($C207=0,"",ROUND(100*COUNTIFS('Teacher Rankings'!B:B,$A207,'Teacher Rankings'!A:A,"&gt;="&amp;$B$4,'Teacher Rankings'!A:A,"&lt;="&amp;$B$5,'Teacher Rankings'!G:G,20)/$C207,0))</f>
        <v/>
      </c>
    </row>
    <row r="210">
      <c r="A210" s="3" t="inlineStr">
        <is>
          <t>Tip: Fill Teachers sheet once. Weekly entries in 'Teacher Rankings' drive these award categories automatically.</t>
        </is>
      </c>
    </row>
  </sheetData>
  <mergeCells count="5">
    <mergeCell ref="W6:Y6"/>
    <mergeCell ref="K6:M6"/>
    <mergeCell ref="N6:P6"/>
    <mergeCell ref="T6:V6"/>
    <mergeCell ref="Q6:S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6" customWidth="1" min="4" max="4"/>
    <col width="12" customWidth="1" min="5" max="5"/>
    <col width="22" customWidth="1" min="6" max="6"/>
    <col width="2" customWidth="1" min="7" max="7"/>
    <col width="8" customWidth="1" min="8" max="8"/>
    <col width="20" customWidth="1" min="9" max="9"/>
    <col width="16" customWidth="1" min="10" max="10"/>
    <col width="12" customWidth="1" min="11" max="11"/>
    <col width="12" customWidth="1" min="12" max="12"/>
  </cols>
  <sheetData>
    <row r="1">
      <c r="A1" s="4" t="inlineStr">
        <is>
          <t>ROYAL KINGS PREMIER SCHOOL</t>
        </is>
      </c>
    </row>
    <row r="2">
      <c r="A2" s="3" t="inlineStr">
        <is>
          <t>CAMPUS &amp; DEPARTMENT (SUBJECT) AWARDS</t>
        </is>
      </c>
    </row>
    <row r="4">
      <c r="A4" s="2" t="inlineStr">
        <is>
          <t>Term Start (Week 1 Ending Date)</t>
        </is>
      </c>
      <c r="B4">
        <f>INDEX('Term Summary'!B:B,2)</f>
        <v/>
      </c>
    </row>
    <row r="5">
      <c r="A5" s="2" t="inlineStr">
        <is>
          <t>Term End (Week 14 Ending Date)</t>
        </is>
      </c>
      <c r="B5">
        <f>INDEX('Term Summary'!B:B,15)</f>
        <v/>
      </c>
    </row>
    <row r="7">
      <c r="A7" s="3" t="inlineStr">
        <is>
          <t>CAMPUS AWARDS</t>
        </is>
      </c>
    </row>
    <row r="9">
      <c r="A9" s="5" t="inlineStr">
        <is>
          <t>Campus</t>
        </is>
      </c>
      <c r="B9" s="5" t="inlineStr">
        <is>
          <t>Start Score (Wk1)</t>
        </is>
      </c>
      <c r="C9" s="5" t="inlineStr">
        <is>
          <t>End Score (Wk14)</t>
        </is>
      </c>
      <c r="D9" s="5" t="inlineStr">
        <is>
          <t>Improvement (End-Start)</t>
        </is>
      </c>
    </row>
    <row r="10">
      <c r="A10" t="inlineStr">
        <is>
          <t>Upper</t>
        </is>
      </c>
      <c r="B10">
        <f>INDEX('Term Summary'!J:J,2)</f>
        <v/>
      </c>
      <c r="C10">
        <f>INDEX('Term Summary'!J:J,15)</f>
        <v/>
      </c>
      <c r="D10">
        <f>C10-B10</f>
        <v/>
      </c>
    </row>
    <row r="11">
      <c r="A11" t="inlineStr">
        <is>
          <t>Lower</t>
        </is>
      </c>
      <c r="B11">
        <f>INDEX('Term Summary'!K:K,2)</f>
        <v/>
      </c>
      <c r="C11">
        <f>INDEX('Term Summary'!K:K,15)</f>
        <v/>
      </c>
      <c r="D11">
        <f>C11-B11</f>
        <v/>
      </c>
    </row>
    <row r="13">
      <c r="A13" s="2" t="inlineStr">
        <is>
          <t>Most Improved Campus</t>
        </is>
      </c>
      <c r="B13">
        <f>IF(D10&gt;D11,"Upper",IF(D11&gt;D10,"Lower","Tie"))</f>
        <v/>
      </c>
      <c r="C13" s="2" t="inlineStr">
        <is>
          <t>Improvement</t>
        </is>
      </c>
      <c r="D13">
        <f>MAX(D10,D11)</f>
        <v/>
      </c>
    </row>
    <row r="14">
      <c r="A14" s="2" t="inlineStr">
        <is>
          <t>Best Performing Campus (End of Term)</t>
        </is>
      </c>
      <c r="B14">
        <f>IF(C10&gt;C11,"Upper",IF(C11&gt;C10,"Lower","Tie"))</f>
        <v/>
      </c>
      <c r="C14" s="2" t="inlineStr">
        <is>
          <t>End Score</t>
        </is>
      </c>
      <c r="D14">
        <f>MAX(C10,C11)</f>
        <v/>
      </c>
    </row>
    <row r="16">
      <c r="A16" s="3" t="inlineStr">
        <is>
          <t>DEPARTMENT / SUBJECT AWARDS (TERM)</t>
        </is>
      </c>
    </row>
    <row r="18">
      <c r="A18" s="1" t="inlineStr">
        <is>
          <t>Subject (enter once)</t>
        </is>
      </c>
      <c r="B18" s="1" t="inlineStr">
        <is>
          <t>Total Entries</t>
        </is>
      </c>
      <c r="C18" s="1" t="inlineStr">
        <is>
          <t>On Track %</t>
        </is>
      </c>
      <c r="D18" s="1" t="inlineStr">
        <is>
          <t>Slightly Behind %</t>
        </is>
      </c>
      <c r="E18" s="1" t="inlineStr">
        <is>
          <t>Behind %</t>
        </is>
      </c>
      <c r="F18" s="1" t="inlineStr">
        <is>
          <t>Best Coverage Score (OnTrack - Behind)</t>
        </is>
      </c>
      <c r="H18" s="3" t="inlineStr">
        <is>
          <t>BEST PERFORMING DEPARTMENTS (TOP 5)</t>
        </is>
      </c>
    </row>
    <row r="19">
      <c r="B19">
        <f>IF($A19="","",COUNTIFS('Subject Reports'!C:C,$A19,'Subject Reports'!A:A,"&gt;="&amp;$B$4,'Subject Reports'!A:A,"&lt;="&amp;$B$5))</f>
        <v/>
      </c>
      <c r="C19">
        <f>IF($B19=0,"",ROUND(100*COUNTIFS('Subject Reports'!C:C,$A19,'Subject Reports'!A:A,"&gt;="&amp;$B$4,'Subject Reports'!A:A,"&lt;="&amp;$B$5,'Subject Reports'!G:G,"On Track")/$B19,0))</f>
        <v/>
      </c>
      <c r="D19">
        <f>IF($B19=0,"",ROUND(100*COUNTIFS('Subject Reports'!C:C,$A19,'Subject Reports'!A:A,"&gt;="&amp;$B$4,'Subject Reports'!A:A,"&lt;="&amp;$B$5,'Subject Reports'!G:G,"Slightly Behind")/$B19,0))</f>
        <v/>
      </c>
      <c r="E19">
        <f>IF($B19=0,"",ROUND(100*COUNTIFS('Subject Reports'!C:C,$A19,'Subject Reports'!A:A,"&gt;="&amp;$B$4,'Subject Reports'!A:A,"&lt;="&amp;$B$5,'Subject Reports'!G:G,"Behind")/$B19,0))</f>
        <v/>
      </c>
      <c r="F19">
        <f>IF($B19=0,"",C19-E19)</f>
        <v/>
      </c>
    </row>
    <row r="20">
      <c r="B20">
        <f>IF($A20="","",COUNTIFS('Subject Reports'!C:C,$A20,'Subject Reports'!A:A,"&gt;="&amp;$B$4,'Subject Reports'!A:A,"&lt;="&amp;$B$5))</f>
        <v/>
      </c>
      <c r="C20">
        <f>IF($B20=0,"",ROUND(100*COUNTIFS('Subject Reports'!C:C,$A20,'Subject Reports'!A:A,"&gt;="&amp;$B$4,'Subject Reports'!A:A,"&lt;="&amp;$B$5,'Subject Reports'!G:G,"On Track")/$B20,0))</f>
        <v/>
      </c>
      <c r="D20">
        <f>IF($B20=0,"",ROUND(100*COUNTIFS('Subject Reports'!C:C,$A20,'Subject Reports'!A:A,"&gt;="&amp;$B$4,'Subject Reports'!A:A,"&lt;="&amp;$B$5,'Subject Reports'!G:G,"Slightly Behind")/$B20,0))</f>
        <v/>
      </c>
      <c r="E20">
        <f>IF($B20=0,"",ROUND(100*COUNTIFS('Subject Reports'!C:C,$A20,'Subject Reports'!A:A,"&gt;="&amp;$B$4,'Subject Reports'!A:A,"&lt;="&amp;$B$5,'Subject Reports'!G:G,"Behind")/$B20,0))</f>
        <v/>
      </c>
      <c r="F20">
        <f>IF($B20=0,"",C20-E20)</f>
        <v/>
      </c>
      <c r="H20" s="5" t="inlineStr">
        <is>
          <t>Rank</t>
        </is>
      </c>
      <c r="I20" s="5" t="inlineStr">
        <is>
          <t>Subject</t>
        </is>
      </c>
      <c r="J20" s="5" t="inlineStr">
        <is>
          <t>Coverage Score</t>
        </is>
      </c>
      <c r="K20" s="5" t="inlineStr">
        <is>
          <t>On Track %</t>
        </is>
      </c>
      <c r="L20" s="5" t="inlineStr">
        <is>
          <t>Behind %</t>
        </is>
      </c>
    </row>
    <row r="21">
      <c r="B21">
        <f>IF($A21="","",COUNTIFS('Subject Reports'!C:C,$A21,'Subject Reports'!A:A,"&gt;="&amp;$B$4,'Subject Reports'!A:A,"&lt;="&amp;$B$5))</f>
        <v/>
      </c>
      <c r="C21">
        <f>IF($B21=0,"",ROUND(100*COUNTIFS('Subject Reports'!C:C,$A21,'Subject Reports'!A:A,"&gt;="&amp;$B$4,'Subject Reports'!A:A,"&lt;="&amp;$B$5,'Subject Reports'!G:G,"On Track")/$B21,0))</f>
        <v/>
      </c>
      <c r="D21">
        <f>IF($B21=0,"",ROUND(100*COUNTIFS('Subject Reports'!C:C,$A21,'Subject Reports'!A:A,"&gt;="&amp;$B$4,'Subject Reports'!A:A,"&lt;="&amp;$B$5,'Subject Reports'!G:G,"Slightly Behind")/$B21,0))</f>
        <v/>
      </c>
      <c r="E21">
        <f>IF($B21=0,"",ROUND(100*COUNTIFS('Subject Reports'!C:C,$A21,'Subject Reports'!A:A,"&gt;="&amp;$B$4,'Subject Reports'!A:A,"&lt;="&amp;$B$5,'Subject Reports'!G:G,"Behind")/$B21,0))</f>
        <v/>
      </c>
      <c r="F21">
        <f>IF($B21=0,"",C21-E21)</f>
        <v/>
      </c>
      <c r="H21" t="n">
        <v>1</v>
      </c>
      <c r="I21">
        <f>IF($J21="","",INDEX($A$19:$A$78,MATCH($J21,$F$19:$F$78,0)))</f>
        <v/>
      </c>
      <c r="J21">
        <f>IFERROR(LARGE($F$19:$F$78,1),"")</f>
        <v/>
      </c>
      <c r="K21">
        <f>IF($I21="","",INDEX($C$19:$C$78,MATCH($J21,$F$19:$F$78,0)))</f>
        <v/>
      </c>
      <c r="L21">
        <f>IF($I21="","",INDEX($E$19:$E$78,MATCH($J21,$F$19:$F$78,0)))</f>
        <v/>
      </c>
    </row>
    <row r="22">
      <c r="B22">
        <f>IF($A22="","",COUNTIFS('Subject Reports'!C:C,$A22,'Subject Reports'!A:A,"&gt;="&amp;$B$4,'Subject Reports'!A:A,"&lt;="&amp;$B$5))</f>
        <v/>
      </c>
      <c r="C22">
        <f>IF($B22=0,"",ROUND(100*COUNTIFS('Subject Reports'!C:C,$A22,'Subject Reports'!A:A,"&gt;="&amp;$B$4,'Subject Reports'!A:A,"&lt;="&amp;$B$5,'Subject Reports'!G:G,"On Track")/$B22,0))</f>
        <v/>
      </c>
      <c r="D22">
        <f>IF($B22=0,"",ROUND(100*COUNTIFS('Subject Reports'!C:C,$A22,'Subject Reports'!A:A,"&gt;="&amp;$B$4,'Subject Reports'!A:A,"&lt;="&amp;$B$5,'Subject Reports'!G:G,"Slightly Behind")/$B22,0))</f>
        <v/>
      </c>
      <c r="E22">
        <f>IF($B22=0,"",ROUND(100*COUNTIFS('Subject Reports'!C:C,$A22,'Subject Reports'!A:A,"&gt;="&amp;$B$4,'Subject Reports'!A:A,"&lt;="&amp;$B$5,'Subject Reports'!G:G,"Behind")/$B22,0))</f>
        <v/>
      </c>
      <c r="F22">
        <f>IF($B22=0,"",C22-E22)</f>
        <v/>
      </c>
      <c r="H22" t="n">
        <v>2</v>
      </c>
      <c r="I22">
        <f>IF($J22="","",INDEX($A$19:$A$78,MATCH($J22,$F$19:$F$78,0)))</f>
        <v/>
      </c>
      <c r="J22">
        <f>IFERROR(LARGE($F$19:$F$78,2),"")</f>
        <v/>
      </c>
      <c r="K22">
        <f>IF($I22="","",INDEX($C$19:$C$78,MATCH($J22,$F$19:$F$78,0)))</f>
        <v/>
      </c>
      <c r="L22">
        <f>IF($I22="","",INDEX($E$19:$E$78,MATCH($J22,$F$19:$F$78,0)))</f>
        <v/>
      </c>
    </row>
    <row r="23">
      <c r="B23">
        <f>IF($A23="","",COUNTIFS('Subject Reports'!C:C,$A23,'Subject Reports'!A:A,"&gt;="&amp;$B$4,'Subject Reports'!A:A,"&lt;="&amp;$B$5))</f>
        <v/>
      </c>
      <c r="C23">
        <f>IF($B23=0,"",ROUND(100*COUNTIFS('Subject Reports'!C:C,$A23,'Subject Reports'!A:A,"&gt;="&amp;$B$4,'Subject Reports'!A:A,"&lt;="&amp;$B$5,'Subject Reports'!G:G,"On Track")/$B23,0))</f>
        <v/>
      </c>
      <c r="D23">
        <f>IF($B23=0,"",ROUND(100*COUNTIFS('Subject Reports'!C:C,$A23,'Subject Reports'!A:A,"&gt;="&amp;$B$4,'Subject Reports'!A:A,"&lt;="&amp;$B$5,'Subject Reports'!G:G,"Slightly Behind")/$B23,0))</f>
        <v/>
      </c>
      <c r="E23">
        <f>IF($B23=0,"",ROUND(100*COUNTIFS('Subject Reports'!C:C,$A23,'Subject Reports'!A:A,"&gt;="&amp;$B$4,'Subject Reports'!A:A,"&lt;="&amp;$B$5,'Subject Reports'!G:G,"Behind")/$B23,0))</f>
        <v/>
      </c>
      <c r="F23">
        <f>IF($B23=0,"",C23-E23)</f>
        <v/>
      </c>
      <c r="H23" t="n">
        <v>3</v>
      </c>
      <c r="I23">
        <f>IF($J23="","",INDEX($A$19:$A$78,MATCH($J23,$F$19:$F$78,0)))</f>
        <v/>
      </c>
      <c r="J23">
        <f>IFERROR(LARGE($F$19:$F$78,3),"")</f>
        <v/>
      </c>
      <c r="K23">
        <f>IF($I23="","",INDEX($C$19:$C$78,MATCH($J23,$F$19:$F$78,0)))</f>
        <v/>
      </c>
      <c r="L23">
        <f>IF($I23="","",INDEX($E$19:$E$78,MATCH($J23,$F$19:$F$78,0)))</f>
        <v/>
      </c>
    </row>
    <row r="24">
      <c r="B24">
        <f>IF($A24="","",COUNTIFS('Subject Reports'!C:C,$A24,'Subject Reports'!A:A,"&gt;="&amp;$B$4,'Subject Reports'!A:A,"&lt;="&amp;$B$5))</f>
        <v/>
      </c>
      <c r="C24">
        <f>IF($B24=0,"",ROUND(100*COUNTIFS('Subject Reports'!C:C,$A24,'Subject Reports'!A:A,"&gt;="&amp;$B$4,'Subject Reports'!A:A,"&lt;="&amp;$B$5,'Subject Reports'!G:G,"On Track")/$B24,0))</f>
        <v/>
      </c>
      <c r="D24">
        <f>IF($B24=0,"",ROUND(100*COUNTIFS('Subject Reports'!C:C,$A24,'Subject Reports'!A:A,"&gt;="&amp;$B$4,'Subject Reports'!A:A,"&lt;="&amp;$B$5,'Subject Reports'!G:G,"Slightly Behind")/$B24,0))</f>
        <v/>
      </c>
      <c r="E24">
        <f>IF($B24=0,"",ROUND(100*COUNTIFS('Subject Reports'!C:C,$A24,'Subject Reports'!A:A,"&gt;="&amp;$B$4,'Subject Reports'!A:A,"&lt;="&amp;$B$5,'Subject Reports'!G:G,"Behind")/$B24,0))</f>
        <v/>
      </c>
      <c r="F24">
        <f>IF($B24=0,"",C24-E24)</f>
        <v/>
      </c>
      <c r="H24" t="n">
        <v>4</v>
      </c>
      <c r="I24">
        <f>IF($J24="","",INDEX($A$19:$A$78,MATCH($J24,$F$19:$F$78,0)))</f>
        <v/>
      </c>
      <c r="J24">
        <f>IFERROR(LARGE($F$19:$F$78,4),"")</f>
        <v/>
      </c>
      <c r="K24">
        <f>IF($I24="","",INDEX($C$19:$C$78,MATCH($J24,$F$19:$F$78,0)))</f>
        <v/>
      </c>
      <c r="L24">
        <f>IF($I24="","",INDEX($E$19:$E$78,MATCH($J24,$F$19:$F$78,0)))</f>
        <v/>
      </c>
    </row>
    <row r="25">
      <c r="B25">
        <f>IF($A25="","",COUNTIFS('Subject Reports'!C:C,$A25,'Subject Reports'!A:A,"&gt;="&amp;$B$4,'Subject Reports'!A:A,"&lt;="&amp;$B$5))</f>
        <v/>
      </c>
      <c r="C25">
        <f>IF($B25=0,"",ROUND(100*COUNTIFS('Subject Reports'!C:C,$A25,'Subject Reports'!A:A,"&gt;="&amp;$B$4,'Subject Reports'!A:A,"&lt;="&amp;$B$5,'Subject Reports'!G:G,"On Track")/$B25,0))</f>
        <v/>
      </c>
      <c r="D25">
        <f>IF($B25=0,"",ROUND(100*COUNTIFS('Subject Reports'!C:C,$A25,'Subject Reports'!A:A,"&gt;="&amp;$B$4,'Subject Reports'!A:A,"&lt;="&amp;$B$5,'Subject Reports'!G:G,"Slightly Behind")/$B25,0))</f>
        <v/>
      </c>
      <c r="E25">
        <f>IF($B25=0,"",ROUND(100*COUNTIFS('Subject Reports'!C:C,$A25,'Subject Reports'!A:A,"&gt;="&amp;$B$4,'Subject Reports'!A:A,"&lt;="&amp;$B$5,'Subject Reports'!G:G,"Behind")/$B25,0))</f>
        <v/>
      </c>
      <c r="F25">
        <f>IF($B25=0,"",C25-E25)</f>
        <v/>
      </c>
      <c r="H25" t="n">
        <v>5</v>
      </c>
      <c r="I25">
        <f>IF($J25="","",INDEX($A$19:$A$78,MATCH($J25,$F$19:$F$78,0)))</f>
        <v/>
      </c>
      <c r="J25">
        <f>IFERROR(LARGE($F$19:$F$78,5),"")</f>
        <v/>
      </c>
      <c r="K25">
        <f>IF($I25="","",INDEX($C$19:$C$78,MATCH($J25,$F$19:$F$78,0)))</f>
        <v/>
      </c>
      <c r="L25">
        <f>IF($I25="","",INDEX($E$19:$E$78,MATCH($J25,$F$19:$F$78,0)))</f>
        <v/>
      </c>
    </row>
    <row r="26">
      <c r="B26">
        <f>IF($A26="","",COUNTIFS('Subject Reports'!C:C,$A26,'Subject Reports'!A:A,"&gt;="&amp;$B$4,'Subject Reports'!A:A,"&lt;="&amp;$B$5))</f>
        <v/>
      </c>
      <c r="C26">
        <f>IF($B26=0,"",ROUND(100*COUNTIFS('Subject Reports'!C:C,$A26,'Subject Reports'!A:A,"&gt;="&amp;$B$4,'Subject Reports'!A:A,"&lt;="&amp;$B$5,'Subject Reports'!G:G,"On Track")/$B26,0))</f>
        <v/>
      </c>
      <c r="D26">
        <f>IF($B26=0,"",ROUND(100*COUNTIFS('Subject Reports'!C:C,$A26,'Subject Reports'!A:A,"&gt;="&amp;$B$4,'Subject Reports'!A:A,"&lt;="&amp;$B$5,'Subject Reports'!G:G,"Slightly Behind")/$B26,0))</f>
        <v/>
      </c>
      <c r="E26">
        <f>IF($B26=0,"",ROUND(100*COUNTIFS('Subject Reports'!C:C,$A26,'Subject Reports'!A:A,"&gt;="&amp;$B$4,'Subject Reports'!A:A,"&lt;="&amp;$B$5,'Subject Reports'!G:G,"Behind")/$B26,0))</f>
        <v/>
      </c>
      <c r="F26">
        <f>IF($B26=0,"",C26-E26)</f>
        <v/>
      </c>
    </row>
    <row r="27">
      <c r="B27">
        <f>IF($A27="","",COUNTIFS('Subject Reports'!C:C,$A27,'Subject Reports'!A:A,"&gt;="&amp;$B$4,'Subject Reports'!A:A,"&lt;="&amp;$B$5))</f>
        <v/>
      </c>
      <c r="C27">
        <f>IF($B27=0,"",ROUND(100*COUNTIFS('Subject Reports'!C:C,$A27,'Subject Reports'!A:A,"&gt;="&amp;$B$4,'Subject Reports'!A:A,"&lt;="&amp;$B$5,'Subject Reports'!G:G,"On Track")/$B27,0))</f>
        <v/>
      </c>
      <c r="D27">
        <f>IF($B27=0,"",ROUND(100*COUNTIFS('Subject Reports'!C:C,$A27,'Subject Reports'!A:A,"&gt;="&amp;$B$4,'Subject Reports'!A:A,"&lt;="&amp;$B$5,'Subject Reports'!G:G,"Slightly Behind")/$B27,0))</f>
        <v/>
      </c>
      <c r="E27">
        <f>IF($B27=0,"",ROUND(100*COUNTIFS('Subject Reports'!C:C,$A27,'Subject Reports'!A:A,"&gt;="&amp;$B$4,'Subject Reports'!A:A,"&lt;="&amp;$B$5,'Subject Reports'!G:G,"Behind")/$B27,0))</f>
        <v/>
      </c>
      <c r="F27">
        <f>IF($B27=0,"",C27-E27)</f>
        <v/>
      </c>
    </row>
    <row r="28">
      <c r="B28">
        <f>IF($A28="","",COUNTIFS('Subject Reports'!C:C,$A28,'Subject Reports'!A:A,"&gt;="&amp;$B$4,'Subject Reports'!A:A,"&lt;="&amp;$B$5))</f>
        <v/>
      </c>
      <c r="C28">
        <f>IF($B28=0,"",ROUND(100*COUNTIFS('Subject Reports'!C:C,$A28,'Subject Reports'!A:A,"&gt;="&amp;$B$4,'Subject Reports'!A:A,"&lt;="&amp;$B$5,'Subject Reports'!G:G,"On Track")/$B28,0))</f>
        <v/>
      </c>
      <c r="D28">
        <f>IF($B28=0,"",ROUND(100*COUNTIFS('Subject Reports'!C:C,$A28,'Subject Reports'!A:A,"&gt;="&amp;$B$4,'Subject Reports'!A:A,"&lt;="&amp;$B$5,'Subject Reports'!G:G,"Slightly Behind")/$B28,0))</f>
        <v/>
      </c>
      <c r="E28">
        <f>IF($B28=0,"",ROUND(100*COUNTIFS('Subject Reports'!C:C,$A28,'Subject Reports'!A:A,"&gt;="&amp;$B$4,'Subject Reports'!A:A,"&lt;="&amp;$B$5,'Subject Reports'!G:G,"Behind")/$B28,0))</f>
        <v/>
      </c>
      <c r="F28">
        <f>IF($B28=0,"",C28-E28)</f>
        <v/>
      </c>
    </row>
    <row r="29">
      <c r="B29">
        <f>IF($A29="","",COUNTIFS('Subject Reports'!C:C,$A29,'Subject Reports'!A:A,"&gt;="&amp;$B$4,'Subject Reports'!A:A,"&lt;="&amp;$B$5))</f>
        <v/>
      </c>
      <c r="C29">
        <f>IF($B29=0,"",ROUND(100*COUNTIFS('Subject Reports'!C:C,$A29,'Subject Reports'!A:A,"&gt;="&amp;$B$4,'Subject Reports'!A:A,"&lt;="&amp;$B$5,'Subject Reports'!G:G,"On Track")/$B29,0))</f>
        <v/>
      </c>
      <c r="D29">
        <f>IF($B29=0,"",ROUND(100*COUNTIFS('Subject Reports'!C:C,$A29,'Subject Reports'!A:A,"&gt;="&amp;$B$4,'Subject Reports'!A:A,"&lt;="&amp;$B$5,'Subject Reports'!G:G,"Slightly Behind")/$B29,0))</f>
        <v/>
      </c>
      <c r="E29">
        <f>IF($B29=0,"",ROUND(100*COUNTIFS('Subject Reports'!C:C,$A29,'Subject Reports'!A:A,"&gt;="&amp;$B$4,'Subject Reports'!A:A,"&lt;="&amp;$B$5,'Subject Reports'!G:G,"Behind")/$B29,0))</f>
        <v/>
      </c>
      <c r="F29">
        <f>IF($B29=0,"",C29-E29)</f>
        <v/>
      </c>
    </row>
    <row r="30">
      <c r="B30">
        <f>IF($A30="","",COUNTIFS('Subject Reports'!C:C,$A30,'Subject Reports'!A:A,"&gt;="&amp;$B$4,'Subject Reports'!A:A,"&lt;="&amp;$B$5))</f>
        <v/>
      </c>
      <c r="C30">
        <f>IF($B30=0,"",ROUND(100*COUNTIFS('Subject Reports'!C:C,$A30,'Subject Reports'!A:A,"&gt;="&amp;$B$4,'Subject Reports'!A:A,"&lt;="&amp;$B$5,'Subject Reports'!G:G,"On Track")/$B30,0))</f>
        <v/>
      </c>
      <c r="D30">
        <f>IF($B30=0,"",ROUND(100*COUNTIFS('Subject Reports'!C:C,$A30,'Subject Reports'!A:A,"&gt;="&amp;$B$4,'Subject Reports'!A:A,"&lt;="&amp;$B$5,'Subject Reports'!G:G,"Slightly Behind")/$B30,0))</f>
        <v/>
      </c>
      <c r="E30">
        <f>IF($B30=0,"",ROUND(100*COUNTIFS('Subject Reports'!C:C,$A30,'Subject Reports'!A:A,"&gt;="&amp;$B$4,'Subject Reports'!A:A,"&lt;="&amp;$B$5,'Subject Reports'!G:G,"Behind")/$B30,0))</f>
        <v/>
      </c>
      <c r="F30">
        <f>IF($B30=0,"",C30-E30)</f>
        <v/>
      </c>
    </row>
    <row r="31">
      <c r="B31">
        <f>IF($A31="","",COUNTIFS('Subject Reports'!C:C,$A31,'Subject Reports'!A:A,"&gt;="&amp;$B$4,'Subject Reports'!A:A,"&lt;="&amp;$B$5))</f>
        <v/>
      </c>
      <c r="C31">
        <f>IF($B31=0,"",ROUND(100*COUNTIFS('Subject Reports'!C:C,$A31,'Subject Reports'!A:A,"&gt;="&amp;$B$4,'Subject Reports'!A:A,"&lt;="&amp;$B$5,'Subject Reports'!G:G,"On Track")/$B31,0))</f>
        <v/>
      </c>
      <c r="D31">
        <f>IF($B31=0,"",ROUND(100*COUNTIFS('Subject Reports'!C:C,$A31,'Subject Reports'!A:A,"&gt;="&amp;$B$4,'Subject Reports'!A:A,"&lt;="&amp;$B$5,'Subject Reports'!G:G,"Slightly Behind")/$B31,0))</f>
        <v/>
      </c>
      <c r="E31">
        <f>IF($B31=0,"",ROUND(100*COUNTIFS('Subject Reports'!C:C,$A31,'Subject Reports'!A:A,"&gt;="&amp;$B$4,'Subject Reports'!A:A,"&lt;="&amp;$B$5,'Subject Reports'!G:G,"Behind")/$B31,0))</f>
        <v/>
      </c>
      <c r="F31">
        <f>IF($B31=0,"",C31-E31)</f>
        <v/>
      </c>
    </row>
    <row r="32">
      <c r="B32">
        <f>IF($A32="","",COUNTIFS('Subject Reports'!C:C,$A32,'Subject Reports'!A:A,"&gt;="&amp;$B$4,'Subject Reports'!A:A,"&lt;="&amp;$B$5))</f>
        <v/>
      </c>
      <c r="C32">
        <f>IF($B32=0,"",ROUND(100*COUNTIFS('Subject Reports'!C:C,$A32,'Subject Reports'!A:A,"&gt;="&amp;$B$4,'Subject Reports'!A:A,"&lt;="&amp;$B$5,'Subject Reports'!G:G,"On Track")/$B32,0))</f>
        <v/>
      </c>
      <c r="D32">
        <f>IF($B32=0,"",ROUND(100*COUNTIFS('Subject Reports'!C:C,$A32,'Subject Reports'!A:A,"&gt;="&amp;$B$4,'Subject Reports'!A:A,"&lt;="&amp;$B$5,'Subject Reports'!G:G,"Slightly Behind")/$B32,0))</f>
        <v/>
      </c>
      <c r="E32">
        <f>IF($B32=0,"",ROUND(100*COUNTIFS('Subject Reports'!C:C,$A32,'Subject Reports'!A:A,"&gt;="&amp;$B$4,'Subject Reports'!A:A,"&lt;="&amp;$B$5,'Subject Reports'!G:G,"Behind")/$B32,0))</f>
        <v/>
      </c>
      <c r="F32">
        <f>IF($B32=0,"",C32-E32)</f>
        <v/>
      </c>
    </row>
    <row r="33">
      <c r="B33">
        <f>IF($A33="","",COUNTIFS('Subject Reports'!C:C,$A33,'Subject Reports'!A:A,"&gt;="&amp;$B$4,'Subject Reports'!A:A,"&lt;="&amp;$B$5))</f>
        <v/>
      </c>
      <c r="C33">
        <f>IF($B33=0,"",ROUND(100*COUNTIFS('Subject Reports'!C:C,$A33,'Subject Reports'!A:A,"&gt;="&amp;$B$4,'Subject Reports'!A:A,"&lt;="&amp;$B$5,'Subject Reports'!G:G,"On Track")/$B33,0))</f>
        <v/>
      </c>
      <c r="D33">
        <f>IF($B33=0,"",ROUND(100*COUNTIFS('Subject Reports'!C:C,$A33,'Subject Reports'!A:A,"&gt;="&amp;$B$4,'Subject Reports'!A:A,"&lt;="&amp;$B$5,'Subject Reports'!G:G,"Slightly Behind")/$B33,0))</f>
        <v/>
      </c>
      <c r="E33">
        <f>IF($B33=0,"",ROUND(100*COUNTIFS('Subject Reports'!C:C,$A33,'Subject Reports'!A:A,"&gt;="&amp;$B$4,'Subject Reports'!A:A,"&lt;="&amp;$B$5,'Subject Reports'!G:G,"Behind")/$B33,0))</f>
        <v/>
      </c>
      <c r="F33">
        <f>IF($B33=0,"",C33-E33)</f>
        <v/>
      </c>
    </row>
    <row r="34">
      <c r="B34">
        <f>IF($A34="","",COUNTIFS('Subject Reports'!C:C,$A34,'Subject Reports'!A:A,"&gt;="&amp;$B$4,'Subject Reports'!A:A,"&lt;="&amp;$B$5))</f>
        <v/>
      </c>
      <c r="C34">
        <f>IF($B34=0,"",ROUND(100*COUNTIFS('Subject Reports'!C:C,$A34,'Subject Reports'!A:A,"&gt;="&amp;$B$4,'Subject Reports'!A:A,"&lt;="&amp;$B$5,'Subject Reports'!G:G,"On Track")/$B34,0))</f>
        <v/>
      </c>
      <c r="D34">
        <f>IF($B34=0,"",ROUND(100*COUNTIFS('Subject Reports'!C:C,$A34,'Subject Reports'!A:A,"&gt;="&amp;$B$4,'Subject Reports'!A:A,"&lt;="&amp;$B$5,'Subject Reports'!G:G,"Slightly Behind")/$B34,0))</f>
        <v/>
      </c>
      <c r="E34">
        <f>IF($B34=0,"",ROUND(100*COUNTIFS('Subject Reports'!C:C,$A34,'Subject Reports'!A:A,"&gt;="&amp;$B$4,'Subject Reports'!A:A,"&lt;="&amp;$B$5,'Subject Reports'!G:G,"Behind")/$B34,0))</f>
        <v/>
      </c>
      <c r="F34">
        <f>IF($B34=0,"",C34-E34)</f>
        <v/>
      </c>
    </row>
    <row r="35">
      <c r="B35">
        <f>IF($A35="","",COUNTIFS('Subject Reports'!C:C,$A35,'Subject Reports'!A:A,"&gt;="&amp;$B$4,'Subject Reports'!A:A,"&lt;="&amp;$B$5))</f>
        <v/>
      </c>
      <c r="C35">
        <f>IF($B35=0,"",ROUND(100*COUNTIFS('Subject Reports'!C:C,$A35,'Subject Reports'!A:A,"&gt;="&amp;$B$4,'Subject Reports'!A:A,"&lt;="&amp;$B$5,'Subject Reports'!G:G,"On Track")/$B35,0))</f>
        <v/>
      </c>
      <c r="D35">
        <f>IF($B35=0,"",ROUND(100*COUNTIFS('Subject Reports'!C:C,$A35,'Subject Reports'!A:A,"&gt;="&amp;$B$4,'Subject Reports'!A:A,"&lt;="&amp;$B$5,'Subject Reports'!G:G,"Slightly Behind")/$B35,0))</f>
        <v/>
      </c>
      <c r="E35">
        <f>IF($B35=0,"",ROUND(100*COUNTIFS('Subject Reports'!C:C,$A35,'Subject Reports'!A:A,"&gt;="&amp;$B$4,'Subject Reports'!A:A,"&lt;="&amp;$B$5,'Subject Reports'!G:G,"Behind")/$B35,0))</f>
        <v/>
      </c>
      <c r="F35">
        <f>IF($B35=0,"",C35-E35)</f>
        <v/>
      </c>
    </row>
    <row r="36">
      <c r="B36">
        <f>IF($A36="","",COUNTIFS('Subject Reports'!C:C,$A36,'Subject Reports'!A:A,"&gt;="&amp;$B$4,'Subject Reports'!A:A,"&lt;="&amp;$B$5))</f>
        <v/>
      </c>
      <c r="C36">
        <f>IF($B36=0,"",ROUND(100*COUNTIFS('Subject Reports'!C:C,$A36,'Subject Reports'!A:A,"&gt;="&amp;$B$4,'Subject Reports'!A:A,"&lt;="&amp;$B$5,'Subject Reports'!G:G,"On Track")/$B36,0))</f>
        <v/>
      </c>
      <c r="D36">
        <f>IF($B36=0,"",ROUND(100*COUNTIFS('Subject Reports'!C:C,$A36,'Subject Reports'!A:A,"&gt;="&amp;$B$4,'Subject Reports'!A:A,"&lt;="&amp;$B$5,'Subject Reports'!G:G,"Slightly Behind")/$B36,0))</f>
        <v/>
      </c>
      <c r="E36">
        <f>IF($B36=0,"",ROUND(100*COUNTIFS('Subject Reports'!C:C,$A36,'Subject Reports'!A:A,"&gt;="&amp;$B$4,'Subject Reports'!A:A,"&lt;="&amp;$B$5,'Subject Reports'!G:G,"Behind")/$B36,0))</f>
        <v/>
      </c>
      <c r="F36">
        <f>IF($B36=0,"",C36-E36)</f>
        <v/>
      </c>
    </row>
    <row r="37">
      <c r="B37">
        <f>IF($A37="","",COUNTIFS('Subject Reports'!C:C,$A37,'Subject Reports'!A:A,"&gt;="&amp;$B$4,'Subject Reports'!A:A,"&lt;="&amp;$B$5))</f>
        <v/>
      </c>
      <c r="C37">
        <f>IF($B37=0,"",ROUND(100*COUNTIFS('Subject Reports'!C:C,$A37,'Subject Reports'!A:A,"&gt;="&amp;$B$4,'Subject Reports'!A:A,"&lt;="&amp;$B$5,'Subject Reports'!G:G,"On Track")/$B37,0))</f>
        <v/>
      </c>
      <c r="D37">
        <f>IF($B37=0,"",ROUND(100*COUNTIFS('Subject Reports'!C:C,$A37,'Subject Reports'!A:A,"&gt;="&amp;$B$4,'Subject Reports'!A:A,"&lt;="&amp;$B$5,'Subject Reports'!G:G,"Slightly Behind")/$B37,0))</f>
        <v/>
      </c>
      <c r="E37">
        <f>IF($B37=0,"",ROUND(100*COUNTIFS('Subject Reports'!C:C,$A37,'Subject Reports'!A:A,"&gt;="&amp;$B$4,'Subject Reports'!A:A,"&lt;="&amp;$B$5,'Subject Reports'!G:G,"Behind")/$B37,0))</f>
        <v/>
      </c>
      <c r="F37">
        <f>IF($B37=0,"",C37-E37)</f>
        <v/>
      </c>
    </row>
    <row r="38">
      <c r="B38">
        <f>IF($A38="","",COUNTIFS('Subject Reports'!C:C,$A38,'Subject Reports'!A:A,"&gt;="&amp;$B$4,'Subject Reports'!A:A,"&lt;="&amp;$B$5))</f>
        <v/>
      </c>
      <c r="C38">
        <f>IF($B38=0,"",ROUND(100*COUNTIFS('Subject Reports'!C:C,$A38,'Subject Reports'!A:A,"&gt;="&amp;$B$4,'Subject Reports'!A:A,"&lt;="&amp;$B$5,'Subject Reports'!G:G,"On Track")/$B38,0))</f>
        <v/>
      </c>
      <c r="D38">
        <f>IF($B38=0,"",ROUND(100*COUNTIFS('Subject Reports'!C:C,$A38,'Subject Reports'!A:A,"&gt;="&amp;$B$4,'Subject Reports'!A:A,"&lt;="&amp;$B$5,'Subject Reports'!G:G,"Slightly Behind")/$B38,0))</f>
        <v/>
      </c>
      <c r="E38">
        <f>IF($B38=0,"",ROUND(100*COUNTIFS('Subject Reports'!C:C,$A38,'Subject Reports'!A:A,"&gt;="&amp;$B$4,'Subject Reports'!A:A,"&lt;="&amp;$B$5,'Subject Reports'!G:G,"Behind")/$B38,0))</f>
        <v/>
      </c>
      <c r="F38">
        <f>IF($B38=0,"",C38-E38)</f>
        <v/>
      </c>
    </row>
    <row r="39">
      <c r="B39">
        <f>IF($A39="","",COUNTIFS('Subject Reports'!C:C,$A39,'Subject Reports'!A:A,"&gt;="&amp;$B$4,'Subject Reports'!A:A,"&lt;="&amp;$B$5))</f>
        <v/>
      </c>
      <c r="C39">
        <f>IF($B39=0,"",ROUND(100*COUNTIFS('Subject Reports'!C:C,$A39,'Subject Reports'!A:A,"&gt;="&amp;$B$4,'Subject Reports'!A:A,"&lt;="&amp;$B$5,'Subject Reports'!G:G,"On Track")/$B39,0))</f>
        <v/>
      </c>
      <c r="D39">
        <f>IF($B39=0,"",ROUND(100*COUNTIFS('Subject Reports'!C:C,$A39,'Subject Reports'!A:A,"&gt;="&amp;$B$4,'Subject Reports'!A:A,"&lt;="&amp;$B$5,'Subject Reports'!G:G,"Slightly Behind")/$B39,0))</f>
        <v/>
      </c>
      <c r="E39">
        <f>IF($B39=0,"",ROUND(100*COUNTIFS('Subject Reports'!C:C,$A39,'Subject Reports'!A:A,"&gt;="&amp;$B$4,'Subject Reports'!A:A,"&lt;="&amp;$B$5,'Subject Reports'!G:G,"Behind")/$B39,0))</f>
        <v/>
      </c>
      <c r="F39">
        <f>IF($B39=0,"",C39-E39)</f>
        <v/>
      </c>
    </row>
    <row r="40">
      <c r="B40">
        <f>IF($A40="","",COUNTIFS('Subject Reports'!C:C,$A40,'Subject Reports'!A:A,"&gt;="&amp;$B$4,'Subject Reports'!A:A,"&lt;="&amp;$B$5))</f>
        <v/>
      </c>
      <c r="C40">
        <f>IF($B40=0,"",ROUND(100*COUNTIFS('Subject Reports'!C:C,$A40,'Subject Reports'!A:A,"&gt;="&amp;$B$4,'Subject Reports'!A:A,"&lt;="&amp;$B$5,'Subject Reports'!G:G,"On Track")/$B40,0))</f>
        <v/>
      </c>
      <c r="D40">
        <f>IF($B40=0,"",ROUND(100*COUNTIFS('Subject Reports'!C:C,$A40,'Subject Reports'!A:A,"&gt;="&amp;$B$4,'Subject Reports'!A:A,"&lt;="&amp;$B$5,'Subject Reports'!G:G,"Slightly Behind")/$B40,0))</f>
        <v/>
      </c>
      <c r="E40">
        <f>IF($B40=0,"",ROUND(100*COUNTIFS('Subject Reports'!C:C,$A40,'Subject Reports'!A:A,"&gt;="&amp;$B$4,'Subject Reports'!A:A,"&lt;="&amp;$B$5,'Subject Reports'!G:G,"Behind")/$B40,0))</f>
        <v/>
      </c>
      <c r="F40">
        <f>IF($B40=0,"",C40-E40)</f>
        <v/>
      </c>
    </row>
    <row r="41">
      <c r="B41">
        <f>IF($A41="","",COUNTIFS('Subject Reports'!C:C,$A41,'Subject Reports'!A:A,"&gt;="&amp;$B$4,'Subject Reports'!A:A,"&lt;="&amp;$B$5))</f>
        <v/>
      </c>
      <c r="C41">
        <f>IF($B41=0,"",ROUND(100*COUNTIFS('Subject Reports'!C:C,$A41,'Subject Reports'!A:A,"&gt;="&amp;$B$4,'Subject Reports'!A:A,"&lt;="&amp;$B$5,'Subject Reports'!G:G,"On Track")/$B41,0))</f>
        <v/>
      </c>
      <c r="D41">
        <f>IF($B41=0,"",ROUND(100*COUNTIFS('Subject Reports'!C:C,$A41,'Subject Reports'!A:A,"&gt;="&amp;$B$4,'Subject Reports'!A:A,"&lt;="&amp;$B$5,'Subject Reports'!G:G,"Slightly Behind")/$B41,0))</f>
        <v/>
      </c>
      <c r="E41">
        <f>IF($B41=0,"",ROUND(100*COUNTIFS('Subject Reports'!C:C,$A41,'Subject Reports'!A:A,"&gt;="&amp;$B$4,'Subject Reports'!A:A,"&lt;="&amp;$B$5,'Subject Reports'!G:G,"Behind")/$B41,0))</f>
        <v/>
      </c>
      <c r="F41">
        <f>IF($B41=0,"",C41-E41)</f>
        <v/>
      </c>
    </row>
    <row r="42">
      <c r="B42">
        <f>IF($A42="","",COUNTIFS('Subject Reports'!C:C,$A42,'Subject Reports'!A:A,"&gt;="&amp;$B$4,'Subject Reports'!A:A,"&lt;="&amp;$B$5))</f>
        <v/>
      </c>
      <c r="C42">
        <f>IF($B42=0,"",ROUND(100*COUNTIFS('Subject Reports'!C:C,$A42,'Subject Reports'!A:A,"&gt;="&amp;$B$4,'Subject Reports'!A:A,"&lt;="&amp;$B$5,'Subject Reports'!G:G,"On Track")/$B42,0))</f>
        <v/>
      </c>
      <c r="D42">
        <f>IF($B42=0,"",ROUND(100*COUNTIFS('Subject Reports'!C:C,$A42,'Subject Reports'!A:A,"&gt;="&amp;$B$4,'Subject Reports'!A:A,"&lt;="&amp;$B$5,'Subject Reports'!G:G,"Slightly Behind")/$B42,0))</f>
        <v/>
      </c>
      <c r="E42">
        <f>IF($B42=0,"",ROUND(100*COUNTIFS('Subject Reports'!C:C,$A42,'Subject Reports'!A:A,"&gt;="&amp;$B$4,'Subject Reports'!A:A,"&lt;="&amp;$B$5,'Subject Reports'!G:G,"Behind")/$B42,0))</f>
        <v/>
      </c>
      <c r="F42">
        <f>IF($B42=0,"",C42-E42)</f>
        <v/>
      </c>
    </row>
    <row r="43">
      <c r="B43">
        <f>IF($A43="","",COUNTIFS('Subject Reports'!C:C,$A43,'Subject Reports'!A:A,"&gt;="&amp;$B$4,'Subject Reports'!A:A,"&lt;="&amp;$B$5))</f>
        <v/>
      </c>
      <c r="C43">
        <f>IF($B43=0,"",ROUND(100*COUNTIFS('Subject Reports'!C:C,$A43,'Subject Reports'!A:A,"&gt;="&amp;$B$4,'Subject Reports'!A:A,"&lt;="&amp;$B$5,'Subject Reports'!G:G,"On Track")/$B43,0))</f>
        <v/>
      </c>
      <c r="D43">
        <f>IF($B43=0,"",ROUND(100*COUNTIFS('Subject Reports'!C:C,$A43,'Subject Reports'!A:A,"&gt;="&amp;$B$4,'Subject Reports'!A:A,"&lt;="&amp;$B$5,'Subject Reports'!G:G,"Slightly Behind")/$B43,0))</f>
        <v/>
      </c>
      <c r="E43">
        <f>IF($B43=0,"",ROUND(100*COUNTIFS('Subject Reports'!C:C,$A43,'Subject Reports'!A:A,"&gt;="&amp;$B$4,'Subject Reports'!A:A,"&lt;="&amp;$B$5,'Subject Reports'!G:G,"Behind")/$B43,0))</f>
        <v/>
      </c>
      <c r="F43">
        <f>IF($B43=0,"",C43-E43)</f>
        <v/>
      </c>
    </row>
    <row r="44">
      <c r="B44">
        <f>IF($A44="","",COUNTIFS('Subject Reports'!C:C,$A44,'Subject Reports'!A:A,"&gt;="&amp;$B$4,'Subject Reports'!A:A,"&lt;="&amp;$B$5))</f>
        <v/>
      </c>
      <c r="C44">
        <f>IF($B44=0,"",ROUND(100*COUNTIFS('Subject Reports'!C:C,$A44,'Subject Reports'!A:A,"&gt;="&amp;$B$4,'Subject Reports'!A:A,"&lt;="&amp;$B$5,'Subject Reports'!G:G,"On Track")/$B44,0))</f>
        <v/>
      </c>
      <c r="D44">
        <f>IF($B44=0,"",ROUND(100*COUNTIFS('Subject Reports'!C:C,$A44,'Subject Reports'!A:A,"&gt;="&amp;$B$4,'Subject Reports'!A:A,"&lt;="&amp;$B$5,'Subject Reports'!G:G,"Slightly Behind")/$B44,0))</f>
        <v/>
      </c>
      <c r="E44">
        <f>IF($B44=0,"",ROUND(100*COUNTIFS('Subject Reports'!C:C,$A44,'Subject Reports'!A:A,"&gt;="&amp;$B$4,'Subject Reports'!A:A,"&lt;="&amp;$B$5,'Subject Reports'!G:G,"Behind")/$B44,0))</f>
        <v/>
      </c>
      <c r="F44">
        <f>IF($B44=0,"",C44-E44)</f>
        <v/>
      </c>
    </row>
    <row r="45">
      <c r="B45">
        <f>IF($A45="","",COUNTIFS('Subject Reports'!C:C,$A45,'Subject Reports'!A:A,"&gt;="&amp;$B$4,'Subject Reports'!A:A,"&lt;="&amp;$B$5))</f>
        <v/>
      </c>
      <c r="C45">
        <f>IF($B45=0,"",ROUND(100*COUNTIFS('Subject Reports'!C:C,$A45,'Subject Reports'!A:A,"&gt;="&amp;$B$4,'Subject Reports'!A:A,"&lt;="&amp;$B$5,'Subject Reports'!G:G,"On Track")/$B45,0))</f>
        <v/>
      </c>
      <c r="D45">
        <f>IF($B45=0,"",ROUND(100*COUNTIFS('Subject Reports'!C:C,$A45,'Subject Reports'!A:A,"&gt;="&amp;$B$4,'Subject Reports'!A:A,"&lt;="&amp;$B$5,'Subject Reports'!G:G,"Slightly Behind")/$B45,0))</f>
        <v/>
      </c>
      <c r="E45">
        <f>IF($B45=0,"",ROUND(100*COUNTIFS('Subject Reports'!C:C,$A45,'Subject Reports'!A:A,"&gt;="&amp;$B$4,'Subject Reports'!A:A,"&lt;="&amp;$B$5,'Subject Reports'!G:G,"Behind")/$B45,0))</f>
        <v/>
      </c>
      <c r="F45">
        <f>IF($B45=0,"",C45-E45)</f>
        <v/>
      </c>
    </row>
    <row r="46">
      <c r="B46">
        <f>IF($A46="","",COUNTIFS('Subject Reports'!C:C,$A46,'Subject Reports'!A:A,"&gt;="&amp;$B$4,'Subject Reports'!A:A,"&lt;="&amp;$B$5))</f>
        <v/>
      </c>
      <c r="C46">
        <f>IF($B46=0,"",ROUND(100*COUNTIFS('Subject Reports'!C:C,$A46,'Subject Reports'!A:A,"&gt;="&amp;$B$4,'Subject Reports'!A:A,"&lt;="&amp;$B$5,'Subject Reports'!G:G,"On Track")/$B46,0))</f>
        <v/>
      </c>
      <c r="D46">
        <f>IF($B46=0,"",ROUND(100*COUNTIFS('Subject Reports'!C:C,$A46,'Subject Reports'!A:A,"&gt;="&amp;$B$4,'Subject Reports'!A:A,"&lt;="&amp;$B$5,'Subject Reports'!G:G,"Slightly Behind")/$B46,0))</f>
        <v/>
      </c>
      <c r="E46">
        <f>IF($B46=0,"",ROUND(100*COUNTIFS('Subject Reports'!C:C,$A46,'Subject Reports'!A:A,"&gt;="&amp;$B$4,'Subject Reports'!A:A,"&lt;="&amp;$B$5,'Subject Reports'!G:G,"Behind")/$B46,0))</f>
        <v/>
      </c>
      <c r="F46">
        <f>IF($B46=0,"",C46-E46)</f>
        <v/>
      </c>
    </row>
    <row r="47">
      <c r="B47">
        <f>IF($A47="","",COUNTIFS('Subject Reports'!C:C,$A47,'Subject Reports'!A:A,"&gt;="&amp;$B$4,'Subject Reports'!A:A,"&lt;="&amp;$B$5))</f>
        <v/>
      </c>
      <c r="C47">
        <f>IF($B47=0,"",ROUND(100*COUNTIFS('Subject Reports'!C:C,$A47,'Subject Reports'!A:A,"&gt;="&amp;$B$4,'Subject Reports'!A:A,"&lt;="&amp;$B$5,'Subject Reports'!G:G,"On Track")/$B47,0))</f>
        <v/>
      </c>
      <c r="D47">
        <f>IF($B47=0,"",ROUND(100*COUNTIFS('Subject Reports'!C:C,$A47,'Subject Reports'!A:A,"&gt;="&amp;$B$4,'Subject Reports'!A:A,"&lt;="&amp;$B$5,'Subject Reports'!G:G,"Slightly Behind")/$B47,0))</f>
        <v/>
      </c>
      <c r="E47">
        <f>IF($B47=0,"",ROUND(100*COUNTIFS('Subject Reports'!C:C,$A47,'Subject Reports'!A:A,"&gt;="&amp;$B$4,'Subject Reports'!A:A,"&lt;="&amp;$B$5,'Subject Reports'!G:G,"Behind")/$B47,0))</f>
        <v/>
      </c>
      <c r="F47">
        <f>IF($B47=0,"",C47-E47)</f>
        <v/>
      </c>
    </row>
    <row r="48">
      <c r="B48">
        <f>IF($A48="","",COUNTIFS('Subject Reports'!C:C,$A48,'Subject Reports'!A:A,"&gt;="&amp;$B$4,'Subject Reports'!A:A,"&lt;="&amp;$B$5))</f>
        <v/>
      </c>
      <c r="C48">
        <f>IF($B48=0,"",ROUND(100*COUNTIFS('Subject Reports'!C:C,$A48,'Subject Reports'!A:A,"&gt;="&amp;$B$4,'Subject Reports'!A:A,"&lt;="&amp;$B$5,'Subject Reports'!G:G,"On Track")/$B48,0))</f>
        <v/>
      </c>
      <c r="D48">
        <f>IF($B48=0,"",ROUND(100*COUNTIFS('Subject Reports'!C:C,$A48,'Subject Reports'!A:A,"&gt;="&amp;$B$4,'Subject Reports'!A:A,"&lt;="&amp;$B$5,'Subject Reports'!G:G,"Slightly Behind")/$B48,0))</f>
        <v/>
      </c>
      <c r="E48">
        <f>IF($B48=0,"",ROUND(100*COUNTIFS('Subject Reports'!C:C,$A48,'Subject Reports'!A:A,"&gt;="&amp;$B$4,'Subject Reports'!A:A,"&lt;="&amp;$B$5,'Subject Reports'!G:G,"Behind")/$B48,0))</f>
        <v/>
      </c>
      <c r="F48">
        <f>IF($B48=0,"",C48-E48)</f>
        <v/>
      </c>
    </row>
    <row r="49">
      <c r="B49">
        <f>IF($A49="","",COUNTIFS('Subject Reports'!C:C,$A49,'Subject Reports'!A:A,"&gt;="&amp;$B$4,'Subject Reports'!A:A,"&lt;="&amp;$B$5))</f>
        <v/>
      </c>
      <c r="C49">
        <f>IF($B49=0,"",ROUND(100*COUNTIFS('Subject Reports'!C:C,$A49,'Subject Reports'!A:A,"&gt;="&amp;$B$4,'Subject Reports'!A:A,"&lt;="&amp;$B$5,'Subject Reports'!G:G,"On Track")/$B49,0))</f>
        <v/>
      </c>
      <c r="D49">
        <f>IF($B49=0,"",ROUND(100*COUNTIFS('Subject Reports'!C:C,$A49,'Subject Reports'!A:A,"&gt;="&amp;$B$4,'Subject Reports'!A:A,"&lt;="&amp;$B$5,'Subject Reports'!G:G,"Slightly Behind")/$B49,0))</f>
        <v/>
      </c>
      <c r="E49">
        <f>IF($B49=0,"",ROUND(100*COUNTIFS('Subject Reports'!C:C,$A49,'Subject Reports'!A:A,"&gt;="&amp;$B$4,'Subject Reports'!A:A,"&lt;="&amp;$B$5,'Subject Reports'!G:G,"Behind")/$B49,0))</f>
        <v/>
      </c>
      <c r="F49">
        <f>IF($B49=0,"",C49-E49)</f>
        <v/>
      </c>
    </row>
    <row r="50">
      <c r="B50">
        <f>IF($A50="","",COUNTIFS('Subject Reports'!C:C,$A50,'Subject Reports'!A:A,"&gt;="&amp;$B$4,'Subject Reports'!A:A,"&lt;="&amp;$B$5))</f>
        <v/>
      </c>
      <c r="C50">
        <f>IF($B50=0,"",ROUND(100*COUNTIFS('Subject Reports'!C:C,$A50,'Subject Reports'!A:A,"&gt;="&amp;$B$4,'Subject Reports'!A:A,"&lt;="&amp;$B$5,'Subject Reports'!G:G,"On Track")/$B50,0))</f>
        <v/>
      </c>
      <c r="D50">
        <f>IF($B50=0,"",ROUND(100*COUNTIFS('Subject Reports'!C:C,$A50,'Subject Reports'!A:A,"&gt;="&amp;$B$4,'Subject Reports'!A:A,"&lt;="&amp;$B$5,'Subject Reports'!G:G,"Slightly Behind")/$B50,0))</f>
        <v/>
      </c>
      <c r="E50">
        <f>IF($B50=0,"",ROUND(100*COUNTIFS('Subject Reports'!C:C,$A50,'Subject Reports'!A:A,"&gt;="&amp;$B$4,'Subject Reports'!A:A,"&lt;="&amp;$B$5,'Subject Reports'!G:G,"Behind")/$B50,0))</f>
        <v/>
      </c>
      <c r="F50">
        <f>IF($B50=0,"",C50-E50)</f>
        <v/>
      </c>
    </row>
    <row r="51">
      <c r="B51">
        <f>IF($A51="","",COUNTIFS('Subject Reports'!C:C,$A51,'Subject Reports'!A:A,"&gt;="&amp;$B$4,'Subject Reports'!A:A,"&lt;="&amp;$B$5))</f>
        <v/>
      </c>
      <c r="C51">
        <f>IF($B51=0,"",ROUND(100*COUNTIFS('Subject Reports'!C:C,$A51,'Subject Reports'!A:A,"&gt;="&amp;$B$4,'Subject Reports'!A:A,"&lt;="&amp;$B$5,'Subject Reports'!G:G,"On Track")/$B51,0))</f>
        <v/>
      </c>
      <c r="D51">
        <f>IF($B51=0,"",ROUND(100*COUNTIFS('Subject Reports'!C:C,$A51,'Subject Reports'!A:A,"&gt;="&amp;$B$4,'Subject Reports'!A:A,"&lt;="&amp;$B$5,'Subject Reports'!G:G,"Slightly Behind")/$B51,0))</f>
        <v/>
      </c>
      <c r="E51">
        <f>IF($B51=0,"",ROUND(100*COUNTIFS('Subject Reports'!C:C,$A51,'Subject Reports'!A:A,"&gt;="&amp;$B$4,'Subject Reports'!A:A,"&lt;="&amp;$B$5,'Subject Reports'!G:G,"Behind")/$B51,0))</f>
        <v/>
      </c>
      <c r="F51">
        <f>IF($B51=0,"",C51-E51)</f>
        <v/>
      </c>
    </row>
    <row r="52">
      <c r="B52">
        <f>IF($A52="","",COUNTIFS('Subject Reports'!C:C,$A52,'Subject Reports'!A:A,"&gt;="&amp;$B$4,'Subject Reports'!A:A,"&lt;="&amp;$B$5))</f>
        <v/>
      </c>
      <c r="C52">
        <f>IF($B52=0,"",ROUND(100*COUNTIFS('Subject Reports'!C:C,$A52,'Subject Reports'!A:A,"&gt;="&amp;$B$4,'Subject Reports'!A:A,"&lt;="&amp;$B$5,'Subject Reports'!G:G,"On Track")/$B52,0))</f>
        <v/>
      </c>
      <c r="D52">
        <f>IF($B52=0,"",ROUND(100*COUNTIFS('Subject Reports'!C:C,$A52,'Subject Reports'!A:A,"&gt;="&amp;$B$4,'Subject Reports'!A:A,"&lt;="&amp;$B$5,'Subject Reports'!G:G,"Slightly Behind")/$B52,0))</f>
        <v/>
      </c>
      <c r="E52">
        <f>IF($B52=0,"",ROUND(100*COUNTIFS('Subject Reports'!C:C,$A52,'Subject Reports'!A:A,"&gt;="&amp;$B$4,'Subject Reports'!A:A,"&lt;="&amp;$B$5,'Subject Reports'!G:G,"Behind")/$B52,0))</f>
        <v/>
      </c>
      <c r="F52">
        <f>IF($B52=0,"",C52-E52)</f>
        <v/>
      </c>
    </row>
    <row r="53">
      <c r="B53">
        <f>IF($A53="","",COUNTIFS('Subject Reports'!C:C,$A53,'Subject Reports'!A:A,"&gt;="&amp;$B$4,'Subject Reports'!A:A,"&lt;="&amp;$B$5))</f>
        <v/>
      </c>
      <c r="C53">
        <f>IF($B53=0,"",ROUND(100*COUNTIFS('Subject Reports'!C:C,$A53,'Subject Reports'!A:A,"&gt;="&amp;$B$4,'Subject Reports'!A:A,"&lt;="&amp;$B$5,'Subject Reports'!G:G,"On Track")/$B53,0))</f>
        <v/>
      </c>
      <c r="D53">
        <f>IF($B53=0,"",ROUND(100*COUNTIFS('Subject Reports'!C:C,$A53,'Subject Reports'!A:A,"&gt;="&amp;$B$4,'Subject Reports'!A:A,"&lt;="&amp;$B$5,'Subject Reports'!G:G,"Slightly Behind")/$B53,0))</f>
        <v/>
      </c>
      <c r="E53">
        <f>IF($B53=0,"",ROUND(100*COUNTIFS('Subject Reports'!C:C,$A53,'Subject Reports'!A:A,"&gt;="&amp;$B$4,'Subject Reports'!A:A,"&lt;="&amp;$B$5,'Subject Reports'!G:G,"Behind")/$B53,0))</f>
        <v/>
      </c>
      <c r="F53">
        <f>IF($B53=0,"",C53-E53)</f>
        <v/>
      </c>
    </row>
    <row r="54">
      <c r="B54">
        <f>IF($A54="","",COUNTIFS('Subject Reports'!C:C,$A54,'Subject Reports'!A:A,"&gt;="&amp;$B$4,'Subject Reports'!A:A,"&lt;="&amp;$B$5))</f>
        <v/>
      </c>
      <c r="C54">
        <f>IF($B54=0,"",ROUND(100*COUNTIFS('Subject Reports'!C:C,$A54,'Subject Reports'!A:A,"&gt;="&amp;$B$4,'Subject Reports'!A:A,"&lt;="&amp;$B$5,'Subject Reports'!G:G,"On Track")/$B54,0))</f>
        <v/>
      </c>
      <c r="D54">
        <f>IF($B54=0,"",ROUND(100*COUNTIFS('Subject Reports'!C:C,$A54,'Subject Reports'!A:A,"&gt;="&amp;$B$4,'Subject Reports'!A:A,"&lt;="&amp;$B$5,'Subject Reports'!G:G,"Slightly Behind")/$B54,0))</f>
        <v/>
      </c>
      <c r="E54">
        <f>IF($B54=0,"",ROUND(100*COUNTIFS('Subject Reports'!C:C,$A54,'Subject Reports'!A:A,"&gt;="&amp;$B$4,'Subject Reports'!A:A,"&lt;="&amp;$B$5,'Subject Reports'!G:G,"Behind")/$B54,0))</f>
        <v/>
      </c>
      <c r="F54">
        <f>IF($B54=0,"",C54-E54)</f>
        <v/>
      </c>
    </row>
    <row r="55">
      <c r="B55">
        <f>IF($A55="","",COUNTIFS('Subject Reports'!C:C,$A55,'Subject Reports'!A:A,"&gt;="&amp;$B$4,'Subject Reports'!A:A,"&lt;="&amp;$B$5))</f>
        <v/>
      </c>
      <c r="C55">
        <f>IF($B55=0,"",ROUND(100*COUNTIFS('Subject Reports'!C:C,$A55,'Subject Reports'!A:A,"&gt;="&amp;$B$4,'Subject Reports'!A:A,"&lt;="&amp;$B$5,'Subject Reports'!G:G,"On Track")/$B55,0))</f>
        <v/>
      </c>
      <c r="D55">
        <f>IF($B55=0,"",ROUND(100*COUNTIFS('Subject Reports'!C:C,$A55,'Subject Reports'!A:A,"&gt;="&amp;$B$4,'Subject Reports'!A:A,"&lt;="&amp;$B$5,'Subject Reports'!G:G,"Slightly Behind")/$B55,0))</f>
        <v/>
      </c>
      <c r="E55">
        <f>IF($B55=0,"",ROUND(100*COUNTIFS('Subject Reports'!C:C,$A55,'Subject Reports'!A:A,"&gt;="&amp;$B$4,'Subject Reports'!A:A,"&lt;="&amp;$B$5,'Subject Reports'!G:G,"Behind")/$B55,0))</f>
        <v/>
      </c>
      <c r="F55">
        <f>IF($B55=0,"",C55-E55)</f>
        <v/>
      </c>
    </row>
    <row r="56">
      <c r="B56">
        <f>IF($A56="","",COUNTIFS('Subject Reports'!C:C,$A56,'Subject Reports'!A:A,"&gt;="&amp;$B$4,'Subject Reports'!A:A,"&lt;="&amp;$B$5))</f>
        <v/>
      </c>
      <c r="C56">
        <f>IF($B56=0,"",ROUND(100*COUNTIFS('Subject Reports'!C:C,$A56,'Subject Reports'!A:A,"&gt;="&amp;$B$4,'Subject Reports'!A:A,"&lt;="&amp;$B$5,'Subject Reports'!G:G,"On Track")/$B56,0))</f>
        <v/>
      </c>
      <c r="D56">
        <f>IF($B56=0,"",ROUND(100*COUNTIFS('Subject Reports'!C:C,$A56,'Subject Reports'!A:A,"&gt;="&amp;$B$4,'Subject Reports'!A:A,"&lt;="&amp;$B$5,'Subject Reports'!G:G,"Slightly Behind")/$B56,0))</f>
        <v/>
      </c>
      <c r="E56">
        <f>IF($B56=0,"",ROUND(100*COUNTIFS('Subject Reports'!C:C,$A56,'Subject Reports'!A:A,"&gt;="&amp;$B$4,'Subject Reports'!A:A,"&lt;="&amp;$B$5,'Subject Reports'!G:G,"Behind")/$B56,0))</f>
        <v/>
      </c>
      <c r="F56">
        <f>IF($B56=0,"",C56-E56)</f>
        <v/>
      </c>
    </row>
    <row r="57">
      <c r="B57">
        <f>IF($A57="","",COUNTIFS('Subject Reports'!C:C,$A57,'Subject Reports'!A:A,"&gt;="&amp;$B$4,'Subject Reports'!A:A,"&lt;="&amp;$B$5))</f>
        <v/>
      </c>
      <c r="C57">
        <f>IF($B57=0,"",ROUND(100*COUNTIFS('Subject Reports'!C:C,$A57,'Subject Reports'!A:A,"&gt;="&amp;$B$4,'Subject Reports'!A:A,"&lt;="&amp;$B$5,'Subject Reports'!G:G,"On Track")/$B57,0))</f>
        <v/>
      </c>
      <c r="D57">
        <f>IF($B57=0,"",ROUND(100*COUNTIFS('Subject Reports'!C:C,$A57,'Subject Reports'!A:A,"&gt;="&amp;$B$4,'Subject Reports'!A:A,"&lt;="&amp;$B$5,'Subject Reports'!G:G,"Slightly Behind")/$B57,0))</f>
        <v/>
      </c>
      <c r="E57">
        <f>IF($B57=0,"",ROUND(100*COUNTIFS('Subject Reports'!C:C,$A57,'Subject Reports'!A:A,"&gt;="&amp;$B$4,'Subject Reports'!A:A,"&lt;="&amp;$B$5,'Subject Reports'!G:G,"Behind")/$B57,0))</f>
        <v/>
      </c>
      <c r="F57">
        <f>IF($B57=0,"",C57-E57)</f>
        <v/>
      </c>
    </row>
    <row r="58">
      <c r="B58">
        <f>IF($A58="","",COUNTIFS('Subject Reports'!C:C,$A58,'Subject Reports'!A:A,"&gt;="&amp;$B$4,'Subject Reports'!A:A,"&lt;="&amp;$B$5))</f>
        <v/>
      </c>
      <c r="C58">
        <f>IF($B58=0,"",ROUND(100*COUNTIFS('Subject Reports'!C:C,$A58,'Subject Reports'!A:A,"&gt;="&amp;$B$4,'Subject Reports'!A:A,"&lt;="&amp;$B$5,'Subject Reports'!G:G,"On Track")/$B58,0))</f>
        <v/>
      </c>
      <c r="D58">
        <f>IF($B58=0,"",ROUND(100*COUNTIFS('Subject Reports'!C:C,$A58,'Subject Reports'!A:A,"&gt;="&amp;$B$4,'Subject Reports'!A:A,"&lt;="&amp;$B$5,'Subject Reports'!G:G,"Slightly Behind")/$B58,0))</f>
        <v/>
      </c>
      <c r="E58">
        <f>IF($B58=0,"",ROUND(100*COUNTIFS('Subject Reports'!C:C,$A58,'Subject Reports'!A:A,"&gt;="&amp;$B$4,'Subject Reports'!A:A,"&lt;="&amp;$B$5,'Subject Reports'!G:G,"Behind")/$B58,0))</f>
        <v/>
      </c>
      <c r="F58">
        <f>IF($B58=0,"",C58-E58)</f>
        <v/>
      </c>
    </row>
    <row r="59">
      <c r="B59">
        <f>IF($A59="","",COUNTIFS('Subject Reports'!C:C,$A59,'Subject Reports'!A:A,"&gt;="&amp;$B$4,'Subject Reports'!A:A,"&lt;="&amp;$B$5))</f>
        <v/>
      </c>
      <c r="C59">
        <f>IF($B59=0,"",ROUND(100*COUNTIFS('Subject Reports'!C:C,$A59,'Subject Reports'!A:A,"&gt;="&amp;$B$4,'Subject Reports'!A:A,"&lt;="&amp;$B$5,'Subject Reports'!G:G,"On Track")/$B59,0))</f>
        <v/>
      </c>
      <c r="D59">
        <f>IF($B59=0,"",ROUND(100*COUNTIFS('Subject Reports'!C:C,$A59,'Subject Reports'!A:A,"&gt;="&amp;$B$4,'Subject Reports'!A:A,"&lt;="&amp;$B$5,'Subject Reports'!G:G,"Slightly Behind")/$B59,0))</f>
        <v/>
      </c>
      <c r="E59">
        <f>IF($B59=0,"",ROUND(100*COUNTIFS('Subject Reports'!C:C,$A59,'Subject Reports'!A:A,"&gt;="&amp;$B$4,'Subject Reports'!A:A,"&lt;="&amp;$B$5,'Subject Reports'!G:G,"Behind")/$B59,0))</f>
        <v/>
      </c>
      <c r="F59">
        <f>IF($B59=0,"",C59-E59)</f>
        <v/>
      </c>
    </row>
    <row r="60">
      <c r="B60">
        <f>IF($A60="","",COUNTIFS('Subject Reports'!C:C,$A60,'Subject Reports'!A:A,"&gt;="&amp;$B$4,'Subject Reports'!A:A,"&lt;="&amp;$B$5))</f>
        <v/>
      </c>
      <c r="C60">
        <f>IF($B60=0,"",ROUND(100*COUNTIFS('Subject Reports'!C:C,$A60,'Subject Reports'!A:A,"&gt;="&amp;$B$4,'Subject Reports'!A:A,"&lt;="&amp;$B$5,'Subject Reports'!G:G,"On Track")/$B60,0))</f>
        <v/>
      </c>
      <c r="D60">
        <f>IF($B60=0,"",ROUND(100*COUNTIFS('Subject Reports'!C:C,$A60,'Subject Reports'!A:A,"&gt;="&amp;$B$4,'Subject Reports'!A:A,"&lt;="&amp;$B$5,'Subject Reports'!G:G,"Slightly Behind")/$B60,0))</f>
        <v/>
      </c>
      <c r="E60">
        <f>IF($B60=0,"",ROUND(100*COUNTIFS('Subject Reports'!C:C,$A60,'Subject Reports'!A:A,"&gt;="&amp;$B$4,'Subject Reports'!A:A,"&lt;="&amp;$B$5,'Subject Reports'!G:G,"Behind")/$B60,0))</f>
        <v/>
      </c>
      <c r="F60">
        <f>IF($B60=0,"",C60-E60)</f>
        <v/>
      </c>
    </row>
    <row r="61">
      <c r="B61">
        <f>IF($A61="","",COUNTIFS('Subject Reports'!C:C,$A61,'Subject Reports'!A:A,"&gt;="&amp;$B$4,'Subject Reports'!A:A,"&lt;="&amp;$B$5))</f>
        <v/>
      </c>
      <c r="C61">
        <f>IF($B61=0,"",ROUND(100*COUNTIFS('Subject Reports'!C:C,$A61,'Subject Reports'!A:A,"&gt;="&amp;$B$4,'Subject Reports'!A:A,"&lt;="&amp;$B$5,'Subject Reports'!G:G,"On Track")/$B61,0))</f>
        <v/>
      </c>
      <c r="D61">
        <f>IF($B61=0,"",ROUND(100*COUNTIFS('Subject Reports'!C:C,$A61,'Subject Reports'!A:A,"&gt;="&amp;$B$4,'Subject Reports'!A:A,"&lt;="&amp;$B$5,'Subject Reports'!G:G,"Slightly Behind")/$B61,0))</f>
        <v/>
      </c>
      <c r="E61">
        <f>IF($B61=0,"",ROUND(100*COUNTIFS('Subject Reports'!C:C,$A61,'Subject Reports'!A:A,"&gt;="&amp;$B$4,'Subject Reports'!A:A,"&lt;="&amp;$B$5,'Subject Reports'!G:G,"Behind")/$B61,0))</f>
        <v/>
      </c>
      <c r="F61">
        <f>IF($B61=0,"",C61-E61)</f>
        <v/>
      </c>
    </row>
    <row r="62">
      <c r="B62">
        <f>IF($A62="","",COUNTIFS('Subject Reports'!C:C,$A62,'Subject Reports'!A:A,"&gt;="&amp;$B$4,'Subject Reports'!A:A,"&lt;="&amp;$B$5))</f>
        <v/>
      </c>
      <c r="C62">
        <f>IF($B62=0,"",ROUND(100*COUNTIFS('Subject Reports'!C:C,$A62,'Subject Reports'!A:A,"&gt;="&amp;$B$4,'Subject Reports'!A:A,"&lt;="&amp;$B$5,'Subject Reports'!G:G,"On Track")/$B62,0))</f>
        <v/>
      </c>
      <c r="D62">
        <f>IF($B62=0,"",ROUND(100*COUNTIFS('Subject Reports'!C:C,$A62,'Subject Reports'!A:A,"&gt;="&amp;$B$4,'Subject Reports'!A:A,"&lt;="&amp;$B$5,'Subject Reports'!G:G,"Slightly Behind")/$B62,0))</f>
        <v/>
      </c>
      <c r="E62">
        <f>IF($B62=0,"",ROUND(100*COUNTIFS('Subject Reports'!C:C,$A62,'Subject Reports'!A:A,"&gt;="&amp;$B$4,'Subject Reports'!A:A,"&lt;="&amp;$B$5,'Subject Reports'!G:G,"Behind")/$B62,0))</f>
        <v/>
      </c>
      <c r="F62">
        <f>IF($B62=0,"",C62-E62)</f>
        <v/>
      </c>
    </row>
    <row r="63">
      <c r="B63">
        <f>IF($A63="","",COUNTIFS('Subject Reports'!C:C,$A63,'Subject Reports'!A:A,"&gt;="&amp;$B$4,'Subject Reports'!A:A,"&lt;="&amp;$B$5))</f>
        <v/>
      </c>
      <c r="C63">
        <f>IF($B63=0,"",ROUND(100*COUNTIFS('Subject Reports'!C:C,$A63,'Subject Reports'!A:A,"&gt;="&amp;$B$4,'Subject Reports'!A:A,"&lt;="&amp;$B$5,'Subject Reports'!G:G,"On Track")/$B63,0))</f>
        <v/>
      </c>
      <c r="D63">
        <f>IF($B63=0,"",ROUND(100*COUNTIFS('Subject Reports'!C:C,$A63,'Subject Reports'!A:A,"&gt;="&amp;$B$4,'Subject Reports'!A:A,"&lt;="&amp;$B$5,'Subject Reports'!G:G,"Slightly Behind")/$B63,0))</f>
        <v/>
      </c>
      <c r="E63">
        <f>IF($B63=0,"",ROUND(100*COUNTIFS('Subject Reports'!C:C,$A63,'Subject Reports'!A:A,"&gt;="&amp;$B$4,'Subject Reports'!A:A,"&lt;="&amp;$B$5,'Subject Reports'!G:G,"Behind")/$B63,0))</f>
        <v/>
      </c>
      <c r="F63">
        <f>IF($B63=0,"",C63-E63)</f>
        <v/>
      </c>
    </row>
    <row r="64">
      <c r="B64">
        <f>IF($A64="","",COUNTIFS('Subject Reports'!C:C,$A64,'Subject Reports'!A:A,"&gt;="&amp;$B$4,'Subject Reports'!A:A,"&lt;="&amp;$B$5))</f>
        <v/>
      </c>
      <c r="C64">
        <f>IF($B64=0,"",ROUND(100*COUNTIFS('Subject Reports'!C:C,$A64,'Subject Reports'!A:A,"&gt;="&amp;$B$4,'Subject Reports'!A:A,"&lt;="&amp;$B$5,'Subject Reports'!G:G,"On Track")/$B64,0))</f>
        <v/>
      </c>
      <c r="D64">
        <f>IF($B64=0,"",ROUND(100*COUNTIFS('Subject Reports'!C:C,$A64,'Subject Reports'!A:A,"&gt;="&amp;$B$4,'Subject Reports'!A:A,"&lt;="&amp;$B$5,'Subject Reports'!G:G,"Slightly Behind")/$B64,0))</f>
        <v/>
      </c>
      <c r="E64">
        <f>IF($B64=0,"",ROUND(100*COUNTIFS('Subject Reports'!C:C,$A64,'Subject Reports'!A:A,"&gt;="&amp;$B$4,'Subject Reports'!A:A,"&lt;="&amp;$B$5,'Subject Reports'!G:G,"Behind")/$B64,0))</f>
        <v/>
      </c>
      <c r="F64">
        <f>IF($B64=0,"",C64-E64)</f>
        <v/>
      </c>
    </row>
    <row r="65">
      <c r="B65">
        <f>IF($A65="","",COUNTIFS('Subject Reports'!C:C,$A65,'Subject Reports'!A:A,"&gt;="&amp;$B$4,'Subject Reports'!A:A,"&lt;="&amp;$B$5))</f>
        <v/>
      </c>
      <c r="C65">
        <f>IF($B65=0,"",ROUND(100*COUNTIFS('Subject Reports'!C:C,$A65,'Subject Reports'!A:A,"&gt;="&amp;$B$4,'Subject Reports'!A:A,"&lt;="&amp;$B$5,'Subject Reports'!G:G,"On Track")/$B65,0))</f>
        <v/>
      </c>
      <c r="D65">
        <f>IF($B65=0,"",ROUND(100*COUNTIFS('Subject Reports'!C:C,$A65,'Subject Reports'!A:A,"&gt;="&amp;$B$4,'Subject Reports'!A:A,"&lt;="&amp;$B$5,'Subject Reports'!G:G,"Slightly Behind")/$B65,0))</f>
        <v/>
      </c>
      <c r="E65">
        <f>IF($B65=0,"",ROUND(100*COUNTIFS('Subject Reports'!C:C,$A65,'Subject Reports'!A:A,"&gt;="&amp;$B$4,'Subject Reports'!A:A,"&lt;="&amp;$B$5,'Subject Reports'!G:G,"Behind")/$B65,0))</f>
        <v/>
      </c>
      <c r="F65">
        <f>IF($B65=0,"",C65-E65)</f>
        <v/>
      </c>
    </row>
    <row r="66">
      <c r="B66">
        <f>IF($A66="","",COUNTIFS('Subject Reports'!C:C,$A66,'Subject Reports'!A:A,"&gt;="&amp;$B$4,'Subject Reports'!A:A,"&lt;="&amp;$B$5))</f>
        <v/>
      </c>
      <c r="C66">
        <f>IF($B66=0,"",ROUND(100*COUNTIFS('Subject Reports'!C:C,$A66,'Subject Reports'!A:A,"&gt;="&amp;$B$4,'Subject Reports'!A:A,"&lt;="&amp;$B$5,'Subject Reports'!G:G,"On Track")/$B66,0))</f>
        <v/>
      </c>
      <c r="D66">
        <f>IF($B66=0,"",ROUND(100*COUNTIFS('Subject Reports'!C:C,$A66,'Subject Reports'!A:A,"&gt;="&amp;$B$4,'Subject Reports'!A:A,"&lt;="&amp;$B$5,'Subject Reports'!G:G,"Slightly Behind")/$B66,0))</f>
        <v/>
      </c>
      <c r="E66">
        <f>IF($B66=0,"",ROUND(100*COUNTIFS('Subject Reports'!C:C,$A66,'Subject Reports'!A:A,"&gt;="&amp;$B$4,'Subject Reports'!A:A,"&lt;="&amp;$B$5,'Subject Reports'!G:G,"Behind")/$B66,0))</f>
        <v/>
      </c>
      <c r="F66">
        <f>IF($B66=0,"",C66-E66)</f>
        <v/>
      </c>
    </row>
    <row r="67">
      <c r="B67">
        <f>IF($A67="","",COUNTIFS('Subject Reports'!C:C,$A67,'Subject Reports'!A:A,"&gt;="&amp;$B$4,'Subject Reports'!A:A,"&lt;="&amp;$B$5))</f>
        <v/>
      </c>
      <c r="C67">
        <f>IF($B67=0,"",ROUND(100*COUNTIFS('Subject Reports'!C:C,$A67,'Subject Reports'!A:A,"&gt;="&amp;$B$4,'Subject Reports'!A:A,"&lt;="&amp;$B$5,'Subject Reports'!G:G,"On Track")/$B67,0))</f>
        <v/>
      </c>
      <c r="D67">
        <f>IF($B67=0,"",ROUND(100*COUNTIFS('Subject Reports'!C:C,$A67,'Subject Reports'!A:A,"&gt;="&amp;$B$4,'Subject Reports'!A:A,"&lt;="&amp;$B$5,'Subject Reports'!G:G,"Slightly Behind")/$B67,0))</f>
        <v/>
      </c>
      <c r="E67">
        <f>IF($B67=0,"",ROUND(100*COUNTIFS('Subject Reports'!C:C,$A67,'Subject Reports'!A:A,"&gt;="&amp;$B$4,'Subject Reports'!A:A,"&lt;="&amp;$B$5,'Subject Reports'!G:G,"Behind")/$B67,0))</f>
        <v/>
      </c>
      <c r="F67">
        <f>IF($B67=0,"",C67-E67)</f>
        <v/>
      </c>
    </row>
    <row r="68">
      <c r="B68">
        <f>IF($A68="","",COUNTIFS('Subject Reports'!C:C,$A68,'Subject Reports'!A:A,"&gt;="&amp;$B$4,'Subject Reports'!A:A,"&lt;="&amp;$B$5))</f>
        <v/>
      </c>
      <c r="C68">
        <f>IF($B68=0,"",ROUND(100*COUNTIFS('Subject Reports'!C:C,$A68,'Subject Reports'!A:A,"&gt;="&amp;$B$4,'Subject Reports'!A:A,"&lt;="&amp;$B$5,'Subject Reports'!G:G,"On Track")/$B68,0))</f>
        <v/>
      </c>
      <c r="D68">
        <f>IF($B68=0,"",ROUND(100*COUNTIFS('Subject Reports'!C:C,$A68,'Subject Reports'!A:A,"&gt;="&amp;$B$4,'Subject Reports'!A:A,"&lt;="&amp;$B$5,'Subject Reports'!G:G,"Slightly Behind")/$B68,0))</f>
        <v/>
      </c>
      <c r="E68">
        <f>IF($B68=0,"",ROUND(100*COUNTIFS('Subject Reports'!C:C,$A68,'Subject Reports'!A:A,"&gt;="&amp;$B$4,'Subject Reports'!A:A,"&lt;="&amp;$B$5,'Subject Reports'!G:G,"Behind")/$B68,0))</f>
        <v/>
      </c>
      <c r="F68">
        <f>IF($B68=0,"",C68-E68)</f>
        <v/>
      </c>
    </row>
    <row r="69">
      <c r="B69">
        <f>IF($A69="","",COUNTIFS('Subject Reports'!C:C,$A69,'Subject Reports'!A:A,"&gt;="&amp;$B$4,'Subject Reports'!A:A,"&lt;="&amp;$B$5))</f>
        <v/>
      </c>
      <c r="C69">
        <f>IF($B69=0,"",ROUND(100*COUNTIFS('Subject Reports'!C:C,$A69,'Subject Reports'!A:A,"&gt;="&amp;$B$4,'Subject Reports'!A:A,"&lt;="&amp;$B$5,'Subject Reports'!G:G,"On Track")/$B69,0))</f>
        <v/>
      </c>
      <c r="D69">
        <f>IF($B69=0,"",ROUND(100*COUNTIFS('Subject Reports'!C:C,$A69,'Subject Reports'!A:A,"&gt;="&amp;$B$4,'Subject Reports'!A:A,"&lt;="&amp;$B$5,'Subject Reports'!G:G,"Slightly Behind")/$B69,0))</f>
        <v/>
      </c>
      <c r="E69">
        <f>IF($B69=0,"",ROUND(100*COUNTIFS('Subject Reports'!C:C,$A69,'Subject Reports'!A:A,"&gt;="&amp;$B$4,'Subject Reports'!A:A,"&lt;="&amp;$B$5,'Subject Reports'!G:G,"Behind")/$B69,0))</f>
        <v/>
      </c>
      <c r="F69">
        <f>IF($B69=0,"",C69-E69)</f>
        <v/>
      </c>
    </row>
    <row r="70">
      <c r="B70">
        <f>IF($A70="","",COUNTIFS('Subject Reports'!C:C,$A70,'Subject Reports'!A:A,"&gt;="&amp;$B$4,'Subject Reports'!A:A,"&lt;="&amp;$B$5))</f>
        <v/>
      </c>
      <c r="C70">
        <f>IF($B70=0,"",ROUND(100*COUNTIFS('Subject Reports'!C:C,$A70,'Subject Reports'!A:A,"&gt;="&amp;$B$4,'Subject Reports'!A:A,"&lt;="&amp;$B$5,'Subject Reports'!G:G,"On Track")/$B70,0))</f>
        <v/>
      </c>
      <c r="D70">
        <f>IF($B70=0,"",ROUND(100*COUNTIFS('Subject Reports'!C:C,$A70,'Subject Reports'!A:A,"&gt;="&amp;$B$4,'Subject Reports'!A:A,"&lt;="&amp;$B$5,'Subject Reports'!G:G,"Slightly Behind")/$B70,0))</f>
        <v/>
      </c>
      <c r="E70">
        <f>IF($B70=0,"",ROUND(100*COUNTIFS('Subject Reports'!C:C,$A70,'Subject Reports'!A:A,"&gt;="&amp;$B$4,'Subject Reports'!A:A,"&lt;="&amp;$B$5,'Subject Reports'!G:G,"Behind")/$B70,0))</f>
        <v/>
      </c>
      <c r="F70">
        <f>IF($B70=0,"",C70-E70)</f>
        <v/>
      </c>
    </row>
    <row r="71">
      <c r="B71">
        <f>IF($A71="","",COUNTIFS('Subject Reports'!C:C,$A71,'Subject Reports'!A:A,"&gt;="&amp;$B$4,'Subject Reports'!A:A,"&lt;="&amp;$B$5))</f>
        <v/>
      </c>
      <c r="C71">
        <f>IF($B71=0,"",ROUND(100*COUNTIFS('Subject Reports'!C:C,$A71,'Subject Reports'!A:A,"&gt;="&amp;$B$4,'Subject Reports'!A:A,"&lt;="&amp;$B$5,'Subject Reports'!G:G,"On Track")/$B71,0))</f>
        <v/>
      </c>
      <c r="D71">
        <f>IF($B71=0,"",ROUND(100*COUNTIFS('Subject Reports'!C:C,$A71,'Subject Reports'!A:A,"&gt;="&amp;$B$4,'Subject Reports'!A:A,"&lt;="&amp;$B$5,'Subject Reports'!G:G,"Slightly Behind")/$B71,0))</f>
        <v/>
      </c>
      <c r="E71">
        <f>IF($B71=0,"",ROUND(100*COUNTIFS('Subject Reports'!C:C,$A71,'Subject Reports'!A:A,"&gt;="&amp;$B$4,'Subject Reports'!A:A,"&lt;="&amp;$B$5,'Subject Reports'!G:G,"Behind")/$B71,0))</f>
        <v/>
      </c>
      <c r="F71">
        <f>IF($B71=0,"",C71-E71)</f>
        <v/>
      </c>
    </row>
    <row r="72">
      <c r="B72">
        <f>IF($A72="","",COUNTIFS('Subject Reports'!C:C,$A72,'Subject Reports'!A:A,"&gt;="&amp;$B$4,'Subject Reports'!A:A,"&lt;="&amp;$B$5))</f>
        <v/>
      </c>
      <c r="C72">
        <f>IF($B72=0,"",ROUND(100*COUNTIFS('Subject Reports'!C:C,$A72,'Subject Reports'!A:A,"&gt;="&amp;$B$4,'Subject Reports'!A:A,"&lt;="&amp;$B$5,'Subject Reports'!G:G,"On Track")/$B72,0))</f>
        <v/>
      </c>
      <c r="D72">
        <f>IF($B72=0,"",ROUND(100*COUNTIFS('Subject Reports'!C:C,$A72,'Subject Reports'!A:A,"&gt;="&amp;$B$4,'Subject Reports'!A:A,"&lt;="&amp;$B$5,'Subject Reports'!G:G,"Slightly Behind")/$B72,0))</f>
        <v/>
      </c>
      <c r="E72">
        <f>IF($B72=0,"",ROUND(100*COUNTIFS('Subject Reports'!C:C,$A72,'Subject Reports'!A:A,"&gt;="&amp;$B$4,'Subject Reports'!A:A,"&lt;="&amp;$B$5,'Subject Reports'!G:G,"Behind")/$B72,0))</f>
        <v/>
      </c>
      <c r="F72">
        <f>IF($B72=0,"",C72-E72)</f>
        <v/>
      </c>
    </row>
    <row r="73">
      <c r="B73">
        <f>IF($A73="","",COUNTIFS('Subject Reports'!C:C,$A73,'Subject Reports'!A:A,"&gt;="&amp;$B$4,'Subject Reports'!A:A,"&lt;="&amp;$B$5))</f>
        <v/>
      </c>
      <c r="C73">
        <f>IF($B73=0,"",ROUND(100*COUNTIFS('Subject Reports'!C:C,$A73,'Subject Reports'!A:A,"&gt;="&amp;$B$4,'Subject Reports'!A:A,"&lt;="&amp;$B$5,'Subject Reports'!G:G,"On Track")/$B73,0))</f>
        <v/>
      </c>
      <c r="D73">
        <f>IF($B73=0,"",ROUND(100*COUNTIFS('Subject Reports'!C:C,$A73,'Subject Reports'!A:A,"&gt;="&amp;$B$4,'Subject Reports'!A:A,"&lt;="&amp;$B$5,'Subject Reports'!G:G,"Slightly Behind")/$B73,0))</f>
        <v/>
      </c>
      <c r="E73">
        <f>IF($B73=0,"",ROUND(100*COUNTIFS('Subject Reports'!C:C,$A73,'Subject Reports'!A:A,"&gt;="&amp;$B$4,'Subject Reports'!A:A,"&lt;="&amp;$B$5,'Subject Reports'!G:G,"Behind")/$B73,0))</f>
        <v/>
      </c>
      <c r="F73">
        <f>IF($B73=0,"",C73-E73)</f>
        <v/>
      </c>
    </row>
    <row r="74">
      <c r="B74">
        <f>IF($A74="","",COUNTIFS('Subject Reports'!C:C,$A74,'Subject Reports'!A:A,"&gt;="&amp;$B$4,'Subject Reports'!A:A,"&lt;="&amp;$B$5))</f>
        <v/>
      </c>
      <c r="C74">
        <f>IF($B74=0,"",ROUND(100*COUNTIFS('Subject Reports'!C:C,$A74,'Subject Reports'!A:A,"&gt;="&amp;$B$4,'Subject Reports'!A:A,"&lt;="&amp;$B$5,'Subject Reports'!G:G,"On Track")/$B74,0))</f>
        <v/>
      </c>
      <c r="D74">
        <f>IF($B74=0,"",ROUND(100*COUNTIFS('Subject Reports'!C:C,$A74,'Subject Reports'!A:A,"&gt;="&amp;$B$4,'Subject Reports'!A:A,"&lt;="&amp;$B$5,'Subject Reports'!G:G,"Slightly Behind")/$B74,0))</f>
        <v/>
      </c>
      <c r="E74">
        <f>IF($B74=0,"",ROUND(100*COUNTIFS('Subject Reports'!C:C,$A74,'Subject Reports'!A:A,"&gt;="&amp;$B$4,'Subject Reports'!A:A,"&lt;="&amp;$B$5,'Subject Reports'!G:G,"Behind")/$B74,0))</f>
        <v/>
      </c>
      <c r="F74">
        <f>IF($B74=0,"",C74-E74)</f>
        <v/>
      </c>
    </row>
    <row r="75">
      <c r="B75">
        <f>IF($A75="","",COUNTIFS('Subject Reports'!C:C,$A75,'Subject Reports'!A:A,"&gt;="&amp;$B$4,'Subject Reports'!A:A,"&lt;="&amp;$B$5))</f>
        <v/>
      </c>
      <c r="C75">
        <f>IF($B75=0,"",ROUND(100*COUNTIFS('Subject Reports'!C:C,$A75,'Subject Reports'!A:A,"&gt;="&amp;$B$4,'Subject Reports'!A:A,"&lt;="&amp;$B$5,'Subject Reports'!G:G,"On Track")/$B75,0))</f>
        <v/>
      </c>
      <c r="D75">
        <f>IF($B75=0,"",ROUND(100*COUNTIFS('Subject Reports'!C:C,$A75,'Subject Reports'!A:A,"&gt;="&amp;$B$4,'Subject Reports'!A:A,"&lt;="&amp;$B$5,'Subject Reports'!G:G,"Slightly Behind")/$B75,0))</f>
        <v/>
      </c>
      <c r="E75">
        <f>IF($B75=0,"",ROUND(100*COUNTIFS('Subject Reports'!C:C,$A75,'Subject Reports'!A:A,"&gt;="&amp;$B$4,'Subject Reports'!A:A,"&lt;="&amp;$B$5,'Subject Reports'!G:G,"Behind")/$B75,0))</f>
        <v/>
      </c>
      <c r="F75">
        <f>IF($B75=0,"",C75-E75)</f>
        <v/>
      </c>
    </row>
    <row r="76">
      <c r="B76">
        <f>IF($A76="","",COUNTIFS('Subject Reports'!C:C,$A76,'Subject Reports'!A:A,"&gt;="&amp;$B$4,'Subject Reports'!A:A,"&lt;="&amp;$B$5))</f>
        <v/>
      </c>
      <c r="C76">
        <f>IF($B76=0,"",ROUND(100*COUNTIFS('Subject Reports'!C:C,$A76,'Subject Reports'!A:A,"&gt;="&amp;$B$4,'Subject Reports'!A:A,"&lt;="&amp;$B$5,'Subject Reports'!G:G,"On Track")/$B76,0))</f>
        <v/>
      </c>
      <c r="D76">
        <f>IF($B76=0,"",ROUND(100*COUNTIFS('Subject Reports'!C:C,$A76,'Subject Reports'!A:A,"&gt;="&amp;$B$4,'Subject Reports'!A:A,"&lt;="&amp;$B$5,'Subject Reports'!G:G,"Slightly Behind")/$B76,0))</f>
        <v/>
      </c>
      <c r="E76">
        <f>IF($B76=0,"",ROUND(100*COUNTIFS('Subject Reports'!C:C,$A76,'Subject Reports'!A:A,"&gt;="&amp;$B$4,'Subject Reports'!A:A,"&lt;="&amp;$B$5,'Subject Reports'!G:G,"Behind")/$B76,0))</f>
        <v/>
      </c>
      <c r="F76">
        <f>IF($B76=0,"",C76-E76)</f>
        <v/>
      </c>
    </row>
    <row r="77">
      <c r="B77">
        <f>IF($A77="","",COUNTIFS('Subject Reports'!C:C,$A77,'Subject Reports'!A:A,"&gt;="&amp;$B$4,'Subject Reports'!A:A,"&lt;="&amp;$B$5))</f>
        <v/>
      </c>
      <c r="C77">
        <f>IF($B77=0,"",ROUND(100*COUNTIFS('Subject Reports'!C:C,$A77,'Subject Reports'!A:A,"&gt;="&amp;$B$4,'Subject Reports'!A:A,"&lt;="&amp;$B$5,'Subject Reports'!G:G,"On Track")/$B77,0))</f>
        <v/>
      </c>
      <c r="D77">
        <f>IF($B77=0,"",ROUND(100*COUNTIFS('Subject Reports'!C:C,$A77,'Subject Reports'!A:A,"&gt;="&amp;$B$4,'Subject Reports'!A:A,"&lt;="&amp;$B$5,'Subject Reports'!G:G,"Slightly Behind")/$B77,0))</f>
        <v/>
      </c>
      <c r="E77">
        <f>IF($B77=0,"",ROUND(100*COUNTIFS('Subject Reports'!C:C,$A77,'Subject Reports'!A:A,"&gt;="&amp;$B$4,'Subject Reports'!A:A,"&lt;="&amp;$B$5,'Subject Reports'!G:G,"Behind")/$B77,0))</f>
        <v/>
      </c>
      <c r="F77">
        <f>IF($B77=0,"",C77-E77)</f>
        <v/>
      </c>
    </row>
    <row r="78">
      <c r="B78">
        <f>IF($A78="","",COUNTIFS('Subject Reports'!C:C,$A78,'Subject Reports'!A:A,"&gt;="&amp;$B$4,'Subject Reports'!A:A,"&lt;="&amp;$B$5))</f>
        <v/>
      </c>
      <c r="C78">
        <f>IF($B78=0,"",ROUND(100*COUNTIFS('Subject Reports'!C:C,$A78,'Subject Reports'!A:A,"&gt;="&amp;$B$4,'Subject Reports'!A:A,"&lt;="&amp;$B$5,'Subject Reports'!G:G,"On Track")/$B78,0))</f>
        <v/>
      </c>
      <c r="D78">
        <f>IF($B78=0,"",ROUND(100*COUNTIFS('Subject Reports'!C:C,$A78,'Subject Reports'!A:A,"&gt;="&amp;$B$4,'Subject Reports'!A:A,"&lt;="&amp;$B$5,'Subject Reports'!G:G,"Slightly Behind")/$B78,0))</f>
        <v/>
      </c>
      <c r="E78">
        <f>IF($B78=0,"",ROUND(100*COUNTIFS('Subject Reports'!C:C,$A78,'Subject Reports'!A:A,"&gt;="&amp;$B$4,'Subject Reports'!A:A,"&lt;="&amp;$B$5,'Subject Reports'!G:G,"Behind")/$B78,0))</f>
        <v/>
      </c>
      <c r="F78">
        <f>IF($B78=0,"",C78-E78)</f>
        <v/>
      </c>
    </row>
    <row r="81">
      <c r="A81" s="3" t="inlineStr">
        <is>
          <t>How to use: List subjects in Column A (e.g., Mathematics, English, Kiswahili, Science, SST, CRE, ICT). Scores update automatically.</t>
        </is>
      </c>
    </row>
  </sheetData>
  <dataValidations count="1">
    <dataValidation sqref="A19:A78" showDropDown="0" showInputMessage="0" showErrorMessage="0" allowBlank="1" type="list">
      <formula1>=Lists!$A$2:$A$100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5" max="5"/>
    <col width="26" customWidth="1" min="6" max="6"/>
    <col width="30" customWidth="1" min="8" max="8"/>
    <col width="30" customWidth="1" min="9" max="9"/>
  </cols>
  <sheetData>
    <row r="1">
      <c r="A1" s="2" t="inlineStr">
        <is>
          <t>AUTO SUBJECT LIST (Do not edit)</t>
        </is>
      </c>
      <c r="E1" s="2" t="inlineStr">
        <is>
          <t>EARLY YEARS SUBJECTS</t>
        </is>
      </c>
      <c r="F1" s="2" t="inlineStr">
        <is>
          <t>LOWER PRIMARY SUBJECTS</t>
        </is>
      </c>
      <c r="H1" s="2" t="inlineStr">
        <is>
          <t>UPPER PRIMARY SUBJECTS (G4-6)</t>
        </is>
      </c>
      <c r="I1" s="2" t="inlineStr">
        <is>
          <t>JUNIOR SCHOOL SUBJECTS (G7-9)</t>
        </is>
      </c>
    </row>
    <row r="2">
      <c r="A2">
        <f>SORT(UNIQUE(FILTER('Subject Reports'!C2:C500,'Subject Reports'!C2:C500&lt;&gt;"")))</f>
        <v/>
      </c>
      <c r="E2" t="inlineStr">
        <is>
          <t>Language</t>
        </is>
      </c>
      <c r="F2" t="inlineStr">
        <is>
          <t>English</t>
        </is>
      </c>
      <c r="H2" t="inlineStr">
        <is>
          <t>English</t>
        </is>
      </c>
      <c r="I2" t="inlineStr">
        <is>
          <t>English</t>
        </is>
      </c>
    </row>
    <row r="3">
      <c r="E3" t="inlineStr">
        <is>
          <t>Number Work</t>
        </is>
      </c>
      <c r="F3" t="inlineStr">
        <is>
          <t>Kiswahili</t>
        </is>
      </c>
      <c r="H3" t="inlineStr">
        <is>
          <t>Kiswahili</t>
        </is>
      </c>
      <c r="I3" t="inlineStr">
        <is>
          <t>Kiswahili</t>
        </is>
      </c>
    </row>
    <row r="4">
      <c r="E4" t="inlineStr">
        <is>
          <t>Environmental</t>
        </is>
      </c>
      <c r="F4" t="inlineStr">
        <is>
          <t>Mathematics</t>
        </is>
      </c>
      <c r="H4" t="inlineStr">
        <is>
          <t>Mathematics</t>
        </is>
      </c>
      <c r="I4" t="inlineStr">
        <is>
          <t>Mathematics</t>
        </is>
      </c>
    </row>
    <row r="5">
      <c r="E5" t="inlineStr">
        <is>
          <t>Religious</t>
        </is>
      </c>
      <c r="F5" t="inlineStr">
        <is>
          <t>Environmental Activities</t>
        </is>
      </c>
      <c r="H5" t="inlineStr">
        <is>
          <t>Science</t>
        </is>
      </c>
      <c r="I5" t="inlineStr">
        <is>
          <t>Integrated Science</t>
        </is>
      </c>
    </row>
    <row r="6">
      <c r="E6" t="inlineStr">
        <is>
          <t>Creative Activities</t>
        </is>
      </c>
      <c r="F6" t="inlineStr">
        <is>
          <t>CRE</t>
        </is>
      </c>
      <c r="H6" t="inlineStr">
        <is>
          <t>Social Studies</t>
        </is>
      </c>
      <c r="I6" t="inlineStr">
        <is>
          <t>Social Studies</t>
        </is>
      </c>
    </row>
    <row r="7">
      <c r="F7" t="inlineStr">
        <is>
          <t>Creative Arts</t>
        </is>
      </c>
      <c r="H7" t="inlineStr">
        <is>
          <t>CRE</t>
        </is>
      </c>
      <c r="I7" t="inlineStr">
        <is>
          <t>CRE</t>
        </is>
      </c>
    </row>
    <row r="8">
      <c r="H8" t="inlineStr">
        <is>
          <t>Creative Arts</t>
        </is>
      </c>
      <c r="I8" t="inlineStr">
        <is>
          <t>Pre-Technical Studies</t>
        </is>
      </c>
    </row>
    <row r="9">
      <c r="H9" t="inlineStr">
        <is>
          <t>PE</t>
        </is>
      </c>
      <c r="I9" t="inlineStr">
        <is>
          <t>Computer Studies</t>
        </is>
      </c>
    </row>
    <row r="10">
      <c r="I10" t="inlineStr">
        <is>
          <t>Business Studies</t>
        </is>
      </c>
    </row>
    <row r="11">
      <c r="I11" t="inlineStr">
        <is>
          <t>Agriculture</t>
        </is>
      </c>
    </row>
    <row r="12">
      <c r="I12" t="inlineStr">
        <is>
          <t>Home Science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2" customWidth="1" min="4" max="4"/>
    <col width="14" customWidth="1" min="5" max="5"/>
    <col width="24" customWidth="1" min="6" max="6"/>
    <col width="26" customWidth="1" min="7" max="7"/>
    <col width="10" customWidth="1" min="8" max="8"/>
    <col width="10" customWidth="1" min="9" max="9"/>
    <col width="14" customWidth="1" min="10" max="10"/>
    <col width="20" customWidth="1" min="11" max="11"/>
    <col width="26" customWidth="1" min="12" max="12"/>
    <col width="16" customWidth="1" min="13" max="13"/>
  </cols>
  <sheetData>
    <row r="1">
      <c r="A1" s="1" t="inlineStr">
        <is>
          <t>Assessment Date</t>
        </is>
      </c>
      <c r="B1" s="1" t="inlineStr">
        <is>
          <t>Week Ending</t>
        </is>
      </c>
      <c r="C1" s="1" t="inlineStr">
        <is>
          <t>Campus (Upper/Lower)</t>
        </is>
      </c>
      <c r="D1" s="1" t="inlineStr">
        <is>
          <t>Class</t>
        </is>
      </c>
      <c r="E1" s="1" t="inlineStr">
        <is>
          <t>Subject</t>
        </is>
      </c>
      <c r="F1" s="1" t="inlineStr">
        <is>
          <t>Assessment Type (CAT/Quiz/Exam/Assignment)</t>
        </is>
      </c>
      <c r="G1" s="1" t="inlineStr">
        <is>
          <t>Student Name</t>
        </is>
      </c>
      <c r="H1" s="1" t="inlineStr">
        <is>
          <t>Score</t>
        </is>
      </c>
      <c r="I1" s="1" t="inlineStr">
        <is>
          <t>Out Of</t>
        </is>
      </c>
      <c r="J1" s="1" t="inlineStr">
        <is>
          <t>Score % (auto)</t>
        </is>
      </c>
      <c r="K1" s="1" t="inlineStr">
        <is>
          <t>Teacher</t>
        </is>
      </c>
      <c r="L1" s="1" t="inlineStr">
        <is>
          <t>Remarks</t>
        </is>
      </c>
      <c r="M1" s="1" t="inlineStr">
        <is>
          <t>Academic Group</t>
        </is>
      </c>
    </row>
    <row r="2">
      <c r="J2">
        <f>IF(OR(H2="",I2=""),"",ROUND(100*H2/I2,0))</f>
        <v/>
      </c>
      <c r="M2">
        <f>IF(D2="","",IFERROR(INDEX(Classes!$B$2:$B$200,MATCH(D2,Classes!$E$2:$E$200,0)),""))</f>
        <v/>
      </c>
    </row>
    <row r="3">
      <c r="J3">
        <f>IF(OR(H3="",I3=""),"",ROUND(100*H3/I3,0))</f>
        <v/>
      </c>
      <c r="M3">
        <f>IF(D3="","",IFERROR(INDEX(Classes!$B$2:$B$200,MATCH(D3,Classes!$E$2:$E$200,0)),""))</f>
        <v/>
      </c>
    </row>
    <row r="4">
      <c r="J4">
        <f>IF(OR(H4="",I4=""),"",ROUND(100*H4/I4,0))</f>
        <v/>
      </c>
      <c r="M4">
        <f>IF(D4="","",IFERROR(INDEX(Classes!$B$2:$B$200,MATCH(D4,Classes!$E$2:$E$200,0)),""))</f>
        <v/>
      </c>
    </row>
    <row r="5">
      <c r="J5">
        <f>IF(OR(H5="",I5=""),"",ROUND(100*H5/I5,0))</f>
        <v/>
      </c>
      <c r="M5">
        <f>IF(D5="","",IFERROR(INDEX(Classes!$B$2:$B$200,MATCH(D5,Classes!$E$2:$E$200,0)),""))</f>
        <v/>
      </c>
    </row>
    <row r="6">
      <c r="J6">
        <f>IF(OR(H6="",I6=""),"",ROUND(100*H6/I6,0))</f>
        <v/>
      </c>
      <c r="M6">
        <f>IF(D6="","",IFERROR(INDEX(Classes!$B$2:$B$200,MATCH(D6,Classes!$E$2:$E$200,0)),""))</f>
        <v/>
      </c>
    </row>
    <row r="7">
      <c r="J7">
        <f>IF(OR(H7="",I7=""),"",ROUND(100*H7/I7,0))</f>
        <v/>
      </c>
      <c r="M7">
        <f>IF(D7="","",IFERROR(INDEX(Classes!$B$2:$B$200,MATCH(D7,Classes!$E$2:$E$200,0)),""))</f>
        <v/>
      </c>
    </row>
    <row r="8">
      <c r="J8">
        <f>IF(OR(H8="",I8=""),"",ROUND(100*H8/I8,0))</f>
        <v/>
      </c>
      <c r="M8">
        <f>IF(D8="","",IFERROR(INDEX(Classes!$B$2:$B$200,MATCH(D8,Classes!$E$2:$E$200,0)),""))</f>
        <v/>
      </c>
    </row>
    <row r="9">
      <c r="J9">
        <f>IF(OR(H9="",I9=""),"",ROUND(100*H9/I9,0))</f>
        <v/>
      </c>
      <c r="M9">
        <f>IF(D9="","",IFERROR(INDEX(Classes!$B$2:$B$200,MATCH(D9,Classes!$E$2:$E$200,0)),""))</f>
        <v/>
      </c>
    </row>
    <row r="10">
      <c r="J10">
        <f>IF(OR(H10="",I10=""),"",ROUND(100*H10/I10,0))</f>
        <v/>
      </c>
      <c r="M10">
        <f>IF(D10="","",IFERROR(INDEX(Classes!$B$2:$B$200,MATCH(D10,Classes!$E$2:$E$200,0)),""))</f>
        <v/>
      </c>
    </row>
    <row r="11">
      <c r="J11">
        <f>IF(OR(H11="",I11=""),"",ROUND(100*H11/I11,0))</f>
        <v/>
      </c>
      <c r="M11">
        <f>IF(D11="","",IFERROR(INDEX(Classes!$B$2:$B$200,MATCH(D11,Classes!$E$2:$E$200,0)),""))</f>
        <v/>
      </c>
    </row>
    <row r="12">
      <c r="J12">
        <f>IF(OR(H12="",I12=""),"",ROUND(100*H12/I12,0))</f>
        <v/>
      </c>
      <c r="M12">
        <f>IF(D12="","",IFERROR(INDEX(Classes!$B$2:$B$200,MATCH(D12,Classes!$E$2:$E$200,0)),""))</f>
        <v/>
      </c>
    </row>
    <row r="13">
      <c r="J13">
        <f>IF(OR(H13="",I13=""),"",ROUND(100*H13/I13,0))</f>
        <v/>
      </c>
      <c r="M13">
        <f>IF(D13="","",IFERROR(INDEX(Classes!$B$2:$B$200,MATCH(D13,Classes!$E$2:$E$200,0)),""))</f>
        <v/>
      </c>
    </row>
    <row r="14">
      <c r="J14">
        <f>IF(OR(H14="",I14=""),"",ROUND(100*H14/I14,0))</f>
        <v/>
      </c>
      <c r="M14">
        <f>IF(D14="","",IFERROR(INDEX(Classes!$B$2:$B$200,MATCH(D14,Classes!$E$2:$E$200,0)),""))</f>
        <v/>
      </c>
    </row>
    <row r="15">
      <c r="J15">
        <f>IF(OR(H15="",I15=""),"",ROUND(100*H15/I15,0))</f>
        <v/>
      </c>
      <c r="M15">
        <f>IF(D15="","",IFERROR(INDEX(Classes!$B$2:$B$200,MATCH(D15,Classes!$E$2:$E$200,0)),""))</f>
        <v/>
      </c>
    </row>
    <row r="16">
      <c r="J16">
        <f>IF(OR(H16="",I16=""),"",ROUND(100*H16/I16,0))</f>
        <v/>
      </c>
      <c r="M16">
        <f>IF(D16="","",IFERROR(INDEX(Classes!$B$2:$B$200,MATCH(D16,Classes!$E$2:$E$200,0)),""))</f>
        <v/>
      </c>
    </row>
    <row r="17">
      <c r="J17">
        <f>IF(OR(H17="",I17=""),"",ROUND(100*H17/I17,0))</f>
        <v/>
      </c>
      <c r="M17">
        <f>IF(D17="","",IFERROR(INDEX(Classes!$B$2:$B$200,MATCH(D17,Classes!$E$2:$E$200,0)),""))</f>
        <v/>
      </c>
    </row>
    <row r="18">
      <c r="J18">
        <f>IF(OR(H18="",I18=""),"",ROUND(100*H18/I18,0))</f>
        <v/>
      </c>
      <c r="M18">
        <f>IF(D18="","",IFERROR(INDEX(Classes!$B$2:$B$200,MATCH(D18,Classes!$E$2:$E$200,0)),""))</f>
        <v/>
      </c>
    </row>
    <row r="19">
      <c r="J19">
        <f>IF(OR(H19="",I19=""),"",ROUND(100*H19/I19,0))</f>
        <v/>
      </c>
      <c r="M19">
        <f>IF(D19="","",IFERROR(INDEX(Classes!$B$2:$B$200,MATCH(D19,Classes!$E$2:$E$200,0)),""))</f>
        <v/>
      </c>
    </row>
    <row r="20">
      <c r="J20">
        <f>IF(OR(H20="",I20=""),"",ROUND(100*H20/I20,0))</f>
        <v/>
      </c>
      <c r="M20">
        <f>IF(D20="","",IFERROR(INDEX(Classes!$B$2:$B$200,MATCH(D20,Classes!$E$2:$E$200,0)),""))</f>
        <v/>
      </c>
    </row>
    <row r="21">
      <c r="J21">
        <f>IF(OR(H21="",I21=""),"",ROUND(100*H21/I21,0))</f>
        <v/>
      </c>
      <c r="M21">
        <f>IF(D21="","",IFERROR(INDEX(Classes!$B$2:$B$200,MATCH(D21,Classes!$E$2:$E$200,0)),""))</f>
        <v/>
      </c>
    </row>
    <row r="22">
      <c r="J22">
        <f>IF(OR(H22="",I22=""),"",ROUND(100*H22/I22,0))</f>
        <v/>
      </c>
      <c r="M22">
        <f>IF(D22="","",IFERROR(INDEX(Classes!$B$2:$B$200,MATCH(D22,Classes!$E$2:$E$200,0)),""))</f>
        <v/>
      </c>
    </row>
    <row r="23">
      <c r="J23">
        <f>IF(OR(H23="",I23=""),"",ROUND(100*H23/I23,0))</f>
        <v/>
      </c>
      <c r="M23">
        <f>IF(D23="","",IFERROR(INDEX(Classes!$B$2:$B$200,MATCH(D23,Classes!$E$2:$E$200,0)),""))</f>
        <v/>
      </c>
    </row>
    <row r="24">
      <c r="J24">
        <f>IF(OR(H24="",I24=""),"",ROUND(100*H24/I24,0))</f>
        <v/>
      </c>
      <c r="M24">
        <f>IF(D24="","",IFERROR(INDEX(Classes!$B$2:$B$200,MATCH(D24,Classes!$E$2:$E$200,0)),""))</f>
        <v/>
      </c>
    </row>
    <row r="25">
      <c r="J25">
        <f>IF(OR(H25="",I25=""),"",ROUND(100*H25/I25,0))</f>
        <v/>
      </c>
      <c r="M25">
        <f>IF(D25="","",IFERROR(INDEX(Classes!$B$2:$B$200,MATCH(D25,Classes!$E$2:$E$200,0)),""))</f>
        <v/>
      </c>
    </row>
    <row r="26">
      <c r="J26">
        <f>IF(OR(H26="",I26=""),"",ROUND(100*H26/I26,0))</f>
        <v/>
      </c>
      <c r="M26">
        <f>IF(D26="","",IFERROR(INDEX(Classes!$B$2:$B$200,MATCH(D26,Classes!$E$2:$E$200,0)),""))</f>
        <v/>
      </c>
    </row>
    <row r="27">
      <c r="J27">
        <f>IF(OR(H27="",I27=""),"",ROUND(100*H27/I27,0))</f>
        <v/>
      </c>
      <c r="M27">
        <f>IF(D27="","",IFERROR(INDEX(Classes!$B$2:$B$200,MATCH(D27,Classes!$E$2:$E$200,0)),""))</f>
        <v/>
      </c>
    </row>
    <row r="28">
      <c r="J28">
        <f>IF(OR(H28="",I28=""),"",ROUND(100*H28/I28,0))</f>
        <v/>
      </c>
      <c r="M28">
        <f>IF(D28="","",IFERROR(INDEX(Classes!$B$2:$B$200,MATCH(D28,Classes!$E$2:$E$200,0)),""))</f>
        <v/>
      </c>
    </row>
    <row r="29">
      <c r="J29">
        <f>IF(OR(H29="",I29=""),"",ROUND(100*H29/I29,0))</f>
        <v/>
      </c>
      <c r="M29">
        <f>IF(D29="","",IFERROR(INDEX(Classes!$B$2:$B$200,MATCH(D29,Classes!$E$2:$E$200,0)),""))</f>
        <v/>
      </c>
    </row>
    <row r="30">
      <c r="J30">
        <f>IF(OR(H30="",I30=""),"",ROUND(100*H30/I30,0))</f>
        <v/>
      </c>
      <c r="M30">
        <f>IF(D30="","",IFERROR(INDEX(Classes!$B$2:$B$200,MATCH(D30,Classes!$E$2:$E$200,0)),""))</f>
        <v/>
      </c>
    </row>
    <row r="31">
      <c r="J31">
        <f>IF(OR(H31="",I31=""),"",ROUND(100*H31/I31,0))</f>
        <v/>
      </c>
      <c r="M31">
        <f>IF(D31="","",IFERROR(INDEX(Classes!$B$2:$B$200,MATCH(D31,Classes!$E$2:$E$200,0)),""))</f>
        <v/>
      </c>
    </row>
    <row r="32">
      <c r="J32">
        <f>IF(OR(H32="",I32=""),"",ROUND(100*H32/I32,0))</f>
        <v/>
      </c>
      <c r="M32">
        <f>IF(D32="","",IFERROR(INDEX(Classes!$B$2:$B$200,MATCH(D32,Classes!$E$2:$E$200,0)),""))</f>
        <v/>
      </c>
    </row>
    <row r="33">
      <c r="J33">
        <f>IF(OR(H33="",I33=""),"",ROUND(100*H33/I33,0))</f>
        <v/>
      </c>
      <c r="M33">
        <f>IF(D33="","",IFERROR(INDEX(Classes!$B$2:$B$200,MATCH(D33,Classes!$E$2:$E$200,0)),""))</f>
        <v/>
      </c>
    </row>
    <row r="34">
      <c r="J34">
        <f>IF(OR(H34="",I34=""),"",ROUND(100*H34/I34,0))</f>
        <v/>
      </c>
      <c r="M34">
        <f>IF(D34="","",IFERROR(INDEX(Classes!$B$2:$B$200,MATCH(D34,Classes!$E$2:$E$200,0)),""))</f>
        <v/>
      </c>
    </row>
    <row r="35">
      <c r="J35">
        <f>IF(OR(H35="",I35=""),"",ROUND(100*H35/I35,0))</f>
        <v/>
      </c>
      <c r="M35">
        <f>IF(D35="","",IFERROR(INDEX(Classes!$B$2:$B$200,MATCH(D35,Classes!$E$2:$E$200,0)),""))</f>
        <v/>
      </c>
    </row>
    <row r="36">
      <c r="J36">
        <f>IF(OR(H36="",I36=""),"",ROUND(100*H36/I36,0))</f>
        <v/>
      </c>
      <c r="M36">
        <f>IF(D36="","",IFERROR(INDEX(Classes!$B$2:$B$200,MATCH(D36,Classes!$E$2:$E$200,0)),""))</f>
        <v/>
      </c>
    </row>
    <row r="37">
      <c r="J37">
        <f>IF(OR(H37="",I37=""),"",ROUND(100*H37/I37,0))</f>
        <v/>
      </c>
      <c r="M37">
        <f>IF(D37="","",IFERROR(INDEX(Classes!$B$2:$B$200,MATCH(D37,Classes!$E$2:$E$200,0)),""))</f>
        <v/>
      </c>
    </row>
    <row r="38">
      <c r="J38">
        <f>IF(OR(H38="",I38=""),"",ROUND(100*H38/I38,0))</f>
        <v/>
      </c>
      <c r="M38">
        <f>IF(D38="","",IFERROR(INDEX(Classes!$B$2:$B$200,MATCH(D38,Classes!$E$2:$E$200,0)),""))</f>
        <v/>
      </c>
    </row>
    <row r="39">
      <c r="J39">
        <f>IF(OR(H39="",I39=""),"",ROUND(100*H39/I39,0))</f>
        <v/>
      </c>
      <c r="M39">
        <f>IF(D39="","",IFERROR(INDEX(Classes!$B$2:$B$200,MATCH(D39,Classes!$E$2:$E$200,0)),""))</f>
        <v/>
      </c>
    </row>
    <row r="40">
      <c r="J40">
        <f>IF(OR(H40="",I40=""),"",ROUND(100*H40/I40,0))</f>
        <v/>
      </c>
      <c r="M40">
        <f>IF(D40="","",IFERROR(INDEX(Classes!$B$2:$B$200,MATCH(D40,Classes!$E$2:$E$200,0)),""))</f>
        <v/>
      </c>
    </row>
    <row r="41">
      <c r="J41">
        <f>IF(OR(H41="",I41=""),"",ROUND(100*H41/I41,0))</f>
        <v/>
      </c>
      <c r="M41">
        <f>IF(D41="","",IFERROR(INDEX(Classes!$B$2:$B$200,MATCH(D41,Classes!$E$2:$E$200,0)),""))</f>
        <v/>
      </c>
    </row>
    <row r="42">
      <c r="J42">
        <f>IF(OR(H42="",I42=""),"",ROUND(100*H42/I42,0))</f>
        <v/>
      </c>
      <c r="M42">
        <f>IF(D42="","",IFERROR(INDEX(Classes!$B$2:$B$200,MATCH(D42,Classes!$E$2:$E$200,0)),""))</f>
        <v/>
      </c>
    </row>
    <row r="43">
      <c r="J43">
        <f>IF(OR(H43="",I43=""),"",ROUND(100*H43/I43,0))</f>
        <v/>
      </c>
      <c r="M43">
        <f>IF(D43="","",IFERROR(INDEX(Classes!$B$2:$B$200,MATCH(D43,Classes!$E$2:$E$200,0)),""))</f>
        <v/>
      </c>
    </row>
    <row r="44">
      <c r="J44">
        <f>IF(OR(H44="",I44=""),"",ROUND(100*H44/I44,0))</f>
        <v/>
      </c>
      <c r="M44">
        <f>IF(D44="","",IFERROR(INDEX(Classes!$B$2:$B$200,MATCH(D44,Classes!$E$2:$E$200,0)),""))</f>
        <v/>
      </c>
    </row>
    <row r="45">
      <c r="J45">
        <f>IF(OR(H45="",I45=""),"",ROUND(100*H45/I45,0))</f>
        <v/>
      </c>
      <c r="M45">
        <f>IF(D45="","",IFERROR(INDEX(Classes!$B$2:$B$200,MATCH(D45,Classes!$E$2:$E$200,0)),""))</f>
        <v/>
      </c>
    </row>
    <row r="46">
      <c r="J46">
        <f>IF(OR(H46="",I46=""),"",ROUND(100*H46/I46,0))</f>
        <v/>
      </c>
      <c r="M46">
        <f>IF(D46="","",IFERROR(INDEX(Classes!$B$2:$B$200,MATCH(D46,Classes!$E$2:$E$200,0)),""))</f>
        <v/>
      </c>
    </row>
    <row r="47">
      <c r="J47">
        <f>IF(OR(H47="",I47=""),"",ROUND(100*H47/I47,0))</f>
        <v/>
      </c>
      <c r="M47">
        <f>IF(D47="","",IFERROR(INDEX(Classes!$B$2:$B$200,MATCH(D47,Classes!$E$2:$E$200,0)),""))</f>
        <v/>
      </c>
    </row>
    <row r="48">
      <c r="J48">
        <f>IF(OR(H48="",I48=""),"",ROUND(100*H48/I48,0))</f>
        <v/>
      </c>
      <c r="M48">
        <f>IF(D48="","",IFERROR(INDEX(Classes!$B$2:$B$200,MATCH(D48,Classes!$E$2:$E$200,0)),""))</f>
        <v/>
      </c>
    </row>
    <row r="49">
      <c r="J49">
        <f>IF(OR(H49="",I49=""),"",ROUND(100*H49/I49,0))</f>
        <v/>
      </c>
      <c r="M49">
        <f>IF(D49="","",IFERROR(INDEX(Classes!$B$2:$B$200,MATCH(D49,Classes!$E$2:$E$200,0)),""))</f>
        <v/>
      </c>
    </row>
    <row r="50">
      <c r="J50">
        <f>IF(OR(H50="",I50=""),"",ROUND(100*H50/I50,0))</f>
        <v/>
      </c>
      <c r="M50">
        <f>IF(D50="","",IFERROR(INDEX(Classes!$B$2:$B$200,MATCH(D50,Classes!$E$2:$E$200,0)),""))</f>
        <v/>
      </c>
    </row>
    <row r="51">
      <c r="J51">
        <f>IF(OR(H51="",I51=""),"",ROUND(100*H51/I51,0))</f>
        <v/>
      </c>
      <c r="M51">
        <f>IF(D51="","",IFERROR(INDEX(Classes!$B$2:$B$200,MATCH(D51,Classes!$E$2:$E$200,0)),""))</f>
        <v/>
      </c>
    </row>
    <row r="52">
      <c r="J52">
        <f>IF(OR(H52="",I52=""),"",ROUND(100*H52/I52,0))</f>
        <v/>
      </c>
      <c r="M52">
        <f>IF(D52="","",IFERROR(INDEX(Classes!$B$2:$B$200,MATCH(D52,Classes!$E$2:$E$200,0)),""))</f>
        <v/>
      </c>
    </row>
    <row r="53">
      <c r="J53">
        <f>IF(OR(H53="",I53=""),"",ROUND(100*H53/I53,0))</f>
        <v/>
      </c>
      <c r="M53">
        <f>IF(D53="","",IFERROR(INDEX(Classes!$B$2:$B$200,MATCH(D53,Classes!$E$2:$E$200,0)),""))</f>
        <v/>
      </c>
    </row>
    <row r="54">
      <c r="J54">
        <f>IF(OR(H54="",I54=""),"",ROUND(100*H54/I54,0))</f>
        <v/>
      </c>
      <c r="M54">
        <f>IF(D54="","",IFERROR(INDEX(Classes!$B$2:$B$200,MATCH(D54,Classes!$E$2:$E$200,0)),""))</f>
        <v/>
      </c>
    </row>
    <row r="55">
      <c r="J55">
        <f>IF(OR(H55="",I55=""),"",ROUND(100*H55/I55,0))</f>
        <v/>
      </c>
      <c r="M55">
        <f>IF(D55="","",IFERROR(INDEX(Classes!$B$2:$B$200,MATCH(D55,Classes!$E$2:$E$200,0)),""))</f>
        <v/>
      </c>
    </row>
    <row r="56">
      <c r="J56">
        <f>IF(OR(H56="",I56=""),"",ROUND(100*H56/I56,0))</f>
        <v/>
      </c>
      <c r="M56">
        <f>IF(D56="","",IFERROR(INDEX(Classes!$B$2:$B$200,MATCH(D56,Classes!$E$2:$E$200,0)),""))</f>
        <v/>
      </c>
    </row>
    <row r="57">
      <c r="J57">
        <f>IF(OR(H57="",I57=""),"",ROUND(100*H57/I57,0))</f>
        <v/>
      </c>
      <c r="M57">
        <f>IF(D57="","",IFERROR(INDEX(Classes!$B$2:$B$200,MATCH(D57,Classes!$E$2:$E$200,0)),""))</f>
        <v/>
      </c>
    </row>
    <row r="58">
      <c r="J58">
        <f>IF(OR(H58="",I58=""),"",ROUND(100*H58/I58,0))</f>
        <v/>
      </c>
      <c r="M58">
        <f>IF(D58="","",IFERROR(INDEX(Classes!$B$2:$B$200,MATCH(D58,Classes!$E$2:$E$200,0)),""))</f>
        <v/>
      </c>
    </row>
    <row r="59">
      <c r="J59">
        <f>IF(OR(H59="",I59=""),"",ROUND(100*H59/I59,0))</f>
        <v/>
      </c>
      <c r="M59">
        <f>IF(D59="","",IFERROR(INDEX(Classes!$B$2:$B$200,MATCH(D59,Classes!$E$2:$E$200,0)),""))</f>
        <v/>
      </c>
    </row>
    <row r="60">
      <c r="J60">
        <f>IF(OR(H60="",I60=""),"",ROUND(100*H60/I60,0))</f>
        <v/>
      </c>
      <c r="M60">
        <f>IF(D60="","",IFERROR(INDEX(Classes!$B$2:$B$200,MATCH(D60,Classes!$E$2:$E$200,0)),""))</f>
        <v/>
      </c>
    </row>
    <row r="61">
      <c r="J61">
        <f>IF(OR(H61="",I61=""),"",ROUND(100*H61/I61,0))</f>
        <v/>
      </c>
      <c r="M61">
        <f>IF(D61="","",IFERROR(INDEX(Classes!$B$2:$B$200,MATCH(D61,Classes!$E$2:$E$200,0)),""))</f>
        <v/>
      </c>
    </row>
    <row r="62">
      <c r="J62">
        <f>IF(OR(H62="",I62=""),"",ROUND(100*H62/I62,0))</f>
        <v/>
      </c>
      <c r="M62">
        <f>IF(D62="","",IFERROR(INDEX(Classes!$B$2:$B$200,MATCH(D62,Classes!$E$2:$E$200,0)),""))</f>
        <v/>
      </c>
    </row>
    <row r="63">
      <c r="J63">
        <f>IF(OR(H63="",I63=""),"",ROUND(100*H63/I63,0))</f>
        <v/>
      </c>
      <c r="M63">
        <f>IF(D63="","",IFERROR(INDEX(Classes!$B$2:$B$200,MATCH(D63,Classes!$E$2:$E$200,0)),""))</f>
        <v/>
      </c>
    </row>
    <row r="64">
      <c r="J64">
        <f>IF(OR(H64="",I64=""),"",ROUND(100*H64/I64,0))</f>
        <v/>
      </c>
      <c r="M64">
        <f>IF(D64="","",IFERROR(INDEX(Classes!$B$2:$B$200,MATCH(D64,Classes!$E$2:$E$200,0)),""))</f>
        <v/>
      </c>
    </row>
    <row r="65">
      <c r="J65">
        <f>IF(OR(H65="",I65=""),"",ROUND(100*H65/I65,0))</f>
        <v/>
      </c>
      <c r="M65">
        <f>IF(D65="","",IFERROR(INDEX(Classes!$B$2:$B$200,MATCH(D65,Classes!$E$2:$E$200,0)),""))</f>
        <v/>
      </c>
    </row>
    <row r="66">
      <c r="J66">
        <f>IF(OR(H66="",I66=""),"",ROUND(100*H66/I66,0))</f>
        <v/>
      </c>
      <c r="M66">
        <f>IF(D66="","",IFERROR(INDEX(Classes!$B$2:$B$200,MATCH(D66,Classes!$E$2:$E$200,0)),""))</f>
        <v/>
      </c>
    </row>
    <row r="67">
      <c r="J67">
        <f>IF(OR(H67="",I67=""),"",ROUND(100*H67/I67,0))</f>
        <v/>
      </c>
      <c r="M67">
        <f>IF(D67="","",IFERROR(INDEX(Classes!$B$2:$B$200,MATCH(D67,Classes!$E$2:$E$200,0)),""))</f>
        <v/>
      </c>
    </row>
    <row r="68">
      <c r="J68">
        <f>IF(OR(H68="",I68=""),"",ROUND(100*H68/I68,0))</f>
        <v/>
      </c>
      <c r="M68">
        <f>IF(D68="","",IFERROR(INDEX(Classes!$B$2:$B$200,MATCH(D68,Classes!$E$2:$E$200,0)),""))</f>
        <v/>
      </c>
    </row>
    <row r="69">
      <c r="J69">
        <f>IF(OR(H69="",I69=""),"",ROUND(100*H69/I69,0))</f>
        <v/>
      </c>
      <c r="M69">
        <f>IF(D69="","",IFERROR(INDEX(Classes!$B$2:$B$200,MATCH(D69,Classes!$E$2:$E$200,0)),""))</f>
        <v/>
      </c>
    </row>
    <row r="70">
      <c r="J70">
        <f>IF(OR(H70="",I70=""),"",ROUND(100*H70/I70,0))</f>
        <v/>
      </c>
      <c r="M70">
        <f>IF(D70="","",IFERROR(INDEX(Classes!$B$2:$B$200,MATCH(D70,Classes!$E$2:$E$200,0)),""))</f>
        <v/>
      </c>
    </row>
    <row r="71">
      <c r="J71">
        <f>IF(OR(H71="",I71=""),"",ROUND(100*H71/I71,0))</f>
        <v/>
      </c>
      <c r="M71">
        <f>IF(D71="","",IFERROR(INDEX(Classes!$B$2:$B$200,MATCH(D71,Classes!$E$2:$E$200,0)),""))</f>
        <v/>
      </c>
    </row>
    <row r="72">
      <c r="J72">
        <f>IF(OR(H72="",I72=""),"",ROUND(100*H72/I72,0))</f>
        <v/>
      </c>
      <c r="M72">
        <f>IF(D72="","",IFERROR(INDEX(Classes!$B$2:$B$200,MATCH(D72,Classes!$E$2:$E$200,0)),""))</f>
        <v/>
      </c>
    </row>
    <row r="73">
      <c r="J73">
        <f>IF(OR(H73="",I73=""),"",ROUND(100*H73/I73,0))</f>
        <v/>
      </c>
      <c r="M73">
        <f>IF(D73="","",IFERROR(INDEX(Classes!$B$2:$B$200,MATCH(D73,Classes!$E$2:$E$200,0)),""))</f>
        <v/>
      </c>
    </row>
    <row r="74">
      <c r="J74">
        <f>IF(OR(H74="",I74=""),"",ROUND(100*H74/I74,0))</f>
        <v/>
      </c>
      <c r="M74">
        <f>IF(D74="","",IFERROR(INDEX(Classes!$B$2:$B$200,MATCH(D74,Classes!$E$2:$E$200,0)),""))</f>
        <v/>
      </c>
    </row>
    <row r="75">
      <c r="J75">
        <f>IF(OR(H75="",I75=""),"",ROUND(100*H75/I75,0))</f>
        <v/>
      </c>
      <c r="M75">
        <f>IF(D75="","",IFERROR(INDEX(Classes!$B$2:$B$200,MATCH(D75,Classes!$E$2:$E$200,0)),""))</f>
        <v/>
      </c>
    </row>
    <row r="76">
      <c r="J76">
        <f>IF(OR(H76="",I76=""),"",ROUND(100*H76/I76,0))</f>
        <v/>
      </c>
      <c r="M76">
        <f>IF(D76="","",IFERROR(INDEX(Classes!$B$2:$B$200,MATCH(D76,Classes!$E$2:$E$200,0)),""))</f>
        <v/>
      </c>
    </row>
    <row r="77">
      <c r="J77">
        <f>IF(OR(H77="",I77=""),"",ROUND(100*H77/I77,0))</f>
        <v/>
      </c>
      <c r="M77">
        <f>IF(D77="","",IFERROR(INDEX(Classes!$B$2:$B$200,MATCH(D77,Classes!$E$2:$E$200,0)),""))</f>
        <v/>
      </c>
    </row>
    <row r="78">
      <c r="J78">
        <f>IF(OR(H78="",I78=""),"",ROUND(100*H78/I78,0))</f>
        <v/>
      </c>
      <c r="M78">
        <f>IF(D78="","",IFERROR(INDEX(Classes!$B$2:$B$200,MATCH(D78,Classes!$E$2:$E$200,0)),""))</f>
        <v/>
      </c>
    </row>
    <row r="79">
      <c r="J79">
        <f>IF(OR(H79="",I79=""),"",ROUND(100*H79/I79,0))</f>
        <v/>
      </c>
      <c r="M79">
        <f>IF(D79="","",IFERROR(INDEX(Classes!$B$2:$B$200,MATCH(D79,Classes!$E$2:$E$200,0)),""))</f>
        <v/>
      </c>
    </row>
    <row r="80">
      <c r="J80">
        <f>IF(OR(H80="",I80=""),"",ROUND(100*H80/I80,0))</f>
        <v/>
      </c>
      <c r="M80">
        <f>IF(D80="","",IFERROR(INDEX(Classes!$B$2:$B$200,MATCH(D80,Classes!$E$2:$E$200,0)),""))</f>
        <v/>
      </c>
    </row>
    <row r="81">
      <c r="J81">
        <f>IF(OR(H81="",I81=""),"",ROUND(100*H81/I81,0))</f>
        <v/>
      </c>
      <c r="M81">
        <f>IF(D81="","",IFERROR(INDEX(Classes!$B$2:$B$200,MATCH(D81,Classes!$E$2:$E$200,0)),""))</f>
        <v/>
      </c>
    </row>
    <row r="82">
      <c r="J82">
        <f>IF(OR(H82="",I82=""),"",ROUND(100*H82/I82,0))</f>
        <v/>
      </c>
      <c r="M82">
        <f>IF(D82="","",IFERROR(INDEX(Classes!$B$2:$B$200,MATCH(D82,Classes!$E$2:$E$200,0)),""))</f>
        <v/>
      </c>
    </row>
    <row r="83">
      <c r="J83">
        <f>IF(OR(H83="",I83=""),"",ROUND(100*H83/I83,0))</f>
        <v/>
      </c>
      <c r="M83">
        <f>IF(D83="","",IFERROR(INDEX(Classes!$B$2:$B$200,MATCH(D83,Classes!$E$2:$E$200,0)),""))</f>
        <v/>
      </c>
    </row>
    <row r="84">
      <c r="J84">
        <f>IF(OR(H84="",I84=""),"",ROUND(100*H84/I84,0))</f>
        <v/>
      </c>
      <c r="M84">
        <f>IF(D84="","",IFERROR(INDEX(Classes!$B$2:$B$200,MATCH(D84,Classes!$E$2:$E$200,0)),""))</f>
        <v/>
      </c>
    </row>
    <row r="85">
      <c r="J85">
        <f>IF(OR(H85="",I85=""),"",ROUND(100*H85/I85,0))</f>
        <v/>
      </c>
      <c r="M85">
        <f>IF(D85="","",IFERROR(INDEX(Classes!$B$2:$B$200,MATCH(D85,Classes!$E$2:$E$200,0)),""))</f>
        <v/>
      </c>
    </row>
    <row r="86">
      <c r="J86">
        <f>IF(OR(H86="",I86=""),"",ROUND(100*H86/I86,0))</f>
        <v/>
      </c>
      <c r="M86">
        <f>IF(D86="","",IFERROR(INDEX(Classes!$B$2:$B$200,MATCH(D86,Classes!$E$2:$E$200,0)),""))</f>
        <v/>
      </c>
    </row>
    <row r="87">
      <c r="J87">
        <f>IF(OR(H87="",I87=""),"",ROUND(100*H87/I87,0))</f>
        <v/>
      </c>
      <c r="M87">
        <f>IF(D87="","",IFERROR(INDEX(Classes!$B$2:$B$200,MATCH(D87,Classes!$E$2:$E$200,0)),""))</f>
        <v/>
      </c>
    </row>
    <row r="88">
      <c r="J88">
        <f>IF(OR(H88="",I88=""),"",ROUND(100*H88/I88,0))</f>
        <v/>
      </c>
      <c r="M88">
        <f>IF(D88="","",IFERROR(INDEX(Classes!$B$2:$B$200,MATCH(D88,Classes!$E$2:$E$200,0)),""))</f>
        <v/>
      </c>
    </row>
    <row r="89">
      <c r="J89">
        <f>IF(OR(H89="",I89=""),"",ROUND(100*H89/I89,0))</f>
        <v/>
      </c>
      <c r="M89">
        <f>IF(D89="","",IFERROR(INDEX(Classes!$B$2:$B$200,MATCH(D89,Classes!$E$2:$E$200,0)),""))</f>
        <v/>
      </c>
    </row>
    <row r="90">
      <c r="J90">
        <f>IF(OR(H90="",I90=""),"",ROUND(100*H90/I90,0))</f>
        <v/>
      </c>
      <c r="M90">
        <f>IF(D90="","",IFERROR(INDEX(Classes!$B$2:$B$200,MATCH(D90,Classes!$E$2:$E$200,0)),""))</f>
        <v/>
      </c>
    </row>
    <row r="91">
      <c r="J91">
        <f>IF(OR(H91="",I91=""),"",ROUND(100*H91/I91,0))</f>
        <v/>
      </c>
      <c r="M91">
        <f>IF(D91="","",IFERROR(INDEX(Classes!$B$2:$B$200,MATCH(D91,Classes!$E$2:$E$200,0)),""))</f>
        <v/>
      </c>
    </row>
    <row r="92">
      <c r="J92">
        <f>IF(OR(H92="",I92=""),"",ROUND(100*H92/I92,0))</f>
        <v/>
      </c>
      <c r="M92">
        <f>IF(D92="","",IFERROR(INDEX(Classes!$B$2:$B$200,MATCH(D92,Classes!$E$2:$E$200,0)),""))</f>
        <v/>
      </c>
    </row>
    <row r="93">
      <c r="J93">
        <f>IF(OR(H93="",I93=""),"",ROUND(100*H93/I93,0))</f>
        <v/>
      </c>
      <c r="M93">
        <f>IF(D93="","",IFERROR(INDEX(Classes!$B$2:$B$200,MATCH(D93,Classes!$E$2:$E$200,0)),""))</f>
        <v/>
      </c>
    </row>
    <row r="94">
      <c r="J94">
        <f>IF(OR(H94="",I94=""),"",ROUND(100*H94/I94,0))</f>
        <v/>
      </c>
      <c r="M94">
        <f>IF(D94="","",IFERROR(INDEX(Classes!$B$2:$B$200,MATCH(D94,Classes!$E$2:$E$200,0)),""))</f>
        <v/>
      </c>
    </row>
    <row r="95">
      <c r="J95">
        <f>IF(OR(H95="",I95=""),"",ROUND(100*H95/I95,0))</f>
        <v/>
      </c>
      <c r="M95">
        <f>IF(D95="","",IFERROR(INDEX(Classes!$B$2:$B$200,MATCH(D95,Classes!$E$2:$E$200,0)),""))</f>
        <v/>
      </c>
    </row>
    <row r="96">
      <c r="J96">
        <f>IF(OR(H96="",I96=""),"",ROUND(100*H96/I96,0))</f>
        <v/>
      </c>
      <c r="M96">
        <f>IF(D96="","",IFERROR(INDEX(Classes!$B$2:$B$200,MATCH(D96,Classes!$E$2:$E$200,0)),""))</f>
        <v/>
      </c>
    </row>
    <row r="97">
      <c r="J97">
        <f>IF(OR(H97="",I97=""),"",ROUND(100*H97/I97,0))</f>
        <v/>
      </c>
      <c r="M97">
        <f>IF(D97="","",IFERROR(INDEX(Classes!$B$2:$B$200,MATCH(D97,Classes!$E$2:$E$200,0)),""))</f>
        <v/>
      </c>
    </row>
    <row r="98">
      <c r="J98">
        <f>IF(OR(H98="",I98=""),"",ROUND(100*H98/I98,0))</f>
        <v/>
      </c>
      <c r="M98">
        <f>IF(D98="","",IFERROR(INDEX(Classes!$B$2:$B$200,MATCH(D98,Classes!$E$2:$E$200,0)),""))</f>
        <v/>
      </c>
    </row>
    <row r="99">
      <c r="J99">
        <f>IF(OR(H99="",I99=""),"",ROUND(100*H99/I99,0))</f>
        <v/>
      </c>
      <c r="M99">
        <f>IF(D99="","",IFERROR(INDEX(Classes!$B$2:$B$200,MATCH(D99,Classes!$E$2:$E$200,0)),""))</f>
        <v/>
      </c>
    </row>
    <row r="100">
      <c r="J100">
        <f>IF(OR(H100="",I100=""),"",ROUND(100*H100/I100,0))</f>
        <v/>
      </c>
      <c r="M100">
        <f>IF(D100="","",IFERROR(INDEX(Classes!$B$2:$B$200,MATCH(D100,Classes!$E$2:$E$200,0)),""))</f>
        <v/>
      </c>
    </row>
    <row r="101">
      <c r="J101">
        <f>IF(OR(H101="",I101=""),"",ROUND(100*H101/I101,0))</f>
        <v/>
      </c>
      <c r="M101">
        <f>IF(D101="","",IFERROR(INDEX(Classes!$B$2:$B$200,MATCH(D101,Classes!$E$2:$E$200,0)),""))</f>
        <v/>
      </c>
    </row>
    <row r="102">
      <c r="J102">
        <f>IF(OR(H102="",I102=""),"",ROUND(100*H102/I102,0))</f>
        <v/>
      </c>
      <c r="M102">
        <f>IF(D102="","",IFERROR(INDEX(Classes!$B$2:$B$200,MATCH(D102,Classes!$E$2:$E$200,0)),""))</f>
        <v/>
      </c>
    </row>
    <row r="103">
      <c r="J103">
        <f>IF(OR(H103="",I103=""),"",ROUND(100*H103/I103,0))</f>
        <v/>
      </c>
      <c r="M103">
        <f>IF(D103="","",IFERROR(INDEX(Classes!$B$2:$B$200,MATCH(D103,Classes!$E$2:$E$200,0)),""))</f>
        <v/>
      </c>
    </row>
    <row r="104">
      <c r="J104">
        <f>IF(OR(H104="",I104=""),"",ROUND(100*H104/I104,0))</f>
        <v/>
      </c>
      <c r="M104">
        <f>IF(D104="","",IFERROR(INDEX(Classes!$B$2:$B$200,MATCH(D104,Classes!$E$2:$E$200,0)),""))</f>
        <v/>
      </c>
    </row>
    <row r="105">
      <c r="J105">
        <f>IF(OR(H105="",I105=""),"",ROUND(100*H105/I105,0))</f>
        <v/>
      </c>
      <c r="M105">
        <f>IF(D105="","",IFERROR(INDEX(Classes!$B$2:$B$200,MATCH(D105,Classes!$E$2:$E$200,0)),""))</f>
        <v/>
      </c>
    </row>
    <row r="106">
      <c r="J106">
        <f>IF(OR(H106="",I106=""),"",ROUND(100*H106/I106,0))</f>
        <v/>
      </c>
      <c r="M106">
        <f>IF(D106="","",IFERROR(INDEX(Classes!$B$2:$B$200,MATCH(D106,Classes!$E$2:$E$200,0)),""))</f>
        <v/>
      </c>
    </row>
    <row r="107">
      <c r="J107">
        <f>IF(OR(H107="",I107=""),"",ROUND(100*H107/I107,0))</f>
        <v/>
      </c>
      <c r="M107">
        <f>IF(D107="","",IFERROR(INDEX(Classes!$B$2:$B$200,MATCH(D107,Classes!$E$2:$E$200,0)),""))</f>
        <v/>
      </c>
    </row>
    <row r="108">
      <c r="J108">
        <f>IF(OR(H108="",I108=""),"",ROUND(100*H108/I108,0))</f>
        <v/>
      </c>
      <c r="M108">
        <f>IF(D108="","",IFERROR(INDEX(Classes!$B$2:$B$200,MATCH(D108,Classes!$E$2:$E$200,0)),""))</f>
        <v/>
      </c>
    </row>
    <row r="109">
      <c r="J109">
        <f>IF(OR(H109="",I109=""),"",ROUND(100*H109/I109,0))</f>
        <v/>
      </c>
      <c r="M109">
        <f>IF(D109="","",IFERROR(INDEX(Classes!$B$2:$B$200,MATCH(D109,Classes!$E$2:$E$200,0)),""))</f>
        <v/>
      </c>
    </row>
    <row r="110">
      <c r="J110">
        <f>IF(OR(H110="",I110=""),"",ROUND(100*H110/I110,0))</f>
        <v/>
      </c>
      <c r="M110">
        <f>IF(D110="","",IFERROR(INDEX(Classes!$B$2:$B$200,MATCH(D110,Classes!$E$2:$E$200,0)),""))</f>
        <v/>
      </c>
    </row>
    <row r="111">
      <c r="J111">
        <f>IF(OR(H111="",I111=""),"",ROUND(100*H111/I111,0))</f>
        <v/>
      </c>
      <c r="M111">
        <f>IF(D111="","",IFERROR(INDEX(Classes!$B$2:$B$200,MATCH(D111,Classes!$E$2:$E$200,0)),""))</f>
        <v/>
      </c>
    </row>
    <row r="112">
      <c r="J112">
        <f>IF(OR(H112="",I112=""),"",ROUND(100*H112/I112,0))</f>
        <v/>
      </c>
      <c r="M112">
        <f>IF(D112="","",IFERROR(INDEX(Classes!$B$2:$B$200,MATCH(D112,Classes!$E$2:$E$200,0)),""))</f>
        <v/>
      </c>
    </row>
    <row r="113">
      <c r="J113">
        <f>IF(OR(H113="",I113=""),"",ROUND(100*H113/I113,0))</f>
        <v/>
      </c>
      <c r="M113">
        <f>IF(D113="","",IFERROR(INDEX(Classes!$B$2:$B$200,MATCH(D113,Classes!$E$2:$E$200,0)),""))</f>
        <v/>
      </c>
    </row>
    <row r="114">
      <c r="J114">
        <f>IF(OR(H114="",I114=""),"",ROUND(100*H114/I114,0))</f>
        <v/>
      </c>
      <c r="M114">
        <f>IF(D114="","",IFERROR(INDEX(Classes!$B$2:$B$200,MATCH(D114,Classes!$E$2:$E$200,0)),""))</f>
        <v/>
      </c>
    </row>
    <row r="115">
      <c r="J115">
        <f>IF(OR(H115="",I115=""),"",ROUND(100*H115/I115,0))</f>
        <v/>
      </c>
      <c r="M115">
        <f>IF(D115="","",IFERROR(INDEX(Classes!$B$2:$B$200,MATCH(D115,Classes!$E$2:$E$200,0)),""))</f>
        <v/>
      </c>
    </row>
    <row r="116">
      <c r="J116">
        <f>IF(OR(H116="",I116=""),"",ROUND(100*H116/I116,0))</f>
        <v/>
      </c>
      <c r="M116">
        <f>IF(D116="","",IFERROR(INDEX(Classes!$B$2:$B$200,MATCH(D116,Classes!$E$2:$E$200,0)),""))</f>
        <v/>
      </c>
    </row>
    <row r="117">
      <c r="J117">
        <f>IF(OR(H117="",I117=""),"",ROUND(100*H117/I117,0))</f>
        <v/>
      </c>
      <c r="M117">
        <f>IF(D117="","",IFERROR(INDEX(Classes!$B$2:$B$200,MATCH(D117,Classes!$E$2:$E$200,0)),""))</f>
        <v/>
      </c>
    </row>
    <row r="118">
      <c r="J118">
        <f>IF(OR(H118="",I118=""),"",ROUND(100*H118/I118,0))</f>
        <v/>
      </c>
      <c r="M118">
        <f>IF(D118="","",IFERROR(INDEX(Classes!$B$2:$B$200,MATCH(D118,Classes!$E$2:$E$200,0)),""))</f>
        <v/>
      </c>
    </row>
    <row r="119">
      <c r="J119">
        <f>IF(OR(H119="",I119=""),"",ROUND(100*H119/I119,0))</f>
        <v/>
      </c>
      <c r="M119">
        <f>IF(D119="","",IFERROR(INDEX(Classes!$B$2:$B$200,MATCH(D119,Classes!$E$2:$E$200,0)),""))</f>
        <v/>
      </c>
    </row>
    <row r="120">
      <c r="J120">
        <f>IF(OR(H120="",I120=""),"",ROUND(100*H120/I120,0))</f>
        <v/>
      </c>
      <c r="M120">
        <f>IF(D120="","",IFERROR(INDEX(Classes!$B$2:$B$200,MATCH(D120,Classes!$E$2:$E$200,0)),""))</f>
        <v/>
      </c>
    </row>
    <row r="121">
      <c r="J121">
        <f>IF(OR(H121="",I121=""),"",ROUND(100*H121/I121,0))</f>
        <v/>
      </c>
      <c r="M121">
        <f>IF(D121="","",IFERROR(INDEX(Classes!$B$2:$B$200,MATCH(D121,Classes!$E$2:$E$200,0)),""))</f>
        <v/>
      </c>
    </row>
    <row r="122">
      <c r="J122">
        <f>IF(OR(H122="",I122=""),"",ROUND(100*H122/I122,0))</f>
        <v/>
      </c>
      <c r="M122">
        <f>IF(D122="","",IFERROR(INDEX(Classes!$B$2:$B$200,MATCH(D122,Classes!$E$2:$E$200,0)),""))</f>
        <v/>
      </c>
    </row>
    <row r="123">
      <c r="J123">
        <f>IF(OR(H123="",I123=""),"",ROUND(100*H123/I123,0))</f>
        <v/>
      </c>
      <c r="M123">
        <f>IF(D123="","",IFERROR(INDEX(Classes!$B$2:$B$200,MATCH(D123,Classes!$E$2:$E$200,0)),""))</f>
        <v/>
      </c>
    </row>
    <row r="124">
      <c r="J124">
        <f>IF(OR(H124="",I124=""),"",ROUND(100*H124/I124,0))</f>
        <v/>
      </c>
      <c r="M124">
        <f>IF(D124="","",IFERROR(INDEX(Classes!$B$2:$B$200,MATCH(D124,Classes!$E$2:$E$200,0)),""))</f>
        <v/>
      </c>
    </row>
    <row r="125">
      <c r="J125">
        <f>IF(OR(H125="",I125=""),"",ROUND(100*H125/I125,0))</f>
        <v/>
      </c>
      <c r="M125">
        <f>IF(D125="","",IFERROR(INDEX(Classes!$B$2:$B$200,MATCH(D125,Classes!$E$2:$E$200,0)),""))</f>
        <v/>
      </c>
    </row>
    <row r="126">
      <c r="J126">
        <f>IF(OR(H126="",I126=""),"",ROUND(100*H126/I126,0))</f>
        <v/>
      </c>
      <c r="M126">
        <f>IF(D126="","",IFERROR(INDEX(Classes!$B$2:$B$200,MATCH(D126,Classes!$E$2:$E$200,0)),""))</f>
        <v/>
      </c>
    </row>
    <row r="127">
      <c r="J127">
        <f>IF(OR(H127="",I127=""),"",ROUND(100*H127/I127,0))</f>
        <v/>
      </c>
      <c r="M127">
        <f>IF(D127="","",IFERROR(INDEX(Classes!$B$2:$B$200,MATCH(D127,Classes!$E$2:$E$200,0)),""))</f>
        <v/>
      </c>
    </row>
    <row r="128">
      <c r="J128">
        <f>IF(OR(H128="",I128=""),"",ROUND(100*H128/I128,0))</f>
        <v/>
      </c>
      <c r="M128">
        <f>IF(D128="","",IFERROR(INDEX(Classes!$B$2:$B$200,MATCH(D128,Classes!$E$2:$E$200,0)),""))</f>
        <v/>
      </c>
    </row>
    <row r="129">
      <c r="J129">
        <f>IF(OR(H129="",I129=""),"",ROUND(100*H129/I129,0))</f>
        <v/>
      </c>
      <c r="M129">
        <f>IF(D129="","",IFERROR(INDEX(Classes!$B$2:$B$200,MATCH(D129,Classes!$E$2:$E$200,0)),""))</f>
        <v/>
      </c>
    </row>
    <row r="130">
      <c r="J130">
        <f>IF(OR(H130="",I130=""),"",ROUND(100*H130/I130,0))</f>
        <v/>
      </c>
      <c r="M130">
        <f>IF(D130="","",IFERROR(INDEX(Classes!$B$2:$B$200,MATCH(D130,Classes!$E$2:$E$200,0)),""))</f>
        <v/>
      </c>
    </row>
    <row r="131">
      <c r="J131">
        <f>IF(OR(H131="",I131=""),"",ROUND(100*H131/I131,0))</f>
        <v/>
      </c>
      <c r="M131">
        <f>IF(D131="","",IFERROR(INDEX(Classes!$B$2:$B$200,MATCH(D131,Classes!$E$2:$E$200,0)),""))</f>
        <v/>
      </c>
    </row>
    <row r="132">
      <c r="J132">
        <f>IF(OR(H132="",I132=""),"",ROUND(100*H132/I132,0))</f>
        <v/>
      </c>
      <c r="M132">
        <f>IF(D132="","",IFERROR(INDEX(Classes!$B$2:$B$200,MATCH(D132,Classes!$E$2:$E$200,0)),""))</f>
        <v/>
      </c>
    </row>
    <row r="133">
      <c r="J133">
        <f>IF(OR(H133="",I133=""),"",ROUND(100*H133/I133,0))</f>
        <v/>
      </c>
      <c r="M133">
        <f>IF(D133="","",IFERROR(INDEX(Classes!$B$2:$B$200,MATCH(D133,Classes!$E$2:$E$200,0)),""))</f>
        <v/>
      </c>
    </row>
    <row r="134">
      <c r="J134">
        <f>IF(OR(H134="",I134=""),"",ROUND(100*H134/I134,0))</f>
        <v/>
      </c>
      <c r="M134">
        <f>IF(D134="","",IFERROR(INDEX(Classes!$B$2:$B$200,MATCH(D134,Classes!$E$2:$E$200,0)),""))</f>
        <v/>
      </c>
    </row>
    <row r="135">
      <c r="J135">
        <f>IF(OR(H135="",I135=""),"",ROUND(100*H135/I135,0))</f>
        <v/>
      </c>
      <c r="M135">
        <f>IF(D135="","",IFERROR(INDEX(Classes!$B$2:$B$200,MATCH(D135,Classes!$E$2:$E$200,0)),""))</f>
        <v/>
      </c>
    </row>
    <row r="136">
      <c r="J136">
        <f>IF(OR(H136="",I136=""),"",ROUND(100*H136/I136,0))</f>
        <v/>
      </c>
      <c r="M136">
        <f>IF(D136="","",IFERROR(INDEX(Classes!$B$2:$B$200,MATCH(D136,Classes!$E$2:$E$200,0)),""))</f>
        <v/>
      </c>
    </row>
    <row r="137">
      <c r="J137">
        <f>IF(OR(H137="",I137=""),"",ROUND(100*H137/I137,0))</f>
        <v/>
      </c>
      <c r="M137">
        <f>IF(D137="","",IFERROR(INDEX(Classes!$B$2:$B$200,MATCH(D137,Classes!$E$2:$E$200,0)),""))</f>
        <v/>
      </c>
    </row>
    <row r="138">
      <c r="J138">
        <f>IF(OR(H138="",I138=""),"",ROUND(100*H138/I138,0))</f>
        <v/>
      </c>
      <c r="M138">
        <f>IF(D138="","",IFERROR(INDEX(Classes!$B$2:$B$200,MATCH(D138,Classes!$E$2:$E$200,0)),""))</f>
        <v/>
      </c>
    </row>
    <row r="139">
      <c r="J139">
        <f>IF(OR(H139="",I139=""),"",ROUND(100*H139/I139,0))</f>
        <v/>
      </c>
      <c r="M139">
        <f>IF(D139="","",IFERROR(INDEX(Classes!$B$2:$B$200,MATCH(D139,Classes!$E$2:$E$200,0)),""))</f>
        <v/>
      </c>
    </row>
    <row r="140">
      <c r="J140">
        <f>IF(OR(H140="",I140=""),"",ROUND(100*H140/I140,0))</f>
        <v/>
      </c>
      <c r="M140">
        <f>IF(D140="","",IFERROR(INDEX(Classes!$B$2:$B$200,MATCH(D140,Classes!$E$2:$E$200,0)),""))</f>
        <v/>
      </c>
    </row>
    <row r="141">
      <c r="J141">
        <f>IF(OR(H141="",I141=""),"",ROUND(100*H141/I141,0))</f>
        <v/>
      </c>
      <c r="M141">
        <f>IF(D141="","",IFERROR(INDEX(Classes!$B$2:$B$200,MATCH(D141,Classes!$E$2:$E$200,0)),""))</f>
        <v/>
      </c>
    </row>
    <row r="142">
      <c r="J142">
        <f>IF(OR(H142="",I142=""),"",ROUND(100*H142/I142,0))</f>
        <v/>
      </c>
      <c r="M142">
        <f>IF(D142="","",IFERROR(INDEX(Classes!$B$2:$B$200,MATCH(D142,Classes!$E$2:$E$200,0)),""))</f>
        <v/>
      </c>
    </row>
    <row r="143">
      <c r="J143">
        <f>IF(OR(H143="",I143=""),"",ROUND(100*H143/I143,0))</f>
        <v/>
      </c>
      <c r="M143">
        <f>IF(D143="","",IFERROR(INDEX(Classes!$B$2:$B$200,MATCH(D143,Classes!$E$2:$E$200,0)),""))</f>
        <v/>
      </c>
    </row>
    <row r="144">
      <c r="J144">
        <f>IF(OR(H144="",I144=""),"",ROUND(100*H144/I144,0))</f>
        <v/>
      </c>
      <c r="M144">
        <f>IF(D144="","",IFERROR(INDEX(Classes!$B$2:$B$200,MATCH(D144,Classes!$E$2:$E$200,0)),""))</f>
        <v/>
      </c>
    </row>
    <row r="145">
      <c r="J145">
        <f>IF(OR(H145="",I145=""),"",ROUND(100*H145/I145,0))</f>
        <v/>
      </c>
      <c r="M145">
        <f>IF(D145="","",IFERROR(INDEX(Classes!$B$2:$B$200,MATCH(D145,Classes!$E$2:$E$200,0)),""))</f>
        <v/>
      </c>
    </row>
    <row r="146">
      <c r="J146">
        <f>IF(OR(H146="",I146=""),"",ROUND(100*H146/I146,0))</f>
        <v/>
      </c>
      <c r="M146">
        <f>IF(D146="","",IFERROR(INDEX(Classes!$B$2:$B$200,MATCH(D146,Classes!$E$2:$E$200,0)),""))</f>
        <v/>
      </c>
    </row>
    <row r="147">
      <c r="J147">
        <f>IF(OR(H147="",I147=""),"",ROUND(100*H147/I147,0))</f>
        <v/>
      </c>
      <c r="M147">
        <f>IF(D147="","",IFERROR(INDEX(Classes!$B$2:$B$200,MATCH(D147,Classes!$E$2:$E$200,0)),""))</f>
        <v/>
      </c>
    </row>
    <row r="148">
      <c r="J148">
        <f>IF(OR(H148="",I148=""),"",ROUND(100*H148/I148,0))</f>
        <v/>
      </c>
      <c r="M148">
        <f>IF(D148="","",IFERROR(INDEX(Classes!$B$2:$B$200,MATCH(D148,Classes!$E$2:$E$200,0)),""))</f>
        <v/>
      </c>
    </row>
    <row r="149">
      <c r="J149">
        <f>IF(OR(H149="",I149=""),"",ROUND(100*H149/I149,0))</f>
        <v/>
      </c>
      <c r="M149">
        <f>IF(D149="","",IFERROR(INDEX(Classes!$B$2:$B$200,MATCH(D149,Classes!$E$2:$E$200,0)),""))</f>
        <v/>
      </c>
    </row>
    <row r="150">
      <c r="J150">
        <f>IF(OR(H150="",I150=""),"",ROUND(100*H150/I150,0))</f>
        <v/>
      </c>
      <c r="M150">
        <f>IF(D150="","",IFERROR(INDEX(Classes!$B$2:$B$200,MATCH(D150,Classes!$E$2:$E$200,0)),""))</f>
        <v/>
      </c>
    </row>
    <row r="151">
      <c r="J151">
        <f>IF(OR(H151="",I151=""),"",ROUND(100*H151/I151,0))</f>
        <v/>
      </c>
      <c r="M151">
        <f>IF(D151="","",IFERROR(INDEX(Classes!$B$2:$B$200,MATCH(D151,Classes!$E$2:$E$200,0)),""))</f>
        <v/>
      </c>
    </row>
    <row r="152">
      <c r="J152">
        <f>IF(OR(H152="",I152=""),"",ROUND(100*H152/I152,0))</f>
        <v/>
      </c>
      <c r="M152">
        <f>IF(D152="","",IFERROR(INDEX(Classes!$B$2:$B$200,MATCH(D152,Classes!$E$2:$E$200,0)),""))</f>
        <v/>
      </c>
    </row>
    <row r="153">
      <c r="J153">
        <f>IF(OR(H153="",I153=""),"",ROUND(100*H153/I153,0))</f>
        <v/>
      </c>
      <c r="M153">
        <f>IF(D153="","",IFERROR(INDEX(Classes!$B$2:$B$200,MATCH(D153,Classes!$E$2:$E$200,0)),""))</f>
        <v/>
      </c>
    </row>
    <row r="154">
      <c r="J154">
        <f>IF(OR(H154="",I154=""),"",ROUND(100*H154/I154,0))</f>
        <v/>
      </c>
      <c r="M154">
        <f>IF(D154="","",IFERROR(INDEX(Classes!$B$2:$B$200,MATCH(D154,Classes!$E$2:$E$200,0)),""))</f>
        <v/>
      </c>
    </row>
    <row r="155">
      <c r="J155">
        <f>IF(OR(H155="",I155=""),"",ROUND(100*H155/I155,0))</f>
        <v/>
      </c>
      <c r="M155">
        <f>IF(D155="","",IFERROR(INDEX(Classes!$B$2:$B$200,MATCH(D155,Classes!$E$2:$E$200,0)),""))</f>
        <v/>
      </c>
    </row>
    <row r="156">
      <c r="J156">
        <f>IF(OR(H156="",I156=""),"",ROUND(100*H156/I156,0))</f>
        <v/>
      </c>
      <c r="M156">
        <f>IF(D156="","",IFERROR(INDEX(Classes!$B$2:$B$200,MATCH(D156,Classes!$E$2:$E$200,0)),""))</f>
        <v/>
      </c>
    </row>
    <row r="157">
      <c r="J157">
        <f>IF(OR(H157="",I157=""),"",ROUND(100*H157/I157,0))</f>
        <v/>
      </c>
      <c r="M157">
        <f>IF(D157="","",IFERROR(INDEX(Classes!$B$2:$B$200,MATCH(D157,Classes!$E$2:$E$200,0)),""))</f>
        <v/>
      </c>
    </row>
    <row r="158">
      <c r="J158">
        <f>IF(OR(H158="",I158=""),"",ROUND(100*H158/I158,0))</f>
        <v/>
      </c>
      <c r="M158">
        <f>IF(D158="","",IFERROR(INDEX(Classes!$B$2:$B$200,MATCH(D158,Classes!$E$2:$E$200,0)),""))</f>
        <v/>
      </c>
    </row>
    <row r="159">
      <c r="J159">
        <f>IF(OR(H159="",I159=""),"",ROUND(100*H159/I159,0))</f>
        <v/>
      </c>
      <c r="M159">
        <f>IF(D159="","",IFERROR(INDEX(Classes!$B$2:$B$200,MATCH(D159,Classes!$E$2:$E$200,0)),""))</f>
        <v/>
      </c>
    </row>
    <row r="160">
      <c r="J160">
        <f>IF(OR(H160="",I160=""),"",ROUND(100*H160/I160,0))</f>
        <v/>
      </c>
      <c r="M160">
        <f>IF(D160="","",IFERROR(INDEX(Classes!$B$2:$B$200,MATCH(D160,Classes!$E$2:$E$200,0)),""))</f>
        <v/>
      </c>
    </row>
    <row r="161">
      <c r="J161">
        <f>IF(OR(H161="",I161=""),"",ROUND(100*H161/I161,0))</f>
        <v/>
      </c>
      <c r="M161">
        <f>IF(D161="","",IFERROR(INDEX(Classes!$B$2:$B$200,MATCH(D161,Classes!$E$2:$E$200,0)),""))</f>
        <v/>
      </c>
    </row>
    <row r="162">
      <c r="J162">
        <f>IF(OR(H162="",I162=""),"",ROUND(100*H162/I162,0))</f>
        <v/>
      </c>
      <c r="M162">
        <f>IF(D162="","",IFERROR(INDEX(Classes!$B$2:$B$200,MATCH(D162,Classes!$E$2:$E$200,0)),""))</f>
        <v/>
      </c>
    </row>
    <row r="163">
      <c r="J163">
        <f>IF(OR(H163="",I163=""),"",ROUND(100*H163/I163,0))</f>
        <v/>
      </c>
      <c r="M163">
        <f>IF(D163="","",IFERROR(INDEX(Classes!$B$2:$B$200,MATCH(D163,Classes!$E$2:$E$200,0)),""))</f>
        <v/>
      </c>
    </row>
    <row r="164">
      <c r="J164">
        <f>IF(OR(H164="",I164=""),"",ROUND(100*H164/I164,0))</f>
        <v/>
      </c>
      <c r="M164">
        <f>IF(D164="","",IFERROR(INDEX(Classes!$B$2:$B$200,MATCH(D164,Classes!$E$2:$E$200,0)),""))</f>
        <v/>
      </c>
    </row>
    <row r="165">
      <c r="J165">
        <f>IF(OR(H165="",I165=""),"",ROUND(100*H165/I165,0))</f>
        <v/>
      </c>
      <c r="M165">
        <f>IF(D165="","",IFERROR(INDEX(Classes!$B$2:$B$200,MATCH(D165,Classes!$E$2:$E$200,0)),""))</f>
        <v/>
      </c>
    </row>
    <row r="166">
      <c r="J166">
        <f>IF(OR(H166="",I166=""),"",ROUND(100*H166/I166,0))</f>
        <v/>
      </c>
      <c r="M166">
        <f>IF(D166="","",IFERROR(INDEX(Classes!$B$2:$B$200,MATCH(D166,Classes!$E$2:$E$200,0)),""))</f>
        <v/>
      </c>
    </row>
    <row r="167">
      <c r="J167">
        <f>IF(OR(H167="",I167=""),"",ROUND(100*H167/I167,0))</f>
        <v/>
      </c>
      <c r="M167">
        <f>IF(D167="","",IFERROR(INDEX(Classes!$B$2:$B$200,MATCH(D167,Classes!$E$2:$E$200,0)),""))</f>
        <v/>
      </c>
    </row>
    <row r="168">
      <c r="J168">
        <f>IF(OR(H168="",I168=""),"",ROUND(100*H168/I168,0))</f>
        <v/>
      </c>
      <c r="M168">
        <f>IF(D168="","",IFERROR(INDEX(Classes!$B$2:$B$200,MATCH(D168,Classes!$E$2:$E$200,0)),""))</f>
        <v/>
      </c>
    </row>
    <row r="169">
      <c r="J169">
        <f>IF(OR(H169="",I169=""),"",ROUND(100*H169/I169,0))</f>
        <v/>
      </c>
      <c r="M169">
        <f>IF(D169="","",IFERROR(INDEX(Classes!$B$2:$B$200,MATCH(D169,Classes!$E$2:$E$200,0)),""))</f>
        <v/>
      </c>
    </row>
    <row r="170">
      <c r="J170">
        <f>IF(OR(H170="",I170=""),"",ROUND(100*H170/I170,0))</f>
        <v/>
      </c>
      <c r="M170">
        <f>IF(D170="","",IFERROR(INDEX(Classes!$B$2:$B$200,MATCH(D170,Classes!$E$2:$E$200,0)),""))</f>
        <v/>
      </c>
    </row>
    <row r="171">
      <c r="J171">
        <f>IF(OR(H171="",I171=""),"",ROUND(100*H171/I171,0))</f>
        <v/>
      </c>
      <c r="M171">
        <f>IF(D171="","",IFERROR(INDEX(Classes!$B$2:$B$200,MATCH(D171,Classes!$E$2:$E$200,0)),""))</f>
        <v/>
      </c>
    </row>
    <row r="172">
      <c r="J172">
        <f>IF(OR(H172="",I172=""),"",ROUND(100*H172/I172,0))</f>
        <v/>
      </c>
      <c r="M172">
        <f>IF(D172="","",IFERROR(INDEX(Classes!$B$2:$B$200,MATCH(D172,Classes!$E$2:$E$200,0)),""))</f>
        <v/>
      </c>
    </row>
    <row r="173">
      <c r="J173">
        <f>IF(OR(H173="",I173=""),"",ROUND(100*H173/I173,0))</f>
        <v/>
      </c>
      <c r="M173">
        <f>IF(D173="","",IFERROR(INDEX(Classes!$B$2:$B$200,MATCH(D173,Classes!$E$2:$E$200,0)),""))</f>
        <v/>
      </c>
    </row>
    <row r="174">
      <c r="J174">
        <f>IF(OR(H174="",I174=""),"",ROUND(100*H174/I174,0))</f>
        <v/>
      </c>
      <c r="M174">
        <f>IF(D174="","",IFERROR(INDEX(Classes!$B$2:$B$200,MATCH(D174,Classes!$E$2:$E$200,0)),""))</f>
        <v/>
      </c>
    </row>
    <row r="175">
      <c r="J175">
        <f>IF(OR(H175="",I175=""),"",ROUND(100*H175/I175,0))</f>
        <v/>
      </c>
      <c r="M175">
        <f>IF(D175="","",IFERROR(INDEX(Classes!$B$2:$B$200,MATCH(D175,Classes!$E$2:$E$200,0)),""))</f>
        <v/>
      </c>
    </row>
    <row r="176">
      <c r="J176">
        <f>IF(OR(H176="",I176=""),"",ROUND(100*H176/I176,0))</f>
        <v/>
      </c>
      <c r="M176">
        <f>IF(D176="","",IFERROR(INDEX(Classes!$B$2:$B$200,MATCH(D176,Classes!$E$2:$E$200,0)),""))</f>
        <v/>
      </c>
    </row>
    <row r="177">
      <c r="J177">
        <f>IF(OR(H177="",I177=""),"",ROUND(100*H177/I177,0))</f>
        <v/>
      </c>
      <c r="M177">
        <f>IF(D177="","",IFERROR(INDEX(Classes!$B$2:$B$200,MATCH(D177,Classes!$E$2:$E$200,0)),""))</f>
        <v/>
      </c>
    </row>
    <row r="178">
      <c r="J178">
        <f>IF(OR(H178="",I178=""),"",ROUND(100*H178/I178,0))</f>
        <v/>
      </c>
      <c r="M178">
        <f>IF(D178="","",IFERROR(INDEX(Classes!$B$2:$B$200,MATCH(D178,Classes!$E$2:$E$200,0)),""))</f>
        <v/>
      </c>
    </row>
    <row r="179">
      <c r="J179">
        <f>IF(OR(H179="",I179=""),"",ROUND(100*H179/I179,0))</f>
        <v/>
      </c>
      <c r="M179">
        <f>IF(D179="","",IFERROR(INDEX(Classes!$B$2:$B$200,MATCH(D179,Classes!$E$2:$E$200,0)),""))</f>
        <v/>
      </c>
    </row>
    <row r="180">
      <c r="J180">
        <f>IF(OR(H180="",I180=""),"",ROUND(100*H180/I180,0))</f>
        <v/>
      </c>
      <c r="M180">
        <f>IF(D180="","",IFERROR(INDEX(Classes!$B$2:$B$200,MATCH(D180,Classes!$E$2:$E$200,0)),""))</f>
        <v/>
      </c>
    </row>
    <row r="181">
      <c r="J181">
        <f>IF(OR(H181="",I181=""),"",ROUND(100*H181/I181,0))</f>
        <v/>
      </c>
      <c r="M181">
        <f>IF(D181="","",IFERROR(INDEX(Classes!$B$2:$B$200,MATCH(D181,Classes!$E$2:$E$200,0)),""))</f>
        <v/>
      </c>
    </row>
    <row r="182">
      <c r="J182">
        <f>IF(OR(H182="",I182=""),"",ROUND(100*H182/I182,0))</f>
        <v/>
      </c>
      <c r="M182">
        <f>IF(D182="","",IFERROR(INDEX(Classes!$B$2:$B$200,MATCH(D182,Classes!$E$2:$E$200,0)),""))</f>
        <v/>
      </c>
    </row>
    <row r="183">
      <c r="J183">
        <f>IF(OR(H183="",I183=""),"",ROUND(100*H183/I183,0))</f>
        <v/>
      </c>
      <c r="M183">
        <f>IF(D183="","",IFERROR(INDEX(Classes!$B$2:$B$200,MATCH(D183,Classes!$E$2:$E$200,0)),""))</f>
        <v/>
      </c>
    </row>
    <row r="184">
      <c r="J184">
        <f>IF(OR(H184="",I184=""),"",ROUND(100*H184/I184,0))</f>
        <v/>
      </c>
      <c r="M184">
        <f>IF(D184="","",IFERROR(INDEX(Classes!$B$2:$B$200,MATCH(D184,Classes!$E$2:$E$200,0)),""))</f>
        <v/>
      </c>
    </row>
    <row r="185">
      <c r="J185">
        <f>IF(OR(H185="",I185=""),"",ROUND(100*H185/I185,0))</f>
        <v/>
      </c>
      <c r="M185">
        <f>IF(D185="","",IFERROR(INDEX(Classes!$B$2:$B$200,MATCH(D185,Classes!$E$2:$E$200,0)),""))</f>
        <v/>
      </c>
    </row>
    <row r="186">
      <c r="J186">
        <f>IF(OR(H186="",I186=""),"",ROUND(100*H186/I186,0))</f>
        <v/>
      </c>
      <c r="M186">
        <f>IF(D186="","",IFERROR(INDEX(Classes!$B$2:$B$200,MATCH(D186,Classes!$E$2:$E$200,0)),""))</f>
        <v/>
      </c>
    </row>
    <row r="187">
      <c r="J187">
        <f>IF(OR(H187="",I187=""),"",ROUND(100*H187/I187,0))</f>
        <v/>
      </c>
      <c r="M187">
        <f>IF(D187="","",IFERROR(INDEX(Classes!$B$2:$B$200,MATCH(D187,Classes!$E$2:$E$200,0)),""))</f>
        <v/>
      </c>
    </row>
    <row r="188">
      <c r="J188">
        <f>IF(OR(H188="",I188=""),"",ROUND(100*H188/I188,0))</f>
        <v/>
      </c>
      <c r="M188">
        <f>IF(D188="","",IFERROR(INDEX(Classes!$B$2:$B$200,MATCH(D188,Classes!$E$2:$E$200,0)),""))</f>
        <v/>
      </c>
    </row>
    <row r="189">
      <c r="J189">
        <f>IF(OR(H189="",I189=""),"",ROUND(100*H189/I189,0))</f>
        <v/>
      </c>
      <c r="M189">
        <f>IF(D189="","",IFERROR(INDEX(Classes!$B$2:$B$200,MATCH(D189,Classes!$E$2:$E$200,0)),""))</f>
        <v/>
      </c>
    </row>
    <row r="190">
      <c r="J190">
        <f>IF(OR(H190="",I190=""),"",ROUND(100*H190/I190,0))</f>
        <v/>
      </c>
      <c r="M190">
        <f>IF(D190="","",IFERROR(INDEX(Classes!$B$2:$B$200,MATCH(D190,Classes!$E$2:$E$200,0)),""))</f>
        <v/>
      </c>
    </row>
    <row r="191">
      <c r="J191">
        <f>IF(OR(H191="",I191=""),"",ROUND(100*H191/I191,0))</f>
        <v/>
      </c>
      <c r="M191">
        <f>IF(D191="","",IFERROR(INDEX(Classes!$B$2:$B$200,MATCH(D191,Classes!$E$2:$E$200,0)),""))</f>
        <v/>
      </c>
    </row>
    <row r="192">
      <c r="J192">
        <f>IF(OR(H192="",I192=""),"",ROUND(100*H192/I192,0))</f>
        <v/>
      </c>
      <c r="M192">
        <f>IF(D192="","",IFERROR(INDEX(Classes!$B$2:$B$200,MATCH(D192,Classes!$E$2:$E$200,0)),""))</f>
        <v/>
      </c>
    </row>
    <row r="193">
      <c r="J193">
        <f>IF(OR(H193="",I193=""),"",ROUND(100*H193/I193,0))</f>
        <v/>
      </c>
      <c r="M193">
        <f>IF(D193="","",IFERROR(INDEX(Classes!$B$2:$B$200,MATCH(D193,Classes!$E$2:$E$200,0)),""))</f>
        <v/>
      </c>
    </row>
    <row r="194">
      <c r="J194">
        <f>IF(OR(H194="",I194=""),"",ROUND(100*H194/I194,0))</f>
        <v/>
      </c>
      <c r="M194">
        <f>IF(D194="","",IFERROR(INDEX(Classes!$B$2:$B$200,MATCH(D194,Classes!$E$2:$E$200,0)),""))</f>
        <v/>
      </c>
    </row>
    <row r="195">
      <c r="J195">
        <f>IF(OR(H195="",I195=""),"",ROUND(100*H195/I195,0))</f>
        <v/>
      </c>
      <c r="M195">
        <f>IF(D195="","",IFERROR(INDEX(Classes!$B$2:$B$200,MATCH(D195,Classes!$E$2:$E$200,0)),""))</f>
        <v/>
      </c>
    </row>
    <row r="196">
      <c r="J196">
        <f>IF(OR(H196="",I196=""),"",ROUND(100*H196/I196,0))</f>
        <v/>
      </c>
      <c r="M196">
        <f>IF(D196="","",IFERROR(INDEX(Classes!$B$2:$B$200,MATCH(D196,Classes!$E$2:$E$200,0)),""))</f>
        <v/>
      </c>
    </row>
    <row r="197">
      <c r="J197">
        <f>IF(OR(H197="",I197=""),"",ROUND(100*H197/I197,0))</f>
        <v/>
      </c>
      <c r="M197">
        <f>IF(D197="","",IFERROR(INDEX(Classes!$B$2:$B$200,MATCH(D197,Classes!$E$2:$E$200,0)),""))</f>
        <v/>
      </c>
    </row>
    <row r="198">
      <c r="J198">
        <f>IF(OR(H198="",I198=""),"",ROUND(100*H198/I198,0))</f>
        <v/>
      </c>
      <c r="M198">
        <f>IF(D198="","",IFERROR(INDEX(Classes!$B$2:$B$200,MATCH(D198,Classes!$E$2:$E$200,0)),""))</f>
        <v/>
      </c>
    </row>
    <row r="199">
      <c r="J199">
        <f>IF(OR(H199="",I199=""),"",ROUND(100*H199/I199,0))</f>
        <v/>
      </c>
      <c r="M199">
        <f>IF(D199="","",IFERROR(INDEX(Classes!$B$2:$B$200,MATCH(D199,Classes!$E$2:$E$200,0)),""))</f>
        <v/>
      </c>
    </row>
    <row r="200">
      <c r="J200">
        <f>IF(OR(H200="",I200=""),"",ROUND(100*H200/I200,0))</f>
        <v/>
      </c>
      <c r="M200">
        <f>IF(D200="","",IFERROR(INDEX(Classes!$B$2:$B$200,MATCH(D200,Classes!$E$2:$E$200,0)),""))</f>
        <v/>
      </c>
    </row>
    <row r="201">
      <c r="J201">
        <f>IF(OR(H201="",I201=""),"",ROUND(100*H201/I201,0))</f>
        <v/>
      </c>
      <c r="M201">
        <f>IF(D201="","",IFERROR(INDEX(Classes!$B$2:$B$200,MATCH(D201,Classes!$E$2:$E$200,0)),""))</f>
        <v/>
      </c>
    </row>
    <row r="202">
      <c r="J202">
        <f>IF(OR(H202="",I202=""),"",ROUND(100*H202/I202,0))</f>
        <v/>
      </c>
      <c r="M202">
        <f>IF(D202="","",IFERROR(INDEX(Classes!$B$2:$B$200,MATCH(D202,Classes!$E$2:$E$200,0)),""))</f>
        <v/>
      </c>
    </row>
    <row r="203">
      <c r="J203">
        <f>IF(OR(H203="",I203=""),"",ROUND(100*H203/I203,0))</f>
        <v/>
      </c>
      <c r="M203">
        <f>IF(D203="","",IFERROR(INDEX(Classes!$B$2:$B$200,MATCH(D203,Classes!$E$2:$E$200,0)),""))</f>
        <v/>
      </c>
    </row>
    <row r="204">
      <c r="J204">
        <f>IF(OR(H204="",I204=""),"",ROUND(100*H204/I204,0))</f>
        <v/>
      </c>
      <c r="M204">
        <f>IF(D204="","",IFERROR(INDEX(Classes!$B$2:$B$200,MATCH(D204,Classes!$E$2:$E$200,0)),""))</f>
        <v/>
      </c>
    </row>
    <row r="205">
      <c r="J205">
        <f>IF(OR(H205="",I205=""),"",ROUND(100*H205/I205,0))</f>
        <v/>
      </c>
      <c r="M205">
        <f>IF(D205="","",IFERROR(INDEX(Classes!$B$2:$B$200,MATCH(D205,Classes!$E$2:$E$200,0)),""))</f>
        <v/>
      </c>
    </row>
    <row r="206">
      <c r="J206">
        <f>IF(OR(H206="",I206=""),"",ROUND(100*H206/I206,0))</f>
        <v/>
      </c>
      <c r="M206">
        <f>IF(D206="","",IFERROR(INDEX(Classes!$B$2:$B$200,MATCH(D206,Classes!$E$2:$E$200,0)),""))</f>
        <v/>
      </c>
    </row>
    <row r="207">
      <c r="J207">
        <f>IF(OR(H207="",I207=""),"",ROUND(100*H207/I207,0))</f>
        <v/>
      </c>
      <c r="M207">
        <f>IF(D207="","",IFERROR(INDEX(Classes!$B$2:$B$200,MATCH(D207,Classes!$E$2:$E$200,0)),""))</f>
        <v/>
      </c>
    </row>
    <row r="208">
      <c r="J208">
        <f>IF(OR(H208="",I208=""),"",ROUND(100*H208/I208,0))</f>
        <v/>
      </c>
      <c r="M208">
        <f>IF(D208="","",IFERROR(INDEX(Classes!$B$2:$B$200,MATCH(D208,Classes!$E$2:$E$200,0)),""))</f>
        <v/>
      </c>
    </row>
    <row r="209">
      <c r="J209">
        <f>IF(OR(H209="",I209=""),"",ROUND(100*H209/I209,0))</f>
        <v/>
      </c>
      <c r="M209">
        <f>IF(D209="","",IFERROR(INDEX(Classes!$B$2:$B$200,MATCH(D209,Classes!$E$2:$E$200,0)),""))</f>
        <v/>
      </c>
    </row>
    <row r="210">
      <c r="J210">
        <f>IF(OR(H210="",I210=""),"",ROUND(100*H210/I210,0))</f>
        <v/>
      </c>
      <c r="M210">
        <f>IF(D210="","",IFERROR(INDEX(Classes!$B$2:$B$200,MATCH(D210,Classes!$E$2:$E$200,0)),""))</f>
        <v/>
      </c>
    </row>
    <row r="211">
      <c r="J211">
        <f>IF(OR(H211="",I211=""),"",ROUND(100*H211/I211,0))</f>
        <v/>
      </c>
      <c r="M211">
        <f>IF(D211="","",IFERROR(INDEX(Classes!$B$2:$B$200,MATCH(D211,Classes!$E$2:$E$200,0)),""))</f>
        <v/>
      </c>
    </row>
    <row r="212">
      <c r="J212">
        <f>IF(OR(H212="",I212=""),"",ROUND(100*H212/I212,0))</f>
        <v/>
      </c>
      <c r="M212">
        <f>IF(D212="","",IFERROR(INDEX(Classes!$B$2:$B$200,MATCH(D212,Classes!$E$2:$E$200,0)),""))</f>
        <v/>
      </c>
    </row>
    <row r="213">
      <c r="J213">
        <f>IF(OR(H213="",I213=""),"",ROUND(100*H213/I213,0))</f>
        <v/>
      </c>
      <c r="M213">
        <f>IF(D213="","",IFERROR(INDEX(Classes!$B$2:$B$200,MATCH(D213,Classes!$E$2:$E$200,0)),""))</f>
        <v/>
      </c>
    </row>
    <row r="214">
      <c r="J214">
        <f>IF(OR(H214="",I214=""),"",ROUND(100*H214/I214,0))</f>
        <v/>
      </c>
      <c r="M214">
        <f>IF(D214="","",IFERROR(INDEX(Classes!$B$2:$B$200,MATCH(D214,Classes!$E$2:$E$200,0)),""))</f>
        <v/>
      </c>
    </row>
    <row r="215">
      <c r="J215">
        <f>IF(OR(H215="",I215=""),"",ROUND(100*H215/I215,0))</f>
        <v/>
      </c>
      <c r="M215">
        <f>IF(D215="","",IFERROR(INDEX(Classes!$B$2:$B$200,MATCH(D215,Classes!$E$2:$E$200,0)),""))</f>
        <v/>
      </c>
    </row>
    <row r="216">
      <c r="J216">
        <f>IF(OR(H216="",I216=""),"",ROUND(100*H216/I216,0))</f>
        <v/>
      </c>
      <c r="M216">
        <f>IF(D216="","",IFERROR(INDEX(Classes!$B$2:$B$200,MATCH(D216,Classes!$E$2:$E$200,0)),""))</f>
        <v/>
      </c>
    </row>
    <row r="217">
      <c r="J217">
        <f>IF(OR(H217="",I217=""),"",ROUND(100*H217/I217,0))</f>
        <v/>
      </c>
      <c r="M217">
        <f>IF(D217="","",IFERROR(INDEX(Classes!$B$2:$B$200,MATCH(D217,Classes!$E$2:$E$200,0)),""))</f>
        <v/>
      </c>
    </row>
    <row r="218">
      <c r="J218">
        <f>IF(OR(H218="",I218=""),"",ROUND(100*H218/I218,0))</f>
        <v/>
      </c>
      <c r="M218">
        <f>IF(D218="","",IFERROR(INDEX(Classes!$B$2:$B$200,MATCH(D218,Classes!$E$2:$E$200,0)),""))</f>
        <v/>
      </c>
    </row>
    <row r="219">
      <c r="J219">
        <f>IF(OR(H219="",I219=""),"",ROUND(100*H219/I219,0))</f>
        <v/>
      </c>
      <c r="M219">
        <f>IF(D219="","",IFERROR(INDEX(Classes!$B$2:$B$200,MATCH(D219,Classes!$E$2:$E$200,0)),""))</f>
        <v/>
      </c>
    </row>
    <row r="220">
      <c r="J220">
        <f>IF(OR(H220="",I220=""),"",ROUND(100*H220/I220,0))</f>
        <v/>
      </c>
      <c r="M220">
        <f>IF(D220="","",IFERROR(INDEX(Classes!$B$2:$B$200,MATCH(D220,Classes!$E$2:$E$200,0)),""))</f>
        <v/>
      </c>
    </row>
    <row r="221">
      <c r="J221">
        <f>IF(OR(H221="",I221=""),"",ROUND(100*H221/I221,0))</f>
        <v/>
      </c>
      <c r="M221">
        <f>IF(D221="","",IFERROR(INDEX(Classes!$B$2:$B$200,MATCH(D221,Classes!$E$2:$E$200,0)),""))</f>
        <v/>
      </c>
    </row>
    <row r="222">
      <c r="J222">
        <f>IF(OR(H222="",I222=""),"",ROUND(100*H222/I222,0))</f>
        <v/>
      </c>
      <c r="M222">
        <f>IF(D222="","",IFERROR(INDEX(Classes!$B$2:$B$200,MATCH(D222,Classes!$E$2:$E$200,0)),""))</f>
        <v/>
      </c>
    </row>
    <row r="223">
      <c r="J223">
        <f>IF(OR(H223="",I223=""),"",ROUND(100*H223/I223,0))</f>
        <v/>
      </c>
      <c r="M223">
        <f>IF(D223="","",IFERROR(INDEX(Classes!$B$2:$B$200,MATCH(D223,Classes!$E$2:$E$200,0)),""))</f>
        <v/>
      </c>
    </row>
    <row r="224">
      <c r="J224">
        <f>IF(OR(H224="",I224=""),"",ROUND(100*H224/I224,0))</f>
        <v/>
      </c>
      <c r="M224">
        <f>IF(D224="","",IFERROR(INDEX(Classes!$B$2:$B$200,MATCH(D224,Classes!$E$2:$E$200,0)),""))</f>
        <v/>
      </c>
    </row>
    <row r="225">
      <c r="J225">
        <f>IF(OR(H225="",I225=""),"",ROUND(100*H225/I225,0))</f>
        <v/>
      </c>
      <c r="M225">
        <f>IF(D225="","",IFERROR(INDEX(Classes!$B$2:$B$200,MATCH(D225,Classes!$E$2:$E$200,0)),""))</f>
        <v/>
      </c>
    </row>
    <row r="226">
      <c r="J226">
        <f>IF(OR(H226="",I226=""),"",ROUND(100*H226/I226,0))</f>
        <v/>
      </c>
      <c r="M226">
        <f>IF(D226="","",IFERROR(INDEX(Classes!$B$2:$B$200,MATCH(D226,Classes!$E$2:$E$200,0)),""))</f>
        <v/>
      </c>
    </row>
    <row r="227">
      <c r="J227">
        <f>IF(OR(H227="",I227=""),"",ROUND(100*H227/I227,0))</f>
        <v/>
      </c>
      <c r="M227">
        <f>IF(D227="","",IFERROR(INDEX(Classes!$B$2:$B$200,MATCH(D227,Classes!$E$2:$E$200,0)),""))</f>
        <v/>
      </c>
    </row>
    <row r="228">
      <c r="J228">
        <f>IF(OR(H228="",I228=""),"",ROUND(100*H228/I228,0))</f>
        <v/>
      </c>
      <c r="M228">
        <f>IF(D228="","",IFERROR(INDEX(Classes!$B$2:$B$200,MATCH(D228,Classes!$E$2:$E$200,0)),""))</f>
        <v/>
      </c>
    </row>
    <row r="229">
      <c r="J229">
        <f>IF(OR(H229="",I229=""),"",ROUND(100*H229/I229,0))</f>
        <v/>
      </c>
      <c r="M229">
        <f>IF(D229="","",IFERROR(INDEX(Classes!$B$2:$B$200,MATCH(D229,Classes!$E$2:$E$200,0)),""))</f>
        <v/>
      </c>
    </row>
    <row r="230">
      <c r="J230">
        <f>IF(OR(H230="",I230=""),"",ROUND(100*H230/I230,0))</f>
        <v/>
      </c>
      <c r="M230">
        <f>IF(D230="","",IFERROR(INDEX(Classes!$B$2:$B$200,MATCH(D230,Classes!$E$2:$E$200,0)),""))</f>
        <v/>
      </c>
    </row>
    <row r="231">
      <c r="J231">
        <f>IF(OR(H231="",I231=""),"",ROUND(100*H231/I231,0))</f>
        <v/>
      </c>
      <c r="M231">
        <f>IF(D231="","",IFERROR(INDEX(Classes!$B$2:$B$200,MATCH(D231,Classes!$E$2:$E$200,0)),""))</f>
        <v/>
      </c>
    </row>
    <row r="232">
      <c r="J232">
        <f>IF(OR(H232="",I232=""),"",ROUND(100*H232/I232,0))</f>
        <v/>
      </c>
      <c r="M232">
        <f>IF(D232="","",IFERROR(INDEX(Classes!$B$2:$B$200,MATCH(D232,Classes!$E$2:$E$200,0)),""))</f>
        <v/>
      </c>
    </row>
    <row r="233">
      <c r="J233">
        <f>IF(OR(H233="",I233=""),"",ROUND(100*H233/I233,0))</f>
        <v/>
      </c>
      <c r="M233">
        <f>IF(D233="","",IFERROR(INDEX(Classes!$B$2:$B$200,MATCH(D233,Classes!$E$2:$E$200,0)),""))</f>
        <v/>
      </c>
    </row>
    <row r="234">
      <c r="J234">
        <f>IF(OR(H234="",I234=""),"",ROUND(100*H234/I234,0))</f>
        <v/>
      </c>
      <c r="M234">
        <f>IF(D234="","",IFERROR(INDEX(Classes!$B$2:$B$200,MATCH(D234,Classes!$E$2:$E$200,0)),""))</f>
        <v/>
      </c>
    </row>
    <row r="235">
      <c r="J235">
        <f>IF(OR(H235="",I235=""),"",ROUND(100*H235/I235,0))</f>
        <v/>
      </c>
      <c r="M235">
        <f>IF(D235="","",IFERROR(INDEX(Classes!$B$2:$B$200,MATCH(D235,Classes!$E$2:$E$200,0)),""))</f>
        <v/>
      </c>
    </row>
    <row r="236">
      <c r="J236">
        <f>IF(OR(H236="",I236=""),"",ROUND(100*H236/I236,0))</f>
        <v/>
      </c>
      <c r="M236">
        <f>IF(D236="","",IFERROR(INDEX(Classes!$B$2:$B$200,MATCH(D236,Classes!$E$2:$E$200,0)),""))</f>
        <v/>
      </c>
    </row>
    <row r="237">
      <c r="J237">
        <f>IF(OR(H237="",I237=""),"",ROUND(100*H237/I237,0))</f>
        <v/>
      </c>
      <c r="M237">
        <f>IF(D237="","",IFERROR(INDEX(Classes!$B$2:$B$200,MATCH(D237,Classes!$E$2:$E$200,0)),""))</f>
        <v/>
      </c>
    </row>
    <row r="238">
      <c r="J238">
        <f>IF(OR(H238="",I238=""),"",ROUND(100*H238/I238,0))</f>
        <v/>
      </c>
      <c r="M238">
        <f>IF(D238="","",IFERROR(INDEX(Classes!$B$2:$B$200,MATCH(D238,Classes!$E$2:$E$200,0)),""))</f>
        <v/>
      </c>
    </row>
    <row r="239">
      <c r="J239">
        <f>IF(OR(H239="",I239=""),"",ROUND(100*H239/I239,0))</f>
        <v/>
      </c>
      <c r="M239">
        <f>IF(D239="","",IFERROR(INDEX(Classes!$B$2:$B$200,MATCH(D239,Classes!$E$2:$E$200,0)),""))</f>
        <v/>
      </c>
    </row>
    <row r="240">
      <c r="J240">
        <f>IF(OR(H240="",I240=""),"",ROUND(100*H240/I240,0))</f>
        <v/>
      </c>
      <c r="M240">
        <f>IF(D240="","",IFERROR(INDEX(Classes!$B$2:$B$200,MATCH(D240,Classes!$E$2:$E$200,0)),""))</f>
        <v/>
      </c>
    </row>
    <row r="241">
      <c r="J241">
        <f>IF(OR(H241="",I241=""),"",ROUND(100*H241/I241,0))</f>
        <v/>
      </c>
      <c r="M241">
        <f>IF(D241="","",IFERROR(INDEX(Classes!$B$2:$B$200,MATCH(D241,Classes!$E$2:$E$200,0)),""))</f>
        <v/>
      </c>
    </row>
    <row r="242">
      <c r="J242">
        <f>IF(OR(H242="",I242=""),"",ROUND(100*H242/I242,0))</f>
        <v/>
      </c>
      <c r="M242">
        <f>IF(D242="","",IFERROR(INDEX(Classes!$B$2:$B$200,MATCH(D242,Classes!$E$2:$E$200,0)),""))</f>
        <v/>
      </c>
    </row>
    <row r="243">
      <c r="J243">
        <f>IF(OR(H243="",I243=""),"",ROUND(100*H243/I243,0))</f>
        <v/>
      </c>
      <c r="M243">
        <f>IF(D243="","",IFERROR(INDEX(Classes!$B$2:$B$200,MATCH(D243,Classes!$E$2:$E$200,0)),""))</f>
        <v/>
      </c>
    </row>
    <row r="244">
      <c r="J244">
        <f>IF(OR(H244="",I244=""),"",ROUND(100*H244/I244,0))</f>
        <v/>
      </c>
      <c r="M244">
        <f>IF(D244="","",IFERROR(INDEX(Classes!$B$2:$B$200,MATCH(D244,Classes!$E$2:$E$200,0)),""))</f>
        <v/>
      </c>
    </row>
    <row r="245">
      <c r="J245">
        <f>IF(OR(H245="",I245=""),"",ROUND(100*H245/I245,0))</f>
        <v/>
      </c>
      <c r="M245">
        <f>IF(D245="","",IFERROR(INDEX(Classes!$B$2:$B$200,MATCH(D245,Classes!$E$2:$E$200,0)),""))</f>
        <v/>
      </c>
    </row>
    <row r="246">
      <c r="J246">
        <f>IF(OR(H246="",I246=""),"",ROUND(100*H246/I246,0))</f>
        <v/>
      </c>
      <c r="M246">
        <f>IF(D246="","",IFERROR(INDEX(Classes!$B$2:$B$200,MATCH(D246,Classes!$E$2:$E$200,0)),""))</f>
        <v/>
      </c>
    </row>
    <row r="247">
      <c r="J247">
        <f>IF(OR(H247="",I247=""),"",ROUND(100*H247/I247,0))</f>
        <v/>
      </c>
      <c r="M247">
        <f>IF(D247="","",IFERROR(INDEX(Classes!$B$2:$B$200,MATCH(D247,Classes!$E$2:$E$200,0)),""))</f>
        <v/>
      </c>
    </row>
    <row r="248">
      <c r="J248">
        <f>IF(OR(H248="",I248=""),"",ROUND(100*H248/I248,0))</f>
        <v/>
      </c>
      <c r="M248">
        <f>IF(D248="","",IFERROR(INDEX(Classes!$B$2:$B$200,MATCH(D248,Classes!$E$2:$E$200,0)),""))</f>
        <v/>
      </c>
    </row>
    <row r="249">
      <c r="J249">
        <f>IF(OR(H249="",I249=""),"",ROUND(100*H249/I249,0))</f>
        <v/>
      </c>
      <c r="M249">
        <f>IF(D249="","",IFERROR(INDEX(Classes!$B$2:$B$200,MATCH(D249,Classes!$E$2:$E$200,0)),""))</f>
        <v/>
      </c>
    </row>
    <row r="250">
      <c r="J250">
        <f>IF(OR(H250="",I250=""),"",ROUND(100*H250/I250,0))</f>
        <v/>
      </c>
      <c r="M250">
        <f>IF(D250="","",IFERROR(INDEX(Classes!$B$2:$B$200,MATCH(D250,Classes!$E$2:$E$200,0)),""))</f>
        <v/>
      </c>
    </row>
    <row r="251">
      <c r="J251">
        <f>IF(OR(H251="",I251=""),"",ROUND(100*H251/I251,0))</f>
        <v/>
      </c>
      <c r="M251">
        <f>IF(D251="","",IFERROR(INDEX(Classes!$B$2:$B$200,MATCH(D251,Classes!$E$2:$E$200,0)),""))</f>
        <v/>
      </c>
    </row>
    <row r="252">
      <c r="J252">
        <f>IF(OR(H252="",I252=""),"",ROUND(100*H252/I252,0))</f>
        <v/>
      </c>
      <c r="M252">
        <f>IF(D252="","",IFERROR(INDEX(Classes!$B$2:$B$200,MATCH(D252,Classes!$E$2:$E$200,0)),""))</f>
        <v/>
      </c>
    </row>
    <row r="253">
      <c r="J253">
        <f>IF(OR(H253="",I253=""),"",ROUND(100*H253/I253,0))</f>
        <v/>
      </c>
      <c r="M253">
        <f>IF(D253="","",IFERROR(INDEX(Classes!$B$2:$B$200,MATCH(D253,Classes!$E$2:$E$200,0)),""))</f>
        <v/>
      </c>
    </row>
    <row r="254">
      <c r="J254">
        <f>IF(OR(H254="",I254=""),"",ROUND(100*H254/I254,0))</f>
        <v/>
      </c>
      <c r="M254">
        <f>IF(D254="","",IFERROR(INDEX(Classes!$B$2:$B$200,MATCH(D254,Classes!$E$2:$E$200,0)),""))</f>
        <v/>
      </c>
    </row>
    <row r="255">
      <c r="J255">
        <f>IF(OR(H255="",I255=""),"",ROUND(100*H255/I255,0))</f>
        <v/>
      </c>
      <c r="M255">
        <f>IF(D255="","",IFERROR(INDEX(Classes!$B$2:$B$200,MATCH(D255,Classes!$E$2:$E$200,0)),""))</f>
        <v/>
      </c>
    </row>
    <row r="256">
      <c r="J256">
        <f>IF(OR(H256="",I256=""),"",ROUND(100*H256/I256,0))</f>
        <v/>
      </c>
      <c r="M256">
        <f>IF(D256="","",IFERROR(INDEX(Classes!$B$2:$B$200,MATCH(D256,Classes!$E$2:$E$200,0)),""))</f>
        <v/>
      </c>
    </row>
    <row r="257">
      <c r="J257">
        <f>IF(OR(H257="",I257=""),"",ROUND(100*H257/I257,0))</f>
        <v/>
      </c>
      <c r="M257">
        <f>IF(D257="","",IFERROR(INDEX(Classes!$B$2:$B$200,MATCH(D257,Classes!$E$2:$E$200,0)),""))</f>
        <v/>
      </c>
    </row>
    <row r="258">
      <c r="J258">
        <f>IF(OR(H258="",I258=""),"",ROUND(100*H258/I258,0))</f>
        <v/>
      </c>
      <c r="M258">
        <f>IF(D258="","",IFERROR(INDEX(Classes!$B$2:$B$200,MATCH(D258,Classes!$E$2:$E$200,0)),""))</f>
        <v/>
      </c>
    </row>
    <row r="259">
      <c r="J259">
        <f>IF(OR(H259="",I259=""),"",ROUND(100*H259/I259,0))</f>
        <v/>
      </c>
      <c r="M259">
        <f>IF(D259="","",IFERROR(INDEX(Classes!$B$2:$B$200,MATCH(D259,Classes!$E$2:$E$200,0)),""))</f>
        <v/>
      </c>
    </row>
    <row r="260">
      <c r="J260">
        <f>IF(OR(H260="",I260=""),"",ROUND(100*H260/I260,0))</f>
        <v/>
      </c>
      <c r="M260">
        <f>IF(D260="","",IFERROR(INDEX(Classes!$B$2:$B$200,MATCH(D260,Classes!$E$2:$E$200,0)),""))</f>
        <v/>
      </c>
    </row>
    <row r="261">
      <c r="J261">
        <f>IF(OR(H261="",I261=""),"",ROUND(100*H261/I261,0))</f>
        <v/>
      </c>
      <c r="M261">
        <f>IF(D261="","",IFERROR(INDEX(Classes!$B$2:$B$200,MATCH(D261,Classes!$E$2:$E$200,0)),""))</f>
        <v/>
      </c>
    </row>
    <row r="262">
      <c r="J262">
        <f>IF(OR(H262="",I262=""),"",ROUND(100*H262/I262,0))</f>
        <v/>
      </c>
      <c r="M262">
        <f>IF(D262="","",IFERROR(INDEX(Classes!$B$2:$B$200,MATCH(D262,Classes!$E$2:$E$200,0)),""))</f>
        <v/>
      </c>
    </row>
    <row r="263">
      <c r="J263">
        <f>IF(OR(H263="",I263=""),"",ROUND(100*H263/I263,0))</f>
        <v/>
      </c>
      <c r="M263">
        <f>IF(D263="","",IFERROR(INDEX(Classes!$B$2:$B$200,MATCH(D263,Classes!$E$2:$E$200,0)),""))</f>
        <v/>
      </c>
    </row>
    <row r="264">
      <c r="J264">
        <f>IF(OR(H264="",I264=""),"",ROUND(100*H264/I264,0))</f>
        <v/>
      </c>
      <c r="M264">
        <f>IF(D264="","",IFERROR(INDEX(Classes!$B$2:$B$200,MATCH(D264,Classes!$E$2:$E$200,0)),""))</f>
        <v/>
      </c>
    </row>
    <row r="265">
      <c r="J265">
        <f>IF(OR(H265="",I265=""),"",ROUND(100*H265/I265,0))</f>
        <v/>
      </c>
      <c r="M265">
        <f>IF(D265="","",IFERROR(INDEX(Classes!$B$2:$B$200,MATCH(D265,Classes!$E$2:$E$200,0)),""))</f>
        <v/>
      </c>
    </row>
    <row r="266">
      <c r="J266">
        <f>IF(OR(H266="",I266=""),"",ROUND(100*H266/I266,0))</f>
        <v/>
      </c>
      <c r="M266">
        <f>IF(D266="","",IFERROR(INDEX(Classes!$B$2:$B$200,MATCH(D266,Classes!$E$2:$E$200,0)),""))</f>
        <v/>
      </c>
    </row>
    <row r="267">
      <c r="J267">
        <f>IF(OR(H267="",I267=""),"",ROUND(100*H267/I267,0))</f>
        <v/>
      </c>
      <c r="M267">
        <f>IF(D267="","",IFERROR(INDEX(Classes!$B$2:$B$200,MATCH(D267,Classes!$E$2:$E$200,0)),""))</f>
        <v/>
      </c>
    </row>
    <row r="268">
      <c r="J268">
        <f>IF(OR(H268="",I268=""),"",ROUND(100*H268/I268,0))</f>
        <v/>
      </c>
      <c r="M268">
        <f>IF(D268="","",IFERROR(INDEX(Classes!$B$2:$B$200,MATCH(D268,Classes!$E$2:$E$200,0)),""))</f>
        <v/>
      </c>
    </row>
    <row r="269">
      <c r="J269">
        <f>IF(OR(H269="",I269=""),"",ROUND(100*H269/I269,0))</f>
        <v/>
      </c>
      <c r="M269">
        <f>IF(D269="","",IFERROR(INDEX(Classes!$B$2:$B$200,MATCH(D269,Classes!$E$2:$E$200,0)),""))</f>
        <v/>
      </c>
    </row>
    <row r="270">
      <c r="J270">
        <f>IF(OR(H270="",I270=""),"",ROUND(100*H270/I270,0))</f>
        <v/>
      </c>
      <c r="M270">
        <f>IF(D270="","",IFERROR(INDEX(Classes!$B$2:$B$200,MATCH(D270,Classes!$E$2:$E$200,0)),""))</f>
        <v/>
      </c>
    </row>
    <row r="271">
      <c r="J271">
        <f>IF(OR(H271="",I271=""),"",ROUND(100*H271/I271,0))</f>
        <v/>
      </c>
      <c r="M271">
        <f>IF(D271="","",IFERROR(INDEX(Classes!$B$2:$B$200,MATCH(D271,Classes!$E$2:$E$200,0)),""))</f>
        <v/>
      </c>
    </row>
    <row r="272">
      <c r="J272">
        <f>IF(OR(H272="",I272=""),"",ROUND(100*H272/I272,0))</f>
        <v/>
      </c>
      <c r="M272">
        <f>IF(D272="","",IFERROR(INDEX(Classes!$B$2:$B$200,MATCH(D272,Classes!$E$2:$E$200,0)),""))</f>
        <v/>
      </c>
    </row>
    <row r="273">
      <c r="J273">
        <f>IF(OR(H273="",I273=""),"",ROUND(100*H273/I273,0))</f>
        <v/>
      </c>
      <c r="M273">
        <f>IF(D273="","",IFERROR(INDEX(Classes!$B$2:$B$200,MATCH(D273,Classes!$E$2:$E$200,0)),""))</f>
        <v/>
      </c>
    </row>
    <row r="274">
      <c r="J274">
        <f>IF(OR(H274="",I274=""),"",ROUND(100*H274/I274,0))</f>
        <v/>
      </c>
      <c r="M274">
        <f>IF(D274="","",IFERROR(INDEX(Classes!$B$2:$B$200,MATCH(D274,Classes!$E$2:$E$200,0)),""))</f>
        <v/>
      </c>
    </row>
    <row r="275">
      <c r="J275">
        <f>IF(OR(H275="",I275=""),"",ROUND(100*H275/I275,0))</f>
        <v/>
      </c>
      <c r="M275">
        <f>IF(D275="","",IFERROR(INDEX(Classes!$B$2:$B$200,MATCH(D275,Classes!$E$2:$E$200,0)),""))</f>
        <v/>
      </c>
    </row>
    <row r="276">
      <c r="J276">
        <f>IF(OR(H276="",I276=""),"",ROUND(100*H276/I276,0))</f>
        <v/>
      </c>
      <c r="M276">
        <f>IF(D276="","",IFERROR(INDEX(Classes!$B$2:$B$200,MATCH(D276,Classes!$E$2:$E$200,0)),""))</f>
        <v/>
      </c>
    </row>
    <row r="277">
      <c r="J277">
        <f>IF(OR(H277="",I277=""),"",ROUND(100*H277/I277,0))</f>
        <v/>
      </c>
      <c r="M277">
        <f>IF(D277="","",IFERROR(INDEX(Classes!$B$2:$B$200,MATCH(D277,Classes!$E$2:$E$200,0)),""))</f>
        <v/>
      </c>
    </row>
    <row r="278">
      <c r="J278">
        <f>IF(OR(H278="",I278=""),"",ROUND(100*H278/I278,0))</f>
        <v/>
      </c>
      <c r="M278">
        <f>IF(D278="","",IFERROR(INDEX(Classes!$B$2:$B$200,MATCH(D278,Classes!$E$2:$E$200,0)),""))</f>
        <v/>
      </c>
    </row>
    <row r="279">
      <c r="J279">
        <f>IF(OR(H279="",I279=""),"",ROUND(100*H279/I279,0))</f>
        <v/>
      </c>
      <c r="M279">
        <f>IF(D279="","",IFERROR(INDEX(Classes!$B$2:$B$200,MATCH(D279,Classes!$E$2:$E$200,0)),""))</f>
        <v/>
      </c>
    </row>
    <row r="280">
      <c r="J280">
        <f>IF(OR(H280="",I280=""),"",ROUND(100*H280/I280,0))</f>
        <v/>
      </c>
      <c r="M280">
        <f>IF(D280="","",IFERROR(INDEX(Classes!$B$2:$B$200,MATCH(D280,Classes!$E$2:$E$200,0)),""))</f>
        <v/>
      </c>
    </row>
    <row r="281">
      <c r="J281">
        <f>IF(OR(H281="",I281=""),"",ROUND(100*H281/I281,0))</f>
        <v/>
      </c>
      <c r="M281">
        <f>IF(D281="","",IFERROR(INDEX(Classes!$B$2:$B$200,MATCH(D281,Classes!$E$2:$E$200,0)),""))</f>
        <v/>
      </c>
    </row>
    <row r="282">
      <c r="J282">
        <f>IF(OR(H282="",I282=""),"",ROUND(100*H282/I282,0))</f>
        <v/>
      </c>
      <c r="M282">
        <f>IF(D282="","",IFERROR(INDEX(Classes!$B$2:$B$200,MATCH(D282,Classes!$E$2:$E$200,0)),""))</f>
        <v/>
      </c>
    </row>
    <row r="283">
      <c r="J283">
        <f>IF(OR(H283="",I283=""),"",ROUND(100*H283/I283,0))</f>
        <v/>
      </c>
      <c r="M283">
        <f>IF(D283="","",IFERROR(INDEX(Classes!$B$2:$B$200,MATCH(D283,Classes!$E$2:$E$200,0)),""))</f>
        <v/>
      </c>
    </row>
    <row r="284">
      <c r="J284">
        <f>IF(OR(H284="",I284=""),"",ROUND(100*H284/I284,0))</f>
        <v/>
      </c>
      <c r="M284">
        <f>IF(D284="","",IFERROR(INDEX(Classes!$B$2:$B$200,MATCH(D284,Classes!$E$2:$E$200,0)),""))</f>
        <v/>
      </c>
    </row>
    <row r="285">
      <c r="J285">
        <f>IF(OR(H285="",I285=""),"",ROUND(100*H285/I285,0))</f>
        <v/>
      </c>
      <c r="M285">
        <f>IF(D285="","",IFERROR(INDEX(Classes!$B$2:$B$200,MATCH(D285,Classes!$E$2:$E$200,0)),""))</f>
        <v/>
      </c>
    </row>
    <row r="286">
      <c r="J286">
        <f>IF(OR(H286="",I286=""),"",ROUND(100*H286/I286,0))</f>
        <v/>
      </c>
      <c r="M286">
        <f>IF(D286="","",IFERROR(INDEX(Classes!$B$2:$B$200,MATCH(D286,Classes!$E$2:$E$200,0)),""))</f>
        <v/>
      </c>
    </row>
    <row r="287">
      <c r="J287">
        <f>IF(OR(H287="",I287=""),"",ROUND(100*H287/I287,0))</f>
        <v/>
      </c>
      <c r="M287">
        <f>IF(D287="","",IFERROR(INDEX(Classes!$B$2:$B$200,MATCH(D287,Classes!$E$2:$E$200,0)),""))</f>
        <v/>
      </c>
    </row>
    <row r="288">
      <c r="J288">
        <f>IF(OR(H288="",I288=""),"",ROUND(100*H288/I288,0))</f>
        <v/>
      </c>
      <c r="M288">
        <f>IF(D288="","",IFERROR(INDEX(Classes!$B$2:$B$200,MATCH(D288,Classes!$E$2:$E$200,0)),""))</f>
        <v/>
      </c>
    </row>
    <row r="289">
      <c r="J289">
        <f>IF(OR(H289="",I289=""),"",ROUND(100*H289/I289,0))</f>
        <v/>
      </c>
      <c r="M289">
        <f>IF(D289="","",IFERROR(INDEX(Classes!$B$2:$B$200,MATCH(D289,Classes!$E$2:$E$200,0)),""))</f>
        <v/>
      </c>
    </row>
    <row r="290">
      <c r="J290">
        <f>IF(OR(H290="",I290=""),"",ROUND(100*H290/I290,0))</f>
        <v/>
      </c>
      <c r="M290">
        <f>IF(D290="","",IFERROR(INDEX(Classes!$B$2:$B$200,MATCH(D290,Classes!$E$2:$E$200,0)),""))</f>
        <v/>
      </c>
    </row>
    <row r="291">
      <c r="J291">
        <f>IF(OR(H291="",I291=""),"",ROUND(100*H291/I291,0))</f>
        <v/>
      </c>
      <c r="M291">
        <f>IF(D291="","",IFERROR(INDEX(Classes!$B$2:$B$200,MATCH(D291,Classes!$E$2:$E$200,0)),""))</f>
        <v/>
      </c>
    </row>
    <row r="292">
      <c r="J292">
        <f>IF(OR(H292="",I292=""),"",ROUND(100*H292/I292,0))</f>
        <v/>
      </c>
      <c r="M292">
        <f>IF(D292="","",IFERROR(INDEX(Classes!$B$2:$B$200,MATCH(D292,Classes!$E$2:$E$200,0)),""))</f>
        <v/>
      </c>
    </row>
    <row r="293">
      <c r="J293">
        <f>IF(OR(H293="",I293=""),"",ROUND(100*H293/I293,0))</f>
        <v/>
      </c>
      <c r="M293">
        <f>IF(D293="","",IFERROR(INDEX(Classes!$B$2:$B$200,MATCH(D293,Classes!$E$2:$E$200,0)),""))</f>
        <v/>
      </c>
    </row>
    <row r="294">
      <c r="J294">
        <f>IF(OR(H294="",I294=""),"",ROUND(100*H294/I294,0))</f>
        <v/>
      </c>
      <c r="M294">
        <f>IF(D294="","",IFERROR(INDEX(Classes!$B$2:$B$200,MATCH(D294,Classes!$E$2:$E$200,0)),""))</f>
        <v/>
      </c>
    </row>
    <row r="295">
      <c r="J295">
        <f>IF(OR(H295="",I295=""),"",ROUND(100*H295/I295,0))</f>
        <v/>
      </c>
      <c r="M295">
        <f>IF(D295="","",IFERROR(INDEX(Classes!$B$2:$B$200,MATCH(D295,Classes!$E$2:$E$200,0)),""))</f>
        <v/>
      </c>
    </row>
    <row r="296">
      <c r="J296">
        <f>IF(OR(H296="",I296=""),"",ROUND(100*H296/I296,0))</f>
        <v/>
      </c>
      <c r="M296">
        <f>IF(D296="","",IFERROR(INDEX(Classes!$B$2:$B$200,MATCH(D296,Classes!$E$2:$E$200,0)),""))</f>
        <v/>
      </c>
    </row>
    <row r="297">
      <c r="J297">
        <f>IF(OR(H297="",I297=""),"",ROUND(100*H297/I297,0))</f>
        <v/>
      </c>
      <c r="M297">
        <f>IF(D297="","",IFERROR(INDEX(Classes!$B$2:$B$200,MATCH(D297,Classes!$E$2:$E$200,0)),""))</f>
        <v/>
      </c>
    </row>
    <row r="298">
      <c r="J298">
        <f>IF(OR(H298="",I298=""),"",ROUND(100*H298/I298,0))</f>
        <v/>
      </c>
      <c r="M298">
        <f>IF(D298="","",IFERROR(INDEX(Classes!$B$2:$B$200,MATCH(D298,Classes!$E$2:$E$200,0)),""))</f>
        <v/>
      </c>
    </row>
    <row r="299">
      <c r="J299">
        <f>IF(OR(H299="",I299=""),"",ROUND(100*H299/I299,0))</f>
        <v/>
      </c>
      <c r="M299">
        <f>IF(D299="","",IFERROR(INDEX(Classes!$B$2:$B$200,MATCH(D299,Classes!$E$2:$E$200,0)),""))</f>
        <v/>
      </c>
    </row>
    <row r="300">
      <c r="J300">
        <f>IF(OR(H300="",I300=""),"",ROUND(100*H300/I300,0))</f>
        <v/>
      </c>
      <c r="M300">
        <f>IF(D300="","",IFERROR(INDEX(Classes!$B$2:$B$200,MATCH(D300,Classes!$E$2:$E$200,0)),""))</f>
        <v/>
      </c>
    </row>
    <row r="301">
      <c r="J301">
        <f>IF(OR(H301="",I301=""),"",ROUND(100*H301/I301,0))</f>
        <v/>
      </c>
      <c r="M301">
        <f>IF(D301="","",IFERROR(INDEX(Classes!$B$2:$B$200,MATCH(D301,Classes!$E$2:$E$200,0)),""))</f>
        <v/>
      </c>
    </row>
    <row r="302">
      <c r="J302">
        <f>IF(OR(H302="",I302=""),"",ROUND(100*H302/I302,0))</f>
        <v/>
      </c>
      <c r="M302">
        <f>IF(D302="","",IFERROR(INDEX(Classes!$B$2:$B$200,MATCH(D302,Classes!$E$2:$E$200,0)),""))</f>
        <v/>
      </c>
    </row>
    <row r="303">
      <c r="J303">
        <f>IF(OR(H303="",I303=""),"",ROUND(100*H303/I303,0))</f>
        <v/>
      </c>
      <c r="M303">
        <f>IF(D303="","",IFERROR(INDEX(Classes!$B$2:$B$200,MATCH(D303,Classes!$E$2:$E$200,0)),""))</f>
        <v/>
      </c>
    </row>
    <row r="304">
      <c r="J304">
        <f>IF(OR(H304="",I304=""),"",ROUND(100*H304/I304,0))</f>
        <v/>
      </c>
      <c r="M304">
        <f>IF(D304="","",IFERROR(INDEX(Classes!$B$2:$B$200,MATCH(D304,Classes!$E$2:$E$200,0)),""))</f>
        <v/>
      </c>
    </row>
    <row r="305">
      <c r="J305">
        <f>IF(OR(H305="",I305=""),"",ROUND(100*H305/I305,0))</f>
        <v/>
      </c>
      <c r="M305">
        <f>IF(D305="","",IFERROR(INDEX(Classes!$B$2:$B$200,MATCH(D305,Classes!$E$2:$E$200,0)),""))</f>
        <v/>
      </c>
    </row>
    <row r="306">
      <c r="J306">
        <f>IF(OR(H306="",I306=""),"",ROUND(100*H306/I306,0))</f>
        <v/>
      </c>
      <c r="M306">
        <f>IF(D306="","",IFERROR(INDEX(Classes!$B$2:$B$200,MATCH(D306,Classes!$E$2:$E$200,0)),""))</f>
        <v/>
      </c>
    </row>
    <row r="307">
      <c r="J307">
        <f>IF(OR(H307="",I307=""),"",ROUND(100*H307/I307,0))</f>
        <v/>
      </c>
      <c r="M307">
        <f>IF(D307="","",IFERROR(INDEX(Classes!$B$2:$B$200,MATCH(D307,Classes!$E$2:$E$200,0)),""))</f>
        <v/>
      </c>
    </row>
    <row r="308">
      <c r="J308">
        <f>IF(OR(H308="",I308=""),"",ROUND(100*H308/I308,0))</f>
        <v/>
      </c>
      <c r="M308">
        <f>IF(D308="","",IFERROR(INDEX(Classes!$B$2:$B$200,MATCH(D308,Classes!$E$2:$E$200,0)),""))</f>
        <v/>
      </c>
    </row>
    <row r="309">
      <c r="J309">
        <f>IF(OR(H309="",I309=""),"",ROUND(100*H309/I309,0))</f>
        <v/>
      </c>
      <c r="M309">
        <f>IF(D309="","",IFERROR(INDEX(Classes!$B$2:$B$200,MATCH(D309,Classes!$E$2:$E$200,0)),""))</f>
        <v/>
      </c>
    </row>
    <row r="310">
      <c r="J310">
        <f>IF(OR(H310="",I310=""),"",ROUND(100*H310/I310,0))</f>
        <v/>
      </c>
      <c r="M310">
        <f>IF(D310="","",IFERROR(INDEX(Classes!$B$2:$B$200,MATCH(D310,Classes!$E$2:$E$200,0)),""))</f>
        <v/>
      </c>
    </row>
    <row r="311">
      <c r="J311">
        <f>IF(OR(H311="",I311=""),"",ROUND(100*H311/I311,0))</f>
        <v/>
      </c>
      <c r="M311">
        <f>IF(D311="","",IFERROR(INDEX(Classes!$B$2:$B$200,MATCH(D311,Classes!$E$2:$E$200,0)),""))</f>
        <v/>
      </c>
    </row>
    <row r="312">
      <c r="J312">
        <f>IF(OR(H312="",I312=""),"",ROUND(100*H312/I312,0))</f>
        <v/>
      </c>
      <c r="M312">
        <f>IF(D312="","",IFERROR(INDEX(Classes!$B$2:$B$200,MATCH(D312,Classes!$E$2:$E$200,0)),""))</f>
        <v/>
      </c>
    </row>
    <row r="313">
      <c r="J313">
        <f>IF(OR(H313="",I313=""),"",ROUND(100*H313/I313,0))</f>
        <v/>
      </c>
      <c r="M313">
        <f>IF(D313="","",IFERROR(INDEX(Classes!$B$2:$B$200,MATCH(D313,Classes!$E$2:$E$200,0)),""))</f>
        <v/>
      </c>
    </row>
    <row r="314">
      <c r="J314">
        <f>IF(OR(H314="",I314=""),"",ROUND(100*H314/I314,0))</f>
        <v/>
      </c>
      <c r="M314">
        <f>IF(D314="","",IFERROR(INDEX(Classes!$B$2:$B$200,MATCH(D314,Classes!$E$2:$E$200,0)),""))</f>
        <v/>
      </c>
    </row>
    <row r="315">
      <c r="J315">
        <f>IF(OR(H315="",I315=""),"",ROUND(100*H315/I315,0))</f>
        <v/>
      </c>
      <c r="M315">
        <f>IF(D315="","",IFERROR(INDEX(Classes!$B$2:$B$200,MATCH(D315,Classes!$E$2:$E$200,0)),""))</f>
        <v/>
      </c>
    </row>
    <row r="316">
      <c r="J316">
        <f>IF(OR(H316="",I316=""),"",ROUND(100*H316/I316,0))</f>
        <v/>
      </c>
      <c r="M316">
        <f>IF(D316="","",IFERROR(INDEX(Classes!$B$2:$B$200,MATCH(D316,Classes!$E$2:$E$200,0)),""))</f>
        <v/>
      </c>
    </row>
    <row r="317">
      <c r="J317">
        <f>IF(OR(H317="",I317=""),"",ROUND(100*H317/I317,0))</f>
        <v/>
      </c>
      <c r="M317">
        <f>IF(D317="","",IFERROR(INDEX(Classes!$B$2:$B$200,MATCH(D317,Classes!$E$2:$E$200,0)),""))</f>
        <v/>
      </c>
    </row>
    <row r="318">
      <c r="J318">
        <f>IF(OR(H318="",I318=""),"",ROUND(100*H318/I318,0))</f>
        <v/>
      </c>
      <c r="M318">
        <f>IF(D318="","",IFERROR(INDEX(Classes!$B$2:$B$200,MATCH(D318,Classes!$E$2:$E$200,0)),""))</f>
        <v/>
      </c>
    </row>
    <row r="319">
      <c r="J319">
        <f>IF(OR(H319="",I319=""),"",ROUND(100*H319/I319,0))</f>
        <v/>
      </c>
      <c r="M319">
        <f>IF(D319="","",IFERROR(INDEX(Classes!$B$2:$B$200,MATCH(D319,Classes!$E$2:$E$200,0)),""))</f>
        <v/>
      </c>
    </row>
    <row r="320">
      <c r="J320">
        <f>IF(OR(H320="",I320=""),"",ROUND(100*H320/I320,0))</f>
        <v/>
      </c>
      <c r="M320">
        <f>IF(D320="","",IFERROR(INDEX(Classes!$B$2:$B$200,MATCH(D320,Classes!$E$2:$E$200,0)),""))</f>
        <v/>
      </c>
    </row>
    <row r="321">
      <c r="J321">
        <f>IF(OR(H321="",I321=""),"",ROUND(100*H321/I321,0))</f>
        <v/>
      </c>
      <c r="M321">
        <f>IF(D321="","",IFERROR(INDEX(Classes!$B$2:$B$200,MATCH(D321,Classes!$E$2:$E$200,0)),""))</f>
        <v/>
      </c>
    </row>
    <row r="322">
      <c r="J322">
        <f>IF(OR(H322="",I322=""),"",ROUND(100*H322/I322,0))</f>
        <v/>
      </c>
      <c r="M322">
        <f>IF(D322="","",IFERROR(INDEX(Classes!$B$2:$B$200,MATCH(D322,Classes!$E$2:$E$200,0)),""))</f>
        <v/>
      </c>
    </row>
    <row r="323">
      <c r="J323">
        <f>IF(OR(H323="",I323=""),"",ROUND(100*H323/I323,0))</f>
        <v/>
      </c>
      <c r="M323">
        <f>IF(D323="","",IFERROR(INDEX(Classes!$B$2:$B$200,MATCH(D323,Classes!$E$2:$E$200,0)),""))</f>
        <v/>
      </c>
    </row>
    <row r="324">
      <c r="J324">
        <f>IF(OR(H324="",I324=""),"",ROUND(100*H324/I324,0))</f>
        <v/>
      </c>
      <c r="M324">
        <f>IF(D324="","",IFERROR(INDEX(Classes!$B$2:$B$200,MATCH(D324,Classes!$E$2:$E$200,0)),""))</f>
        <v/>
      </c>
    </row>
    <row r="325">
      <c r="J325">
        <f>IF(OR(H325="",I325=""),"",ROUND(100*H325/I325,0))</f>
        <v/>
      </c>
      <c r="M325">
        <f>IF(D325="","",IFERROR(INDEX(Classes!$B$2:$B$200,MATCH(D325,Classes!$E$2:$E$200,0)),""))</f>
        <v/>
      </c>
    </row>
    <row r="326">
      <c r="J326">
        <f>IF(OR(H326="",I326=""),"",ROUND(100*H326/I326,0))</f>
        <v/>
      </c>
      <c r="M326">
        <f>IF(D326="","",IFERROR(INDEX(Classes!$B$2:$B$200,MATCH(D326,Classes!$E$2:$E$200,0)),""))</f>
        <v/>
      </c>
    </row>
    <row r="327">
      <c r="J327">
        <f>IF(OR(H327="",I327=""),"",ROUND(100*H327/I327,0))</f>
        <v/>
      </c>
      <c r="M327">
        <f>IF(D327="","",IFERROR(INDEX(Classes!$B$2:$B$200,MATCH(D327,Classes!$E$2:$E$200,0)),""))</f>
        <v/>
      </c>
    </row>
    <row r="328">
      <c r="J328">
        <f>IF(OR(H328="",I328=""),"",ROUND(100*H328/I328,0))</f>
        <v/>
      </c>
      <c r="M328">
        <f>IF(D328="","",IFERROR(INDEX(Classes!$B$2:$B$200,MATCH(D328,Classes!$E$2:$E$200,0)),""))</f>
        <v/>
      </c>
    </row>
    <row r="329">
      <c r="J329">
        <f>IF(OR(H329="",I329=""),"",ROUND(100*H329/I329,0))</f>
        <v/>
      </c>
      <c r="M329">
        <f>IF(D329="","",IFERROR(INDEX(Classes!$B$2:$B$200,MATCH(D329,Classes!$E$2:$E$200,0)),""))</f>
        <v/>
      </c>
    </row>
    <row r="330">
      <c r="J330">
        <f>IF(OR(H330="",I330=""),"",ROUND(100*H330/I330,0))</f>
        <v/>
      </c>
      <c r="M330">
        <f>IF(D330="","",IFERROR(INDEX(Classes!$B$2:$B$200,MATCH(D330,Classes!$E$2:$E$200,0)),""))</f>
        <v/>
      </c>
    </row>
    <row r="331">
      <c r="J331">
        <f>IF(OR(H331="",I331=""),"",ROUND(100*H331/I331,0))</f>
        <v/>
      </c>
      <c r="M331">
        <f>IF(D331="","",IFERROR(INDEX(Classes!$B$2:$B$200,MATCH(D331,Classes!$E$2:$E$200,0)),""))</f>
        <v/>
      </c>
    </row>
    <row r="332">
      <c r="J332">
        <f>IF(OR(H332="",I332=""),"",ROUND(100*H332/I332,0))</f>
        <v/>
      </c>
      <c r="M332">
        <f>IF(D332="","",IFERROR(INDEX(Classes!$B$2:$B$200,MATCH(D332,Classes!$E$2:$E$200,0)),""))</f>
        <v/>
      </c>
    </row>
    <row r="333">
      <c r="J333">
        <f>IF(OR(H333="",I333=""),"",ROUND(100*H333/I333,0))</f>
        <v/>
      </c>
      <c r="M333">
        <f>IF(D333="","",IFERROR(INDEX(Classes!$B$2:$B$200,MATCH(D333,Classes!$E$2:$E$200,0)),""))</f>
        <v/>
      </c>
    </row>
    <row r="334">
      <c r="J334">
        <f>IF(OR(H334="",I334=""),"",ROUND(100*H334/I334,0))</f>
        <v/>
      </c>
      <c r="M334">
        <f>IF(D334="","",IFERROR(INDEX(Classes!$B$2:$B$200,MATCH(D334,Classes!$E$2:$E$200,0)),""))</f>
        <v/>
      </c>
    </row>
    <row r="335">
      <c r="J335">
        <f>IF(OR(H335="",I335=""),"",ROUND(100*H335/I335,0))</f>
        <v/>
      </c>
      <c r="M335">
        <f>IF(D335="","",IFERROR(INDEX(Classes!$B$2:$B$200,MATCH(D335,Classes!$E$2:$E$200,0)),""))</f>
        <v/>
      </c>
    </row>
    <row r="336">
      <c r="J336">
        <f>IF(OR(H336="",I336=""),"",ROUND(100*H336/I336,0))</f>
        <v/>
      </c>
      <c r="M336">
        <f>IF(D336="","",IFERROR(INDEX(Classes!$B$2:$B$200,MATCH(D336,Classes!$E$2:$E$200,0)),""))</f>
        <v/>
      </c>
    </row>
    <row r="337">
      <c r="J337">
        <f>IF(OR(H337="",I337=""),"",ROUND(100*H337/I337,0))</f>
        <v/>
      </c>
      <c r="M337">
        <f>IF(D337="","",IFERROR(INDEX(Classes!$B$2:$B$200,MATCH(D337,Classes!$E$2:$E$200,0)),""))</f>
        <v/>
      </c>
    </row>
    <row r="338">
      <c r="J338">
        <f>IF(OR(H338="",I338=""),"",ROUND(100*H338/I338,0))</f>
        <v/>
      </c>
      <c r="M338">
        <f>IF(D338="","",IFERROR(INDEX(Classes!$B$2:$B$200,MATCH(D338,Classes!$E$2:$E$200,0)),""))</f>
        <v/>
      </c>
    </row>
    <row r="339">
      <c r="J339">
        <f>IF(OR(H339="",I339=""),"",ROUND(100*H339/I339,0))</f>
        <v/>
      </c>
      <c r="M339">
        <f>IF(D339="","",IFERROR(INDEX(Classes!$B$2:$B$200,MATCH(D339,Classes!$E$2:$E$200,0)),""))</f>
        <v/>
      </c>
    </row>
    <row r="340">
      <c r="J340">
        <f>IF(OR(H340="",I340=""),"",ROUND(100*H340/I340,0))</f>
        <v/>
      </c>
      <c r="M340">
        <f>IF(D340="","",IFERROR(INDEX(Classes!$B$2:$B$200,MATCH(D340,Classes!$E$2:$E$200,0)),""))</f>
        <v/>
      </c>
    </row>
    <row r="341">
      <c r="J341">
        <f>IF(OR(H341="",I341=""),"",ROUND(100*H341/I341,0))</f>
        <v/>
      </c>
      <c r="M341">
        <f>IF(D341="","",IFERROR(INDEX(Classes!$B$2:$B$200,MATCH(D341,Classes!$E$2:$E$200,0)),""))</f>
        <v/>
      </c>
    </row>
    <row r="342">
      <c r="J342">
        <f>IF(OR(H342="",I342=""),"",ROUND(100*H342/I342,0))</f>
        <v/>
      </c>
      <c r="M342">
        <f>IF(D342="","",IFERROR(INDEX(Classes!$B$2:$B$200,MATCH(D342,Classes!$E$2:$E$200,0)),""))</f>
        <v/>
      </c>
    </row>
    <row r="343">
      <c r="J343">
        <f>IF(OR(H343="",I343=""),"",ROUND(100*H343/I343,0))</f>
        <v/>
      </c>
      <c r="M343">
        <f>IF(D343="","",IFERROR(INDEX(Classes!$B$2:$B$200,MATCH(D343,Classes!$E$2:$E$200,0)),""))</f>
        <v/>
      </c>
    </row>
    <row r="344">
      <c r="J344">
        <f>IF(OR(H344="",I344=""),"",ROUND(100*H344/I344,0))</f>
        <v/>
      </c>
      <c r="M344">
        <f>IF(D344="","",IFERROR(INDEX(Classes!$B$2:$B$200,MATCH(D344,Classes!$E$2:$E$200,0)),""))</f>
        <v/>
      </c>
    </row>
    <row r="345">
      <c r="J345">
        <f>IF(OR(H345="",I345=""),"",ROUND(100*H345/I345,0))</f>
        <v/>
      </c>
      <c r="M345">
        <f>IF(D345="","",IFERROR(INDEX(Classes!$B$2:$B$200,MATCH(D345,Classes!$E$2:$E$200,0)),""))</f>
        <v/>
      </c>
    </row>
    <row r="346">
      <c r="J346">
        <f>IF(OR(H346="",I346=""),"",ROUND(100*H346/I346,0))</f>
        <v/>
      </c>
      <c r="M346">
        <f>IF(D346="","",IFERROR(INDEX(Classes!$B$2:$B$200,MATCH(D346,Classes!$E$2:$E$200,0)),""))</f>
        <v/>
      </c>
    </row>
    <row r="347">
      <c r="J347">
        <f>IF(OR(H347="",I347=""),"",ROUND(100*H347/I347,0))</f>
        <v/>
      </c>
      <c r="M347">
        <f>IF(D347="","",IFERROR(INDEX(Classes!$B$2:$B$200,MATCH(D347,Classes!$E$2:$E$200,0)),""))</f>
        <v/>
      </c>
    </row>
    <row r="348">
      <c r="J348">
        <f>IF(OR(H348="",I348=""),"",ROUND(100*H348/I348,0))</f>
        <v/>
      </c>
      <c r="M348">
        <f>IF(D348="","",IFERROR(INDEX(Classes!$B$2:$B$200,MATCH(D348,Classes!$E$2:$E$200,0)),""))</f>
        <v/>
      </c>
    </row>
    <row r="349">
      <c r="J349">
        <f>IF(OR(H349="",I349=""),"",ROUND(100*H349/I349,0))</f>
        <v/>
      </c>
      <c r="M349">
        <f>IF(D349="","",IFERROR(INDEX(Classes!$B$2:$B$200,MATCH(D349,Classes!$E$2:$E$200,0)),""))</f>
        <v/>
      </c>
    </row>
    <row r="350">
      <c r="J350">
        <f>IF(OR(H350="",I350=""),"",ROUND(100*H350/I350,0))</f>
        <v/>
      </c>
      <c r="M350">
        <f>IF(D350="","",IFERROR(INDEX(Classes!$B$2:$B$200,MATCH(D350,Classes!$E$2:$E$200,0)),""))</f>
        <v/>
      </c>
    </row>
    <row r="351">
      <c r="J351">
        <f>IF(OR(H351="",I351=""),"",ROUND(100*H351/I351,0))</f>
        <v/>
      </c>
      <c r="M351">
        <f>IF(D351="","",IFERROR(INDEX(Classes!$B$2:$B$200,MATCH(D351,Classes!$E$2:$E$200,0)),""))</f>
        <v/>
      </c>
    </row>
    <row r="352">
      <c r="J352">
        <f>IF(OR(H352="",I352=""),"",ROUND(100*H352/I352,0))</f>
        <v/>
      </c>
      <c r="M352">
        <f>IF(D352="","",IFERROR(INDEX(Classes!$B$2:$B$200,MATCH(D352,Classes!$E$2:$E$200,0)),""))</f>
        <v/>
      </c>
    </row>
    <row r="353">
      <c r="J353">
        <f>IF(OR(H353="",I353=""),"",ROUND(100*H353/I353,0))</f>
        <v/>
      </c>
      <c r="M353">
        <f>IF(D353="","",IFERROR(INDEX(Classes!$B$2:$B$200,MATCH(D353,Classes!$E$2:$E$200,0)),""))</f>
        <v/>
      </c>
    </row>
    <row r="354">
      <c r="J354">
        <f>IF(OR(H354="",I354=""),"",ROUND(100*H354/I354,0))</f>
        <v/>
      </c>
      <c r="M354">
        <f>IF(D354="","",IFERROR(INDEX(Classes!$B$2:$B$200,MATCH(D354,Classes!$E$2:$E$200,0)),""))</f>
        <v/>
      </c>
    </row>
    <row r="355">
      <c r="J355">
        <f>IF(OR(H355="",I355=""),"",ROUND(100*H355/I355,0))</f>
        <v/>
      </c>
      <c r="M355">
        <f>IF(D355="","",IFERROR(INDEX(Classes!$B$2:$B$200,MATCH(D355,Classes!$E$2:$E$200,0)),""))</f>
        <v/>
      </c>
    </row>
    <row r="356">
      <c r="J356">
        <f>IF(OR(H356="",I356=""),"",ROUND(100*H356/I356,0))</f>
        <v/>
      </c>
      <c r="M356">
        <f>IF(D356="","",IFERROR(INDEX(Classes!$B$2:$B$200,MATCH(D356,Classes!$E$2:$E$200,0)),""))</f>
        <v/>
      </c>
    </row>
    <row r="357">
      <c r="J357">
        <f>IF(OR(H357="",I357=""),"",ROUND(100*H357/I357,0))</f>
        <v/>
      </c>
      <c r="M357">
        <f>IF(D357="","",IFERROR(INDEX(Classes!$B$2:$B$200,MATCH(D357,Classes!$E$2:$E$200,0)),""))</f>
        <v/>
      </c>
    </row>
    <row r="358">
      <c r="J358">
        <f>IF(OR(H358="",I358=""),"",ROUND(100*H358/I358,0))</f>
        <v/>
      </c>
      <c r="M358">
        <f>IF(D358="","",IFERROR(INDEX(Classes!$B$2:$B$200,MATCH(D358,Classes!$E$2:$E$200,0)),""))</f>
        <v/>
      </c>
    </row>
    <row r="359">
      <c r="J359">
        <f>IF(OR(H359="",I359=""),"",ROUND(100*H359/I359,0))</f>
        <v/>
      </c>
      <c r="M359">
        <f>IF(D359="","",IFERROR(INDEX(Classes!$B$2:$B$200,MATCH(D359,Classes!$E$2:$E$200,0)),""))</f>
        <v/>
      </c>
    </row>
    <row r="360">
      <c r="J360">
        <f>IF(OR(H360="",I360=""),"",ROUND(100*H360/I360,0))</f>
        <v/>
      </c>
      <c r="M360">
        <f>IF(D360="","",IFERROR(INDEX(Classes!$B$2:$B$200,MATCH(D360,Classes!$E$2:$E$200,0)),""))</f>
        <v/>
      </c>
    </row>
    <row r="361">
      <c r="J361">
        <f>IF(OR(H361="",I361=""),"",ROUND(100*H361/I361,0))</f>
        <v/>
      </c>
      <c r="M361">
        <f>IF(D361="","",IFERROR(INDEX(Classes!$B$2:$B$200,MATCH(D361,Classes!$E$2:$E$200,0)),""))</f>
        <v/>
      </c>
    </row>
    <row r="362">
      <c r="J362">
        <f>IF(OR(H362="",I362=""),"",ROUND(100*H362/I362,0))</f>
        <v/>
      </c>
      <c r="M362">
        <f>IF(D362="","",IFERROR(INDEX(Classes!$B$2:$B$200,MATCH(D362,Classes!$E$2:$E$200,0)),""))</f>
        <v/>
      </c>
    </row>
    <row r="363">
      <c r="J363">
        <f>IF(OR(H363="",I363=""),"",ROUND(100*H363/I363,0))</f>
        <v/>
      </c>
      <c r="M363">
        <f>IF(D363="","",IFERROR(INDEX(Classes!$B$2:$B$200,MATCH(D363,Classes!$E$2:$E$200,0)),""))</f>
        <v/>
      </c>
    </row>
    <row r="364">
      <c r="J364">
        <f>IF(OR(H364="",I364=""),"",ROUND(100*H364/I364,0))</f>
        <v/>
      </c>
      <c r="M364">
        <f>IF(D364="","",IFERROR(INDEX(Classes!$B$2:$B$200,MATCH(D364,Classes!$E$2:$E$200,0)),""))</f>
        <v/>
      </c>
    </row>
    <row r="365">
      <c r="J365">
        <f>IF(OR(H365="",I365=""),"",ROUND(100*H365/I365,0))</f>
        <v/>
      </c>
      <c r="M365">
        <f>IF(D365="","",IFERROR(INDEX(Classes!$B$2:$B$200,MATCH(D365,Classes!$E$2:$E$200,0)),""))</f>
        <v/>
      </c>
    </row>
    <row r="366">
      <c r="J366">
        <f>IF(OR(H366="",I366=""),"",ROUND(100*H366/I366,0))</f>
        <v/>
      </c>
      <c r="M366">
        <f>IF(D366="","",IFERROR(INDEX(Classes!$B$2:$B$200,MATCH(D366,Classes!$E$2:$E$200,0)),""))</f>
        <v/>
      </c>
    </row>
    <row r="367">
      <c r="J367">
        <f>IF(OR(H367="",I367=""),"",ROUND(100*H367/I367,0))</f>
        <v/>
      </c>
      <c r="M367">
        <f>IF(D367="","",IFERROR(INDEX(Classes!$B$2:$B$200,MATCH(D367,Classes!$E$2:$E$200,0)),""))</f>
        <v/>
      </c>
    </row>
    <row r="368">
      <c r="J368">
        <f>IF(OR(H368="",I368=""),"",ROUND(100*H368/I368,0))</f>
        <v/>
      </c>
      <c r="M368">
        <f>IF(D368="","",IFERROR(INDEX(Classes!$B$2:$B$200,MATCH(D368,Classes!$E$2:$E$200,0)),""))</f>
        <v/>
      </c>
    </row>
    <row r="369">
      <c r="J369">
        <f>IF(OR(H369="",I369=""),"",ROUND(100*H369/I369,0))</f>
        <v/>
      </c>
      <c r="M369">
        <f>IF(D369="","",IFERROR(INDEX(Classes!$B$2:$B$200,MATCH(D369,Classes!$E$2:$E$200,0)),""))</f>
        <v/>
      </c>
    </row>
    <row r="370">
      <c r="J370">
        <f>IF(OR(H370="",I370=""),"",ROUND(100*H370/I370,0))</f>
        <v/>
      </c>
      <c r="M370">
        <f>IF(D370="","",IFERROR(INDEX(Classes!$B$2:$B$200,MATCH(D370,Classes!$E$2:$E$200,0)),""))</f>
        <v/>
      </c>
    </row>
    <row r="371">
      <c r="J371">
        <f>IF(OR(H371="",I371=""),"",ROUND(100*H371/I371,0))</f>
        <v/>
      </c>
      <c r="M371">
        <f>IF(D371="","",IFERROR(INDEX(Classes!$B$2:$B$200,MATCH(D371,Classes!$E$2:$E$200,0)),""))</f>
        <v/>
      </c>
    </row>
    <row r="372">
      <c r="J372">
        <f>IF(OR(H372="",I372=""),"",ROUND(100*H372/I372,0))</f>
        <v/>
      </c>
      <c r="M372">
        <f>IF(D372="","",IFERROR(INDEX(Classes!$B$2:$B$200,MATCH(D372,Classes!$E$2:$E$200,0)),""))</f>
        <v/>
      </c>
    </row>
    <row r="373">
      <c r="J373">
        <f>IF(OR(H373="",I373=""),"",ROUND(100*H373/I373,0))</f>
        <v/>
      </c>
      <c r="M373">
        <f>IF(D373="","",IFERROR(INDEX(Classes!$B$2:$B$200,MATCH(D373,Classes!$E$2:$E$200,0)),""))</f>
        <v/>
      </c>
    </row>
    <row r="374">
      <c r="J374">
        <f>IF(OR(H374="",I374=""),"",ROUND(100*H374/I374,0))</f>
        <v/>
      </c>
      <c r="M374">
        <f>IF(D374="","",IFERROR(INDEX(Classes!$B$2:$B$200,MATCH(D374,Classes!$E$2:$E$200,0)),""))</f>
        <v/>
      </c>
    </row>
    <row r="375">
      <c r="J375">
        <f>IF(OR(H375="",I375=""),"",ROUND(100*H375/I375,0))</f>
        <v/>
      </c>
      <c r="M375">
        <f>IF(D375="","",IFERROR(INDEX(Classes!$B$2:$B$200,MATCH(D375,Classes!$E$2:$E$200,0)),""))</f>
        <v/>
      </c>
    </row>
    <row r="376">
      <c r="J376">
        <f>IF(OR(H376="",I376=""),"",ROUND(100*H376/I376,0))</f>
        <v/>
      </c>
      <c r="M376">
        <f>IF(D376="","",IFERROR(INDEX(Classes!$B$2:$B$200,MATCH(D376,Classes!$E$2:$E$200,0)),""))</f>
        <v/>
      </c>
    </row>
    <row r="377">
      <c r="J377">
        <f>IF(OR(H377="",I377=""),"",ROUND(100*H377/I377,0))</f>
        <v/>
      </c>
      <c r="M377">
        <f>IF(D377="","",IFERROR(INDEX(Classes!$B$2:$B$200,MATCH(D377,Classes!$E$2:$E$200,0)),""))</f>
        <v/>
      </c>
    </row>
    <row r="378">
      <c r="J378">
        <f>IF(OR(H378="",I378=""),"",ROUND(100*H378/I378,0))</f>
        <v/>
      </c>
      <c r="M378">
        <f>IF(D378="","",IFERROR(INDEX(Classes!$B$2:$B$200,MATCH(D378,Classes!$E$2:$E$200,0)),""))</f>
        <v/>
      </c>
    </row>
    <row r="379">
      <c r="J379">
        <f>IF(OR(H379="",I379=""),"",ROUND(100*H379/I379,0))</f>
        <v/>
      </c>
      <c r="M379">
        <f>IF(D379="","",IFERROR(INDEX(Classes!$B$2:$B$200,MATCH(D379,Classes!$E$2:$E$200,0)),""))</f>
        <v/>
      </c>
    </row>
    <row r="380">
      <c r="J380">
        <f>IF(OR(H380="",I380=""),"",ROUND(100*H380/I380,0))</f>
        <v/>
      </c>
      <c r="M380">
        <f>IF(D380="","",IFERROR(INDEX(Classes!$B$2:$B$200,MATCH(D380,Classes!$E$2:$E$200,0)),""))</f>
        <v/>
      </c>
    </row>
    <row r="381">
      <c r="J381">
        <f>IF(OR(H381="",I381=""),"",ROUND(100*H381/I381,0))</f>
        <v/>
      </c>
      <c r="M381">
        <f>IF(D381="","",IFERROR(INDEX(Classes!$B$2:$B$200,MATCH(D381,Classes!$E$2:$E$200,0)),""))</f>
        <v/>
      </c>
    </row>
    <row r="382">
      <c r="J382">
        <f>IF(OR(H382="",I382=""),"",ROUND(100*H382/I382,0))</f>
        <v/>
      </c>
      <c r="M382">
        <f>IF(D382="","",IFERROR(INDEX(Classes!$B$2:$B$200,MATCH(D382,Classes!$E$2:$E$200,0)),""))</f>
        <v/>
      </c>
    </row>
    <row r="383">
      <c r="J383">
        <f>IF(OR(H383="",I383=""),"",ROUND(100*H383/I383,0))</f>
        <v/>
      </c>
      <c r="M383">
        <f>IF(D383="","",IFERROR(INDEX(Classes!$B$2:$B$200,MATCH(D383,Classes!$E$2:$E$200,0)),""))</f>
        <v/>
      </c>
    </row>
    <row r="384">
      <c r="J384">
        <f>IF(OR(H384="",I384=""),"",ROUND(100*H384/I384,0))</f>
        <v/>
      </c>
      <c r="M384">
        <f>IF(D384="","",IFERROR(INDEX(Classes!$B$2:$B$200,MATCH(D384,Classes!$E$2:$E$200,0)),""))</f>
        <v/>
      </c>
    </row>
    <row r="385">
      <c r="J385">
        <f>IF(OR(H385="",I385=""),"",ROUND(100*H385/I385,0))</f>
        <v/>
      </c>
      <c r="M385">
        <f>IF(D385="","",IFERROR(INDEX(Classes!$B$2:$B$200,MATCH(D385,Classes!$E$2:$E$200,0)),""))</f>
        <v/>
      </c>
    </row>
    <row r="386">
      <c r="J386">
        <f>IF(OR(H386="",I386=""),"",ROUND(100*H386/I386,0))</f>
        <v/>
      </c>
      <c r="M386">
        <f>IF(D386="","",IFERROR(INDEX(Classes!$B$2:$B$200,MATCH(D386,Classes!$E$2:$E$200,0)),""))</f>
        <v/>
      </c>
    </row>
    <row r="387">
      <c r="J387">
        <f>IF(OR(H387="",I387=""),"",ROUND(100*H387/I387,0))</f>
        <v/>
      </c>
      <c r="M387">
        <f>IF(D387="","",IFERROR(INDEX(Classes!$B$2:$B$200,MATCH(D387,Classes!$E$2:$E$200,0)),""))</f>
        <v/>
      </c>
    </row>
    <row r="388">
      <c r="J388">
        <f>IF(OR(H388="",I388=""),"",ROUND(100*H388/I388,0))</f>
        <v/>
      </c>
      <c r="M388">
        <f>IF(D388="","",IFERROR(INDEX(Classes!$B$2:$B$200,MATCH(D388,Classes!$E$2:$E$200,0)),""))</f>
        <v/>
      </c>
    </row>
    <row r="389">
      <c r="J389">
        <f>IF(OR(H389="",I389=""),"",ROUND(100*H389/I389,0))</f>
        <v/>
      </c>
      <c r="M389">
        <f>IF(D389="","",IFERROR(INDEX(Classes!$B$2:$B$200,MATCH(D389,Classes!$E$2:$E$200,0)),""))</f>
        <v/>
      </c>
    </row>
    <row r="390">
      <c r="J390">
        <f>IF(OR(H390="",I390=""),"",ROUND(100*H390/I390,0))</f>
        <v/>
      </c>
      <c r="M390">
        <f>IF(D390="","",IFERROR(INDEX(Classes!$B$2:$B$200,MATCH(D390,Classes!$E$2:$E$200,0)),""))</f>
        <v/>
      </c>
    </row>
    <row r="391">
      <c r="J391">
        <f>IF(OR(H391="",I391=""),"",ROUND(100*H391/I391,0))</f>
        <v/>
      </c>
      <c r="M391">
        <f>IF(D391="","",IFERROR(INDEX(Classes!$B$2:$B$200,MATCH(D391,Classes!$E$2:$E$200,0)),""))</f>
        <v/>
      </c>
    </row>
    <row r="392">
      <c r="J392">
        <f>IF(OR(H392="",I392=""),"",ROUND(100*H392/I392,0))</f>
        <v/>
      </c>
      <c r="M392">
        <f>IF(D392="","",IFERROR(INDEX(Classes!$B$2:$B$200,MATCH(D392,Classes!$E$2:$E$200,0)),""))</f>
        <v/>
      </c>
    </row>
    <row r="393">
      <c r="J393">
        <f>IF(OR(H393="",I393=""),"",ROUND(100*H393/I393,0))</f>
        <v/>
      </c>
      <c r="M393">
        <f>IF(D393="","",IFERROR(INDEX(Classes!$B$2:$B$200,MATCH(D393,Classes!$E$2:$E$200,0)),""))</f>
        <v/>
      </c>
    </row>
    <row r="394">
      <c r="J394">
        <f>IF(OR(H394="",I394=""),"",ROUND(100*H394/I394,0))</f>
        <v/>
      </c>
      <c r="M394">
        <f>IF(D394="","",IFERROR(INDEX(Classes!$B$2:$B$200,MATCH(D394,Classes!$E$2:$E$200,0)),""))</f>
        <v/>
      </c>
    </row>
    <row r="395">
      <c r="J395">
        <f>IF(OR(H395="",I395=""),"",ROUND(100*H395/I395,0))</f>
        <v/>
      </c>
      <c r="M395">
        <f>IF(D395="","",IFERROR(INDEX(Classes!$B$2:$B$200,MATCH(D395,Classes!$E$2:$E$200,0)),""))</f>
        <v/>
      </c>
    </row>
    <row r="396">
      <c r="J396">
        <f>IF(OR(H396="",I396=""),"",ROUND(100*H396/I396,0))</f>
        <v/>
      </c>
      <c r="M396">
        <f>IF(D396="","",IFERROR(INDEX(Classes!$B$2:$B$200,MATCH(D396,Classes!$E$2:$E$200,0)),""))</f>
        <v/>
      </c>
    </row>
    <row r="397">
      <c r="J397">
        <f>IF(OR(H397="",I397=""),"",ROUND(100*H397/I397,0))</f>
        <v/>
      </c>
      <c r="M397">
        <f>IF(D397="","",IFERROR(INDEX(Classes!$B$2:$B$200,MATCH(D397,Classes!$E$2:$E$200,0)),""))</f>
        <v/>
      </c>
    </row>
    <row r="398">
      <c r="J398">
        <f>IF(OR(H398="",I398=""),"",ROUND(100*H398/I398,0))</f>
        <v/>
      </c>
      <c r="M398">
        <f>IF(D398="","",IFERROR(INDEX(Classes!$B$2:$B$200,MATCH(D398,Classes!$E$2:$E$200,0)),""))</f>
        <v/>
      </c>
    </row>
    <row r="399">
      <c r="J399">
        <f>IF(OR(H399="",I399=""),"",ROUND(100*H399/I399,0))</f>
        <v/>
      </c>
      <c r="M399">
        <f>IF(D399="","",IFERROR(INDEX(Classes!$B$2:$B$200,MATCH(D399,Classes!$E$2:$E$200,0)),""))</f>
        <v/>
      </c>
    </row>
    <row r="400">
      <c r="J400">
        <f>IF(OR(H400="",I400=""),"",ROUND(100*H400/I400,0))</f>
        <v/>
      </c>
      <c r="M400">
        <f>IF(D400="","",IFERROR(INDEX(Classes!$B$2:$B$200,MATCH(D400,Classes!$E$2:$E$200,0)),""))</f>
        <v/>
      </c>
    </row>
    <row r="401">
      <c r="J401">
        <f>IF(OR(H401="",I401=""),"",ROUND(100*H401/I401,0))</f>
        <v/>
      </c>
      <c r="M401">
        <f>IF(D401="","",IFERROR(INDEX(Classes!$B$2:$B$200,MATCH(D401,Classes!$E$2:$E$200,0)),""))</f>
        <v/>
      </c>
    </row>
    <row r="402">
      <c r="J402">
        <f>IF(OR(H402="",I402=""),"",ROUND(100*H402/I402,0))</f>
        <v/>
      </c>
      <c r="M402">
        <f>IF(D402="","",IFERROR(INDEX(Classes!$B$2:$B$200,MATCH(D402,Classes!$E$2:$E$200,0)),""))</f>
        <v/>
      </c>
    </row>
    <row r="403">
      <c r="J403">
        <f>IF(OR(H403="",I403=""),"",ROUND(100*H403/I403,0))</f>
        <v/>
      </c>
      <c r="M403">
        <f>IF(D403="","",IFERROR(INDEX(Classes!$B$2:$B$200,MATCH(D403,Classes!$E$2:$E$200,0)),""))</f>
        <v/>
      </c>
    </row>
    <row r="404">
      <c r="J404">
        <f>IF(OR(H404="",I404=""),"",ROUND(100*H404/I404,0))</f>
        <v/>
      </c>
      <c r="M404">
        <f>IF(D404="","",IFERROR(INDEX(Classes!$B$2:$B$200,MATCH(D404,Classes!$E$2:$E$200,0)),""))</f>
        <v/>
      </c>
    </row>
    <row r="405">
      <c r="J405">
        <f>IF(OR(H405="",I405=""),"",ROUND(100*H405/I405,0))</f>
        <v/>
      </c>
      <c r="M405">
        <f>IF(D405="","",IFERROR(INDEX(Classes!$B$2:$B$200,MATCH(D405,Classes!$E$2:$E$200,0)),""))</f>
        <v/>
      </c>
    </row>
    <row r="406">
      <c r="J406">
        <f>IF(OR(H406="",I406=""),"",ROUND(100*H406/I406,0))</f>
        <v/>
      </c>
      <c r="M406">
        <f>IF(D406="","",IFERROR(INDEX(Classes!$B$2:$B$200,MATCH(D406,Classes!$E$2:$E$200,0)),""))</f>
        <v/>
      </c>
    </row>
    <row r="407">
      <c r="J407">
        <f>IF(OR(H407="",I407=""),"",ROUND(100*H407/I407,0))</f>
        <v/>
      </c>
      <c r="M407">
        <f>IF(D407="","",IFERROR(INDEX(Classes!$B$2:$B$200,MATCH(D407,Classes!$E$2:$E$200,0)),""))</f>
        <v/>
      </c>
    </row>
    <row r="408">
      <c r="J408">
        <f>IF(OR(H408="",I408=""),"",ROUND(100*H408/I408,0))</f>
        <v/>
      </c>
      <c r="M408">
        <f>IF(D408="","",IFERROR(INDEX(Classes!$B$2:$B$200,MATCH(D408,Classes!$E$2:$E$200,0)),""))</f>
        <v/>
      </c>
    </row>
    <row r="409">
      <c r="J409">
        <f>IF(OR(H409="",I409=""),"",ROUND(100*H409/I409,0))</f>
        <v/>
      </c>
      <c r="M409">
        <f>IF(D409="","",IFERROR(INDEX(Classes!$B$2:$B$200,MATCH(D409,Classes!$E$2:$E$200,0)),""))</f>
        <v/>
      </c>
    </row>
    <row r="410">
      <c r="J410">
        <f>IF(OR(H410="",I410=""),"",ROUND(100*H410/I410,0))</f>
        <v/>
      </c>
      <c r="M410">
        <f>IF(D410="","",IFERROR(INDEX(Classes!$B$2:$B$200,MATCH(D410,Classes!$E$2:$E$200,0)),""))</f>
        <v/>
      </c>
    </row>
    <row r="411">
      <c r="J411">
        <f>IF(OR(H411="",I411=""),"",ROUND(100*H411/I411,0))</f>
        <v/>
      </c>
      <c r="M411">
        <f>IF(D411="","",IFERROR(INDEX(Classes!$B$2:$B$200,MATCH(D411,Classes!$E$2:$E$200,0)),""))</f>
        <v/>
      </c>
    </row>
    <row r="412">
      <c r="J412">
        <f>IF(OR(H412="",I412=""),"",ROUND(100*H412/I412,0))</f>
        <v/>
      </c>
      <c r="M412">
        <f>IF(D412="","",IFERROR(INDEX(Classes!$B$2:$B$200,MATCH(D412,Classes!$E$2:$E$200,0)),""))</f>
        <v/>
      </c>
    </row>
    <row r="413">
      <c r="J413">
        <f>IF(OR(H413="",I413=""),"",ROUND(100*H413/I413,0))</f>
        <v/>
      </c>
      <c r="M413">
        <f>IF(D413="","",IFERROR(INDEX(Classes!$B$2:$B$200,MATCH(D413,Classes!$E$2:$E$200,0)),""))</f>
        <v/>
      </c>
    </row>
    <row r="414">
      <c r="J414">
        <f>IF(OR(H414="",I414=""),"",ROUND(100*H414/I414,0))</f>
        <v/>
      </c>
      <c r="M414">
        <f>IF(D414="","",IFERROR(INDEX(Classes!$B$2:$B$200,MATCH(D414,Classes!$E$2:$E$200,0)),""))</f>
        <v/>
      </c>
    </row>
    <row r="415">
      <c r="J415">
        <f>IF(OR(H415="",I415=""),"",ROUND(100*H415/I415,0))</f>
        <v/>
      </c>
      <c r="M415">
        <f>IF(D415="","",IFERROR(INDEX(Classes!$B$2:$B$200,MATCH(D415,Classes!$E$2:$E$200,0)),""))</f>
        <v/>
      </c>
    </row>
    <row r="416">
      <c r="J416">
        <f>IF(OR(H416="",I416=""),"",ROUND(100*H416/I416,0))</f>
        <v/>
      </c>
      <c r="M416">
        <f>IF(D416="","",IFERROR(INDEX(Classes!$B$2:$B$200,MATCH(D416,Classes!$E$2:$E$200,0)),""))</f>
        <v/>
      </c>
    </row>
    <row r="417">
      <c r="J417">
        <f>IF(OR(H417="",I417=""),"",ROUND(100*H417/I417,0))</f>
        <v/>
      </c>
      <c r="M417">
        <f>IF(D417="","",IFERROR(INDEX(Classes!$B$2:$B$200,MATCH(D417,Classes!$E$2:$E$200,0)),""))</f>
        <v/>
      </c>
    </row>
    <row r="418">
      <c r="J418">
        <f>IF(OR(H418="",I418=""),"",ROUND(100*H418/I418,0))</f>
        <v/>
      </c>
      <c r="M418">
        <f>IF(D418="","",IFERROR(INDEX(Classes!$B$2:$B$200,MATCH(D418,Classes!$E$2:$E$200,0)),""))</f>
        <v/>
      </c>
    </row>
    <row r="419">
      <c r="J419">
        <f>IF(OR(H419="",I419=""),"",ROUND(100*H419/I419,0))</f>
        <v/>
      </c>
      <c r="M419">
        <f>IF(D419="","",IFERROR(INDEX(Classes!$B$2:$B$200,MATCH(D419,Classes!$E$2:$E$200,0)),""))</f>
        <v/>
      </c>
    </row>
    <row r="420">
      <c r="J420">
        <f>IF(OR(H420="",I420=""),"",ROUND(100*H420/I420,0))</f>
        <v/>
      </c>
      <c r="M420">
        <f>IF(D420="","",IFERROR(INDEX(Classes!$B$2:$B$200,MATCH(D420,Classes!$E$2:$E$200,0)),""))</f>
        <v/>
      </c>
    </row>
    <row r="421">
      <c r="J421">
        <f>IF(OR(H421="",I421=""),"",ROUND(100*H421/I421,0))</f>
        <v/>
      </c>
      <c r="M421">
        <f>IF(D421="","",IFERROR(INDEX(Classes!$B$2:$B$200,MATCH(D421,Classes!$E$2:$E$200,0)),""))</f>
        <v/>
      </c>
    </row>
    <row r="422">
      <c r="J422">
        <f>IF(OR(H422="",I422=""),"",ROUND(100*H422/I422,0))</f>
        <v/>
      </c>
      <c r="M422">
        <f>IF(D422="","",IFERROR(INDEX(Classes!$B$2:$B$200,MATCH(D422,Classes!$E$2:$E$200,0)),""))</f>
        <v/>
      </c>
    </row>
    <row r="423">
      <c r="J423">
        <f>IF(OR(H423="",I423=""),"",ROUND(100*H423/I423,0))</f>
        <v/>
      </c>
      <c r="M423">
        <f>IF(D423="","",IFERROR(INDEX(Classes!$B$2:$B$200,MATCH(D423,Classes!$E$2:$E$200,0)),""))</f>
        <v/>
      </c>
    </row>
    <row r="424">
      <c r="J424">
        <f>IF(OR(H424="",I424=""),"",ROUND(100*H424/I424,0))</f>
        <v/>
      </c>
      <c r="M424">
        <f>IF(D424="","",IFERROR(INDEX(Classes!$B$2:$B$200,MATCH(D424,Classes!$E$2:$E$200,0)),""))</f>
        <v/>
      </c>
    </row>
    <row r="425">
      <c r="J425">
        <f>IF(OR(H425="",I425=""),"",ROUND(100*H425/I425,0))</f>
        <v/>
      </c>
      <c r="M425">
        <f>IF(D425="","",IFERROR(INDEX(Classes!$B$2:$B$200,MATCH(D425,Classes!$E$2:$E$200,0)),""))</f>
        <v/>
      </c>
    </row>
    <row r="426">
      <c r="J426">
        <f>IF(OR(H426="",I426=""),"",ROUND(100*H426/I426,0))</f>
        <v/>
      </c>
      <c r="M426">
        <f>IF(D426="","",IFERROR(INDEX(Classes!$B$2:$B$200,MATCH(D426,Classes!$E$2:$E$200,0)),""))</f>
        <v/>
      </c>
    </row>
    <row r="427">
      <c r="J427">
        <f>IF(OR(H427="",I427=""),"",ROUND(100*H427/I427,0))</f>
        <v/>
      </c>
      <c r="M427">
        <f>IF(D427="","",IFERROR(INDEX(Classes!$B$2:$B$200,MATCH(D427,Classes!$E$2:$E$200,0)),""))</f>
        <v/>
      </c>
    </row>
    <row r="428">
      <c r="J428">
        <f>IF(OR(H428="",I428=""),"",ROUND(100*H428/I428,0))</f>
        <v/>
      </c>
      <c r="M428">
        <f>IF(D428="","",IFERROR(INDEX(Classes!$B$2:$B$200,MATCH(D428,Classes!$E$2:$E$200,0)),""))</f>
        <v/>
      </c>
    </row>
    <row r="429">
      <c r="J429">
        <f>IF(OR(H429="",I429=""),"",ROUND(100*H429/I429,0))</f>
        <v/>
      </c>
      <c r="M429">
        <f>IF(D429="","",IFERROR(INDEX(Classes!$B$2:$B$200,MATCH(D429,Classes!$E$2:$E$200,0)),""))</f>
        <v/>
      </c>
    </row>
    <row r="430">
      <c r="J430">
        <f>IF(OR(H430="",I430=""),"",ROUND(100*H430/I430,0))</f>
        <v/>
      </c>
      <c r="M430">
        <f>IF(D430="","",IFERROR(INDEX(Classes!$B$2:$B$200,MATCH(D430,Classes!$E$2:$E$200,0)),""))</f>
        <v/>
      </c>
    </row>
    <row r="431">
      <c r="J431">
        <f>IF(OR(H431="",I431=""),"",ROUND(100*H431/I431,0))</f>
        <v/>
      </c>
      <c r="M431">
        <f>IF(D431="","",IFERROR(INDEX(Classes!$B$2:$B$200,MATCH(D431,Classes!$E$2:$E$200,0)),""))</f>
        <v/>
      </c>
    </row>
    <row r="432">
      <c r="J432">
        <f>IF(OR(H432="",I432=""),"",ROUND(100*H432/I432,0))</f>
        <v/>
      </c>
      <c r="M432">
        <f>IF(D432="","",IFERROR(INDEX(Classes!$B$2:$B$200,MATCH(D432,Classes!$E$2:$E$200,0)),""))</f>
        <v/>
      </c>
    </row>
    <row r="433">
      <c r="J433">
        <f>IF(OR(H433="",I433=""),"",ROUND(100*H433/I433,0))</f>
        <v/>
      </c>
      <c r="M433">
        <f>IF(D433="","",IFERROR(INDEX(Classes!$B$2:$B$200,MATCH(D433,Classes!$E$2:$E$200,0)),""))</f>
        <v/>
      </c>
    </row>
    <row r="434">
      <c r="J434">
        <f>IF(OR(H434="",I434=""),"",ROUND(100*H434/I434,0))</f>
        <v/>
      </c>
      <c r="M434">
        <f>IF(D434="","",IFERROR(INDEX(Classes!$B$2:$B$200,MATCH(D434,Classes!$E$2:$E$200,0)),""))</f>
        <v/>
      </c>
    </row>
    <row r="435">
      <c r="J435">
        <f>IF(OR(H435="",I435=""),"",ROUND(100*H435/I435,0))</f>
        <v/>
      </c>
      <c r="M435">
        <f>IF(D435="","",IFERROR(INDEX(Classes!$B$2:$B$200,MATCH(D435,Classes!$E$2:$E$200,0)),""))</f>
        <v/>
      </c>
    </row>
    <row r="436">
      <c r="J436">
        <f>IF(OR(H436="",I436=""),"",ROUND(100*H436/I436,0))</f>
        <v/>
      </c>
      <c r="M436">
        <f>IF(D436="","",IFERROR(INDEX(Classes!$B$2:$B$200,MATCH(D436,Classes!$E$2:$E$200,0)),""))</f>
        <v/>
      </c>
    </row>
    <row r="437">
      <c r="J437">
        <f>IF(OR(H437="",I437=""),"",ROUND(100*H437/I437,0))</f>
        <v/>
      </c>
      <c r="M437">
        <f>IF(D437="","",IFERROR(INDEX(Classes!$B$2:$B$200,MATCH(D437,Classes!$E$2:$E$200,0)),""))</f>
        <v/>
      </c>
    </row>
    <row r="438">
      <c r="J438">
        <f>IF(OR(H438="",I438=""),"",ROUND(100*H438/I438,0))</f>
        <v/>
      </c>
      <c r="M438">
        <f>IF(D438="","",IFERROR(INDEX(Classes!$B$2:$B$200,MATCH(D438,Classes!$E$2:$E$200,0)),""))</f>
        <v/>
      </c>
    </row>
    <row r="439">
      <c r="J439">
        <f>IF(OR(H439="",I439=""),"",ROUND(100*H439/I439,0))</f>
        <v/>
      </c>
      <c r="M439">
        <f>IF(D439="","",IFERROR(INDEX(Classes!$B$2:$B$200,MATCH(D439,Classes!$E$2:$E$200,0)),""))</f>
        <v/>
      </c>
    </row>
    <row r="440">
      <c r="J440">
        <f>IF(OR(H440="",I440=""),"",ROUND(100*H440/I440,0))</f>
        <v/>
      </c>
      <c r="M440">
        <f>IF(D440="","",IFERROR(INDEX(Classes!$B$2:$B$200,MATCH(D440,Classes!$E$2:$E$200,0)),""))</f>
        <v/>
      </c>
    </row>
    <row r="441">
      <c r="J441">
        <f>IF(OR(H441="",I441=""),"",ROUND(100*H441/I441,0))</f>
        <v/>
      </c>
      <c r="M441">
        <f>IF(D441="","",IFERROR(INDEX(Classes!$B$2:$B$200,MATCH(D441,Classes!$E$2:$E$200,0)),""))</f>
        <v/>
      </c>
    </row>
    <row r="442">
      <c r="J442">
        <f>IF(OR(H442="",I442=""),"",ROUND(100*H442/I442,0))</f>
        <v/>
      </c>
      <c r="M442">
        <f>IF(D442="","",IFERROR(INDEX(Classes!$B$2:$B$200,MATCH(D442,Classes!$E$2:$E$200,0)),""))</f>
        <v/>
      </c>
    </row>
    <row r="443">
      <c r="J443">
        <f>IF(OR(H443="",I443=""),"",ROUND(100*H443/I443,0))</f>
        <v/>
      </c>
      <c r="M443">
        <f>IF(D443="","",IFERROR(INDEX(Classes!$B$2:$B$200,MATCH(D443,Classes!$E$2:$E$200,0)),""))</f>
        <v/>
      </c>
    </row>
    <row r="444">
      <c r="J444">
        <f>IF(OR(H444="",I444=""),"",ROUND(100*H444/I444,0))</f>
        <v/>
      </c>
      <c r="M444">
        <f>IF(D444="","",IFERROR(INDEX(Classes!$B$2:$B$200,MATCH(D444,Classes!$E$2:$E$200,0)),""))</f>
        <v/>
      </c>
    </row>
    <row r="445">
      <c r="J445">
        <f>IF(OR(H445="",I445=""),"",ROUND(100*H445/I445,0))</f>
        <v/>
      </c>
      <c r="M445">
        <f>IF(D445="","",IFERROR(INDEX(Classes!$B$2:$B$200,MATCH(D445,Classes!$E$2:$E$200,0)),""))</f>
        <v/>
      </c>
    </row>
    <row r="446">
      <c r="J446">
        <f>IF(OR(H446="",I446=""),"",ROUND(100*H446/I446,0))</f>
        <v/>
      </c>
      <c r="M446">
        <f>IF(D446="","",IFERROR(INDEX(Classes!$B$2:$B$200,MATCH(D446,Classes!$E$2:$E$200,0)),""))</f>
        <v/>
      </c>
    </row>
    <row r="447">
      <c r="J447">
        <f>IF(OR(H447="",I447=""),"",ROUND(100*H447/I447,0))</f>
        <v/>
      </c>
      <c r="M447">
        <f>IF(D447="","",IFERROR(INDEX(Classes!$B$2:$B$200,MATCH(D447,Classes!$E$2:$E$200,0)),""))</f>
        <v/>
      </c>
    </row>
    <row r="448">
      <c r="J448">
        <f>IF(OR(H448="",I448=""),"",ROUND(100*H448/I448,0))</f>
        <v/>
      </c>
      <c r="M448">
        <f>IF(D448="","",IFERROR(INDEX(Classes!$B$2:$B$200,MATCH(D448,Classes!$E$2:$E$200,0)),""))</f>
        <v/>
      </c>
    </row>
    <row r="449">
      <c r="J449">
        <f>IF(OR(H449="",I449=""),"",ROUND(100*H449/I449,0))</f>
        <v/>
      </c>
      <c r="M449">
        <f>IF(D449="","",IFERROR(INDEX(Classes!$B$2:$B$200,MATCH(D449,Classes!$E$2:$E$200,0)),""))</f>
        <v/>
      </c>
    </row>
    <row r="450">
      <c r="J450">
        <f>IF(OR(H450="",I450=""),"",ROUND(100*H450/I450,0))</f>
        <v/>
      </c>
      <c r="M450">
        <f>IF(D450="","",IFERROR(INDEX(Classes!$B$2:$B$200,MATCH(D450,Classes!$E$2:$E$200,0)),""))</f>
        <v/>
      </c>
    </row>
    <row r="451">
      <c r="J451">
        <f>IF(OR(H451="",I451=""),"",ROUND(100*H451/I451,0))</f>
        <v/>
      </c>
      <c r="M451">
        <f>IF(D451="","",IFERROR(INDEX(Classes!$B$2:$B$200,MATCH(D451,Classes!$E$2:$E$200,0)),""))</f>
        <v/>
      </c>
    </row>
    <row r="452">
      <c r="J452">
        <f>IF(OR(H452="",I452=""),"",ROUND(100*H452/I452,0))</f>
        <v/>
      </c>
      <c r="M452">
        <f>IF(D452="","",IFERROR(INDEX(Classes!$B$2:$B$200,MATCH(D452,Classes!$E$2:$E$200,0)),""))</f>
        <v/>
      </c>
    </row>
    <row r="453">
      <c r="J453">
        <f>IF(OR(H453="",I453=""),"",ROUND(100*H453/I453,0))</f>
        <v/>
      </c>
      <c r="M453">
        <f>IF(D453="","",IFERROR(INDEX(Classes!$B$2:$B$200,MATCH(D453,Classes!$E$2:$E$200,0)),""))</f>
        <v/>
      </c>
    </row>
    <row r="454">
      <c r="J454">
        <f>IF(OR(H454="",I454=""),"",ROUND(100*H454/I454,0))</f>
        <v/>
      </c>
      <c r="M454">
        <f>IF(D454="","",IFERROR(INDEX(Classes!$B$2:$B$200,MATCH(D454,Classes!$E$2:$E$200,0)),""))</f>
        <v/>
      </c>
    </row>
    <row r="455">
      <c r="J455">
        <f>IF(OR(H455="",I455=""),"",ROUND(100*H455/I455,0))</f>
        <v/>
      </c>
      <c r="M455">
        <f>IF(D455="","",IFERROR(INDEX(Classes!$B$2:$B$200,MATCH(D455,Classes!$E$2:$E$200,0)),""))</f>
        <v/>
      </c>
    </row>
    <row r="456">
      <c r="J456">
        <f>IF(OR(H456="",I456=""),"",ROUND(100*H456/I456,0))</f>
        <v/>
      </c>
      <c r="M456">
        <f>IF(D456="","",IFERROR(INDEX(Classes!$B$2:$B$200,MATCH(D456,Classes!$E$2:$E$200,0)),""))</f>
        <v/>
      </c>
    </row>
    <row r="457">
      <c r="J457">
        <f>IF(OR(H457="",I457=""),"",ROUND(100*H457/I457,0))</f>
        <v/>
      </c>
      <c r="M457">
        <f>IF(D457="","",IFERROR(INDEX(Classes!$B$2:$B$200,MATCH(D457,Classes!$E$2:$E$200,0)),""))</f>
        <v/>
      </c>
    </row>
    <row r="458">
      <c r="J458">
        <f>IF(OR(H458="",I458=""),"",ROUND(100*H458/I458,0))</f>
        <v/>
      </c>
      <c r="M458">
        <f>IF(D458="","",IFERROR(INDEX(Classes!$B$2:$B$200,MATCH(D458,Classes!$E$2:$E$200,0)),""))</f>
        <v/>
      </c>
    </row>
    <row r="459">
      <c r="J459">
        <f>IF(OR(H459="",I459=""),"",ROUND(100*H459/I459,0))</f>
        <v/>
      </c>
      <c r="M459">
        <f>IF(D459="","",IFERROR(INDEX(Classes!$B$2:$B$200,MATCH(D459,Classes!$E$2:$E$200,0)),""))</f>
        <v/>
      </c>
    </row>
    <row r="460">
      <c r="J460">
        <f>IF(OR(H460="",I460=""),"",ROUND(100*H460/I460,0))</f>
        <v/>
      </c>
      <c r="M460">
        <f>IF(D460="","",IFERROR(INDEX(Classes!$B$2:$B$200,MATCH(D460,Classes!$E$2:$E$200,0)),""))</f>
        <v/>
      </c>
    </row>
    <row r="461">
      <c r="J461">
        <f>IF(OR(H461="",I461=""),"",ROUND(100*H461/I461,0))</f>
        <v/>
      </c>
      <c r="M461">
        <f>IF(D461="","",IFERROR(INDEX(Classes!$B$2:$B$200,MATCH(D461,Classes!$E$2:$E$200,0)),""))</f>
        <v/>
      </c>
    </row>
    <row r="462">
      <c r="J462">
        <f>IF(OR(H462="",I462=""),"",ROUND(100*H462/I462,0))</f>
        <v/>
      </c>
      <c r="M462">
        <f>IF(D462="","",IFERROR(INDEX(Classes!$B$2:$B$200,MATCH(D462,Classes!$E$2:$E$200,0)),""))</f>
        <v/>
      </c>
    </row>
    <row r="463">
      <c r="J463">
        <f>IF(OR(H463="",I463=""),"",ROUND(100*H463/I463,0))</f>
        <v/>
      </c>
      <c r="M463">
        <f>IF(D463="","",IFERROR(INDEX(Classes!$B$2:$B$200,MATCH(D463,Classes!$E$2:$E$200,0)),""))</f>
        <v/>
      </c>
    </row>
    <row r="464">
      <c r="J464">
        <f>IF(OR(H464="",I464=""),"",ROUND(100*H464/I464,0))</f>
        <v/>
      </c>
      <c r="M464">
        <f>IF(D464="","",IFERROR(INDEX(Classes!$B$2:$B$200,MATCH(D464,Classes!$E$2:$E$200,0)),""))</f>
        <v/>
      </c>
    </row>
    <row r="465">
      <c r="J465">
        <f>IF(OR(H465="",I465=""),"",ROUND(100*H465/I465,0))</f>
        <v/>
      </c>
      <c r="M465">
        <f>IF(D465="","",IFERROR(INDEX(Classes!$B$2:$B$200,MATCH(D465,Classes!$E$2:$E$200,0)),""))</f>
        <v/>
      </c>
    </row>
    <row r="466">
      <c r="J466">
        <f>IF(OR(H466="",I466=""),"",ROUND(100*H466/I466,0))</f>
        <v/>
      </c>
      <c r="M466">
        <f>IF(D466="","",IFERROR(INDEX(Classes!$B$2:$B$200,MATCH(D466,Classes!$E$2:$E$200,0)),""))</f>
        <v/>
      </c>
    </row>
    <row r="467">
      <c r="J467">
        <f>IF(OR(H467="",I467=""),"",ROUND(100*H467/I467,0))</f>
        <v/>
      </c>
      <c r="M467">
        <f>IF(D467="","",IFERROR(INDEX(Classes!$B$2:$B$200,MATCH(D467,Classes!$E$2:$E$200,0)),""))</f>
        <v/>
      </c>
    </row>
    <row r="468">
      <c r="J468">
        <f>IF(OR(H468="",I468=""),"",ROUND(100*H468/I468,0))</f>
        <v/>
      </c>
      <c r="M468">
        <f>IF(D468="","",IFERROR(INDEX(Classes!$B$2:$B$200,MATCH(D468,Classes!$E$2:$E$200,0)),""))</f>
        <v/>
      </c>
    </row>
    <row r="469">
      <c r="J469">
        <f>IF(OR(H469="",I469=""),"",ROUND(100*H469/I469,0))</f>
        <v/>
      </c>
      <c r="M469">
        <f>IF(D469="","",IFERROR(INDEX(Classes!$B$2:$B$200,MATCH(D469,Classes!$E$2:$E$200,0)),""))</f>
        <v/>
      </c>
    </row>
    <row r="470">
      <c r="J470">
        <f>IF(OR(H470="",I470=""),"",ROUND(100*H470/I470,0))</f>
        <v/>
      </c>
      <c r="M470">
        <f>IF(D470="","",IFERROR(INDEX(Classes!$B$2:$B$200,MATCH(D470,Classes!$E$2:$E$200,0)),""))</f>
        <v/>
      </c>
    </row>
    <row r="471">
      <c r="J471">
        <f>IF(OR(H471="",I471=""),"",ROUND(100*H471/I471,0))</f>
        <v/>
      </c>
      <c r="M471">
        <f>IF(D471="","",IFERROR(INDEX(Classes!$B$2:$B$200,MATCH(D471,Classes!$E$2:$E$200,0)),""))</f>
        <v/>
      </c>
    </row>
    <row r="472">
      <c r="J472">
        <f>IF(OR(H472="",I472=""),"",ROUND(100*H472/I472,0))</f>
        <v/>
      </c>
      <c r="M472">
        <f>IF(D472="","",IFERROR(INDEX(Classes!$B$2:$B$200,MATCH(D472,Classes!$E$2:$E$200,0)),""))</f>
        <v/>
      </c>
    </row>
    <row r="473">
      <c r="J473">
        <f>IF(OR(H473="",I473=""),"",ROUND(100*H473/I473,0))</f>
        <v/>
      </c>
      <c r="M473">
        <f>IF(D473="","",IFERROR(INDEX(Classes!$B$2:$B$200,MATCH(D473,Classes!$E$2:$E$200,0)),""))</f>
        <v/>
      </c>
    </row>
    <row r="474">
      <c r="J474">
        <f>IF(OR(H474="",I474=""),"",ROUND(100*H474/I474,0))</f>
        <v/>
      </c>
      <c r="M474">
        <f>IF(D474="","",IFERROR(INDEX(Classes!$B$2:$B$200,MATCH(D474,Classes!$E$2:$E$200,0)),""))</f>
        <v/>
      </c>
    </row>
    <row r="475">
      <c r="J475">
        <f>IF(OR(H475="",I475=""),"",ROUND(100*H475/I475,0))</f>
        <v/>
      </c>
      <c r="M475">
        <f>IF(D475="","",IFERROR(INDEX(Classes!$B$2:$B$200,MATCH(D475,Classes!$E$2:$E$200,0)),""))</f>
        <v/>
      </c>
    </row>
    <row r="476">
      <c r="J476">
        <f>IF(OR(H476="",I476=""),"",ROUND(100*H476/I476,0))</f>
        <v/>
      </c>
      <c r="M476">
        <f>IF(D476="","",IFERROR(INDEX(Classes!$B$2:$B$200,MATCH(D476,Classes!$E$2:$E$200,0)),""))</f>
        <v/>
      </c>
    </row>
    <row r="477">
      <c r="J477">
        <f>IF(OR(H477="",I477=""),"",ROUND(100*H477/I477,0))</f>
        <v/>
      </c>
      <c r="M477">
        <f>IF(D477="","",IFERROR(INDEX(Classes!$B$2:$B$200,MATCH(D477,Classes!$E$2:$E$200,0)),""))</f>
        <v/>
      </c>
    </row>
    <row r="478">
      <c r="J478">
        <f>IF(OR(H478="",I478=""),"",ROUND(100*H478/I478,0))</f>
        <v/>
      </c>
      <c r="M478">
        <f>IF(D478="","",IFERROR(INDEX(Classes!$B$2:$B$200,MATCH(D478,Classes!$E$2:$E$200,0)),""))</f>
        <v/>
      </c>
    </row>
    <row r="479">
      <c r="J479">
        <f>IF(OR(H479="",I479=""),"",ROUND(100*H479/I479,0))</f>
        <v/>
      </c>
      <c r="M479">
        <f>IF(D479="","",IFERROR(INDEX(Classes!$B$2:$B$200,MATCH(D479,Classes!$E$2:$E$200,0)),""))</f>
        <v/>
      </c>
    </row>
    <row r="480">
      <c r="J480">
        <f>IF(OR(H480="",I480=""),"",ROUND(100*H480/I480,0))</f>
        <v/>
      </c>
      <c r="M480">
        <f>IF(D480="","",IFERROR(INDEX(Classes!$B$2:$B$200,MATCH(D480,Classes!$E$2:$E$200,0)),""))</f>
        <v/>
      </c>
    </row>
    <row r="481">
      <c r="J481">
        <f>IF(OR(H481="",I481=""),"",ROUND(100*H481/I481,0))</f>
        <v/>
      </c>
      <c r="M481">
        <f>IF(D481="","",IFERROR(INDEX(Classes!$B$2:$B$200,MATCH(D481,Classes!$E$2:$E$200,0)),""))</f>
        <v/>
      </c>
    </row>
    <row r="482">
      <c r="J482">
        <f>IF(OR(H482="",I482=""),"",ROUND(100*H482/I482,0))</f>
        <v/>
      </c>
      <c r="M482">
        <f>IF(D482="","",IFERROR(INDEX(Classes!$B$2:$B$200,MATCH(D482,Classes!$E$2:$E$200,0)),""))</f>
        <v/>
      </c>
    </row>
    <row r="483">
      <c r="J483">
        <f>IF(OR(H483="",I483=""),"",ROUND(100*H483/I483,0))</f>
        <v/>
      </c>
      <c r="M483">
        <f>IF(D483="","",IFERROR(INDEX(Classes!$B$2:$B$200,MATCH(D483,Classes!$E$2:$E$200,0)),""))</f>
        <v/>
      </c>
    </row>
    <row r="484">
      <c r="J484">
        <f>IF(OR(H484="",I484=""),"",ROUND(100*H484/I484,0))</f>
        <v/>
      </c>
      <c r="M484">
        <f>IF(D484="","",IFERROR(INDEX(Classes!$B$2:$B$200,MATCH(D484,Classes!$E$2:$E$200,0)),""))</f>
        <v/>
      </c>
    </row>
    <row r="485">
      <c r="J485">
        <f>IF(OR(H485="",I485=""),"",ROUND(100*H485/I485,0))</f>
        <v/>
      </c>
      <c r="M485">
        <f>IF(D485="","",IFERROR(INDEX(Classes!$B$2:$B$200,MATCH(D485,Classes!$E$2:$E$200,0)),""))</f>
        <v/>
      </c>
    </row>
    <row r="486">
      <c r="J486">
        <f>IF(OR(H486="",I486=""),"",ROUND(100*H486/I486,0))</f>
        <v/>
      </c>
      <c r="M486">
        <f>IF(D486="","",IFERROR(INDEX(Classes!$B$2:$B$200,MATCH(D486,Classes!$E$2:$E$200,0)),""))</f>
        <v/>
      </c>
    </row>
    <row r="487">
      <c r="J487">
        <f>IF(OR(H487="",I487=""),"",ROUND(100*H487/I487,0))</f>
        <v/>
      </c>
      <c r="M487">
        <f>IF(D487="","",IFERROR(INDEX(Classes!$B$2:$B$200,MATCH(D487,Classes!$E$2:$E$200,0)),""))</f>
        <v/>
      </c>
    </row>
    <row r="488">
      <c r="J488">
        <f>IF(OR(H488="",I488=""),"",ROUND(100*H488/I488,0))</f>
        <v/>
      </c>
      <c r="M488">
        <f>IF(D488="","",IFERROR(INDEX(Classes!$B$2:$B$200,MATCH(D488,Classes!$E$2:$E$200,0)),""))</f>
        <v/>
      </c>
    </row>
    <row r="489">
      <c r="J489">
        <f>IF(OR(H489="",I489=""),"",ROUND(100*H489/I489,0))</f>
        <v/>
      </c>
      <c r="M489">
        <f>IF(D489="","",IFERROR(INDEX(Classes!$B$2:$B$200,MATCH(D489,Classes!$E$2:$E$200,0)),""))</f>
        <v/>
      </c>
    </row>
    <row r="490">
      <c r="J490">
        <f>IF(OR(H490="",I490=""),"",ROUND(100*H490/I490,0))</f>
        <v/>
      </c>
      <c r="M490">
        <f>IF(D490="","",IFERROR(INDEX(Classes!$B$2:$B$200,MATCH(D490,Classes!$E$2:$E$200,0)),""))</f>
        <v/>
      </c>
    </row>
    <row r="491">
      <c r="J491">
        <f>IF(OR(H491="",I491=""),"",ROUND(100*H491/I491,0))</f>
        <v/>
      </c>
      <c r="M491">
        <f>IF(D491="","",IFERROR(INDEX(Classes!$B$2:$B$200,MATCH(D491,Classes!$E$2:$E$200,0)),""))</f>
        <v/>
      </c>
    </row>
    <row r="492">
      <c r="J492">
        <f>IF(OR(H492="",I492=""),"",ROUND(100*H492/I492,0))</f>
        <v/>
      </c>
      <c r="M492">
        <f>IF(D492="","",IFERROR(INDEX(Classes!$B$2:$B$200,MATCH(D492,Classes!$E$2:$E$200,0)),""))</f>
        <v/>
      </c>
    </row>
    <row r="493">
      <c r="J493">
        <f>IF(OR(H493="",I493=""),"",ROUND(100*H493/I493,0))</f>
        <v/>
      </c>
      <c r="M493">
        <f>IF(D493="","",IFERROR(INDEX(Classes!$B$2:$B$200,MATCH(D493,Classes!$E$2:$E$200,0)),""))</f>
        <v/>
      </c>
    </row>
    <row r="494">
      <c r="J494">
        <f>IF(OR(H494="",I494=""),"",ROUND(100*H494/I494,0))</f>
        <v/>
      </c>
      <c r="M494">
        <f>IF(D494="","",IFERROR(INDEX(Classes!$B$2:$B$200,MATCH(D494,Classes!$E$2:$E$200,0)),""))</f>
        <v/>
      </c>
    </row>
    <row r="495">
      <c r="J495">
        <f>IF(OR(H495="",I495=""),"",ROUND(100*H495/I495,0))</f>
        <v/>
      </c>
      <c r="M495">
        <f>IF(D495="","",IFERROR(INDEX(Classes!$B$2:$B$200,MATCH(D495,Classes!$E$2:$E$200,0)),""))</f>
        <v/>
      </c>
    </row>
    <row r="496">
      <c r="J496">
        <f>IF(OR(H496="",I496=""),"",ROUND(100*H496/I496,0))</f>
        <v/>
      </c>
      <c r="M496">
        <f>IF(D496="","",IFERROR(INDEX(Classes!$B$2:$B$200,MATCH(D496,Classes!$E$2:$E$200,0)),""))</f>
        <v/>
      </c>
    </row>
    <row r="497">
      <c r="J497">
        <f>IF(OR(H497="",I497=""),"",ROUND(100*H497/I497,0))</f>
        <v/>
      </c>
      <c r="M497">
        <f>IF(D497="","",IFERROR(INDEX(Classes!$B$2:$B$200,MATCH(D497,Classes!$E$2:$E$200,0)),""))</f>
        <v/>
      </c>
    </row>
    <row r="498">
      <c r="J498">
        <f>IF(OR(H498="",I498=""),"",ROUND(100*H498/I498,0))</f>
        <v/>
      </c>
      <c r="M498">
        <f>IF(D498="","",IFERROR(INDEX(Classes!$B$2:$B$200,MATCH(D498,Classes!$E$2:$E$200,0)),""))</f>
        <v/>
      </c>
    </row>
    <row r="499">
      <c r="J499">
        <f>IF(OR(H499="",I499=""),"",ROUND(100*H499/I499,0))</f>
        <v/>
      </c>
      <c r="M499">
        <f>IF(D499="","",IFERROR(INDEX(Classes!$B$2:$B$200,MATCH(D499,Classes!$E$2:$E$200,0)),""))</f>
        <v/>
      </c>
    </row>
    <row r="500">
      <c r="J500">
        <f>IF(OR(H500="",I500=""),"",ROUND(100*H500/I500,0))</f>
        <v/>
      </c>
      <c r="M500">
        <f>IF(D500="","",IFERROR(INDEX(Classes!$B$2:$B$200,MATCH(D500,Classes!$E$2:$E$200,0)),""))</f>
        <v/>
      </c>
    </row>
    <row r="501">
      <c r="J501">
        <f>IF(OR(H501="",I501=""),"",ROUND(100*H501/I501,0))</f>
        <v/>
      </c>
      <c r="M501">
        <f>IF(D501="","",IFERROR(INDEX(Classes!$B$2:$B$200,MATCH(D501,Classes!$E$2:$E$200,0)),""))</f>
        <v/>
      </c>
    </row>
    <row r="502">
      <c r="J502">
        <f>IF(OR(H502="",I502=""),"",ROUND(100*H502/I502,0))</f>
        <v/>
      </c>
      <c r="M502">
        <f>IF(D502="","",IFERROR(INDEX(Classes!$B$2:$B$200,MATCH(D502,Classes!$E$2:$E$200,0)),""))</f>
        <v/>
      </c>
    </row>
    <row r="503">
      <c r="J503">
        <f>IF(OR(H503="",I503=""),"",ROUND(100*H503/I503,0))</f>
        <v/>
      </c>
      <c r="M503">
        <f>IF(D503="","",IFERROR(INDEX(Classes!$B$2:$B$200,MATCH(D503,Classes!$E$2:$E$200,0)),""))</f>
        <v/>
      </c>
    </row>
    <row r="504">
      <c r="J504">
        <f>IF(OR(H504="",I504=""),"",ROUND(100*H504/I504,0))</f>
        <v/>
      </c>
      <c r="M504">
        <f>IF(D504="","",IFERROR(INDEX(Classes!$B$2:$B$200,MATCH(D504,Classes!$E$2:$E$200,0)),""))</f>
        <v/>
      </c>
    </row>
    <row r="505">
      <c r="J505">
        <f>IF(OR(H505="",I505=""),"",ROUND(100*H505/I505,0))</f>
        <v/>
      </c>
      <c r="M505">
        <f>IF(D505="","",IFERROR(INDEX(Classes!$B$2:$B$200,MATCH(D505,Classes!$E$2:$E$200,0)),""))</f>
        <v/>
      </c>
    </row>
    <row r="506">
      <c r="J506">
        <f>IF(OR(H506="",I506=""),"",ROUND(100*H506/I506,0))</f>
        <v/>
      </c>
      <c r="M506">
        <f>IF(D506="","",IFERROR(INDEX(Classes!$B$2:$B$200,MATCH(D506,Classes!$E$2:$E$200,0)),""))</f>
        <v/>
      </c>
    </row>
    <row r="507">
      <c r="J507">
        <f>IF(OR(H507="",I507=""),"",ROUND(100*H507/I507,0))</f>
        <v/>
      </c>
      <c r="M507">
        <f>IF(D507="","",IFERROR(INDEX(Classes!$B$2:$B$200,MATCH(D507,Classes!$E$2:$E$200,0)),""))</f>
        <v/>
      </c>
    </row>
    <row r="508">
      <c r="J508">
        <f>IF(OR(H508="",I508=""),"",ROUND(100*H508/I508,0))</f>
        <v/>
      </c>
      <c r="M508">
        <f>IF(D508="","",IFERROR(INDEX(Classes!$B$2:$B$200,MATCH(D508,Classes!$E$2:$E$200,0)),""))</f>
        <v/>
      </c>
    </row>
    <row r="509">
      <c r="J509">
        <f>IF(OR(H509="",I509=""),"",ROUND(100*H509/I509,0))</f>
        <v/>
      </c>
      <c r="M509">
        <f>IF(D509="","",IFERROR(INDEX(Classes!$B$2:$B$200,MATCH(D509,Classes!$E$2:$E$200,0)),""))</f>
        <v/>
      </c>
    </row>
    <row r="510">
      <c r="J510">
        <f>IF(OR(H510="",I510=""),"",ROUND(100*H510/I510,0))</f>
        <v/>
      </c>
      <c r="M510">
        <f>IF(D510="","",IFERROR(INDEX(Classes!$B$2:$B$200,MATCH(D510,Classes!$E$2:$E$200,0)),""))</f>
        <v/>
      </c>
    </row>
    <row r="511">
      <c r="J511">
        <f>IF(OR(H511="",I511=""),"",ROUND(100*H511/I511,0))</f>
        <v/>
      </c>
      <c r="M511">
        <f>IF(D511="","",IFERROR(INDEX(Classes!$B$2:$B$200,MATCH(D511,Classes!$E$2:$E$200,0)),""))</f>
        <v/>
      </c>
    </row>
    <row r="512">
      <c r="J512">
        <f>IF(OR(H512="",I512=""),"",ROUND(100*H512/I512,0))</f>
        <v/>
      </c>
      <c r="M512">
        <f>IF(D512="","",IFERROR(INDEX(Classes!$B$2:$B$200,MATCH(D512,Classes!$E$2:$E$200,0)),""))</f>
        <v/>
      </c>
    </row>
    <row r="513">
      <c r="J513">
        <f>IF(OR(H513="",I513=""),"",ROUND(100*H513/I513,0))</f>
        <v/>
      </c>
      <c r="M513">
        <f>IF(D513="","",IFERROR(INDEX(Classes!$B$2:$B$200,MATCH(D513,Classes!$E$2:$E$200,0)),""))</f>
        <v/>
      </c>
    </row>
    <row r="514">
      <c r="J514">
        <f>IF(OR(H514="",I514=""),"",ROUND(100*H514/I514,0))</f>
        <v/>
      </c>
      <c r="M514">
        <f>IF(D514="","",IFERROR(INDEX(Classes!$B$2:$B$200,MATCH(D514,Classes!$E$2:$E$200,0)),""))</f>
        <v/>
      </c>
    </row>
    <row r="515">
      <c r="J515">
        <f>IF(OR(H515="",I515=""),"",ROUND(100*H515/I515,0))</f>
        <v/>
      </c>
      <c r="M515">
        <f>IF(D515="","",IFERROR(INDEX(Classes!$B$2:$B$200,MATCH(D515,Classes!$E$2:$E$200,0)),""))</f>
        <v/>
      </c>
    </row>
    <row r="516">
      <c r="J516">
        <f>IF(OR(H516="",I516=""),"",ROUND(100*H516/I516,0))</f>
        <v/>
      </c>
      <c r="M516">
        <f>IF(D516="","",IFERROR(INDEX(Classes!$B$2:$B$200,MATCH(D516,Classes!$E$2:$E$200,0)),""))</f>
        <v/>
      </c>
    </row>
    <row r="517">
      <c r="J517">
        <f>IF(OR(H517="",I517=""),"",ROUND(100*H517/I517,0))</f>
        <v/>
      </c>
      <c r="M517">
        <f>IF(D517="","",IFERROR(INDEX(Classes!$B$2:$B$200,MATCH(D517,Classes!$E$2:$E$200,0)),""))</f>
        <v/>
      </c>
    </row>
    <row r="518">
      <c r="J518">
        <f>IF(OR(H518="",I518=""),"",ROUND(100*H518/I518,0))</f>
        <v/>
      </c>
      <c r="M518">
        <f>IF(D518="","",IFERROR(INDEX(Classes!$B$2:$B$200,MATCH(D518,Classes!$E$2:$E$200,0)),""))</f>
        <v/>
      </c>
    </row>
    <row r="519">
      <c r="J519">
        <f>IF(OR(H519="",I519=""),"",ROUND(100*H519/I519,0))</f>
        <v/>
      </c>
      <c r="M519">
        <f>IF(D519="","",IFERROR(INDEX(Classes!$B$2:$B$200,MATCH(D519,Classes!$E$2:$E$200,0)),""))</f>
        <v/>
      </c>
    </row>
    <row r="520">
      <c r="J520">
        <f>IF(OR(H520="",I520=""),"",ROUND(100*H520/I520,0))</f>
        <v/>
      </c>
      <c r="M520">
        <f>IF(D520="","",IFERROR(INDEX(Classes!$B$2:$B$200,MATCH(D520,Classes!$E$2:$E$200,0)),""))</f>
        <v/>
      </c>
    </row>
    <row r="521">
      <c r="J521">
        <f>IF(OR(H521="",I521=""),"",ROUND(100*H521/I521,0))</f>
        <v/>
      </c>
      <c r="M521">
        <f>IF(D521="","",IFERROR(INDEX(Classes!$B$2:$B$200,MATCH(D521,Classes!$E$2:$E$200,0)),""))</f>
        <v/>
      </c>
    </row>
    <row r="522">
      <c r="J522">
        <f>IF(OR(H522="",I522=""),"",ROUND(100*H522/I522,0))</f>
        <v/>
      </c>
      <c r="M522">
        <f>IF(D522="","",IFERROR(INDEX(Classes!$B$2:$B$200,MATCH(D522,Classes!$E$2:$E$200,0)),""))</f>
        <v/>
      </c>
    </row>
    <row r="523">
      <c r="J523">
        <f>IF(OR(H523="",I523=""),"",ROUND(100*H523/I523,0))</f>
        <v/>
      </c>
      <c r="M523">
        <f>IF(D523="","",IFERROR(INDEX(Classes!$B$2:$B$200,MATCH(D523,Classes!$E$2:$E$200,0)),""))</f>
        <v/>
      </c>
    </row>
    <row r="524">
      <c r="J524">
        <f>IF(OR(H524="",I524=""),"",ROUND(100*H524/I524,0))</f>
        <v/>
      </c>
      <c r="M524">
        <f>IF(D524="","",IFERROR(INDEX(Classes!$B$2:$B$200,MATCH(D524,Classes!$E$2:$E$200,0)),""))</f>
        <v/>
      </c>
    </row>
    <row r="525">
      <c r="J525">
        <f>IF(OR(H525="",I525=""),"",ROUND(100*H525/I525,0))</f>
        <v/>
      </c>
      <c r="M525">
        <f>IF(D525="","",IFERROR(INDEX(Classes!$B$2:$B$200,MATCH(D525,Classes!$E$2:$E$200,0)),""))</f>
        <v/>
      </c>
    </row>
    <row r="526">
      <c r="J526">
        <f>IF(OR(H526="",I526=""),"",ROUND(100*H526/I526,0))</f>
        <v/>
      </c>
      <c r="M526">
        <f>IF(D526="","",IFERROR(INDEX(Classes!$B$2:$B$200,MATCH(D526,Classes!$E$2:$E$200,0)),""))</f>
        <v/>
      </c>
    </row>
    <row r="527">
      <c r="J527">
        <f>IF(OR(H527="",I527=""),"",ROUND(100*H527/I527,0))</f>
        <v/>
      </c>
      <c r="M527">
        <f>IF(D527="","",IFERROR(INDEX(Classes!$B$2:$B$200,MATCH(D527,Classes!$E$2:$E$200,0)),""))</f>
        <v/>
      </c>
    </row>
    <row r="528">
      <c r="J528">
        <f>IF(OR(H528="",I528=""),"",ROUND(100*H528/I528,0))</f>
        <v/>
      </c>
      <c r="M528">
        <f>IF(D528="","",IFERROR(INDEX(Classes!$B$2:$B$200,MATCH(D528,Classes!$E$2:$E$200,0)),""))</f>
        <v/>
      </c>
    </row>
    <row r="529">
      <c r="J529">
        <f>IF(OR(H529="",I529=""),"",ROUND(100*H529/I529,0))</f>
        <v/>
      </c>
      <c r="M529">
        <f>IF(D529="","",IFERROR(INDEX(Classes!$B$2:$B$200,MATCH(D529,Classes!$E$2:$E$200,0)),""))</f>
        <v/>
      </c>
    </row>
    <row r="530">
      <c r="J530">
        <f>IF(OR(H530="",I530=""),"",ROUND(100*H530/I530,0))</f>
        <v/>
      </c>
      <c r="M530">
        <f>IF(D530="","",IFERROR(INDEX(Classes!$B$2:$B$200,MATCH(D530,Classes!$E$2:$E$200,0)),""))</f>
        <v/>
      </c>
    </row>
    <row r="531">
      <c r="J531">
        <f>IF(OR(H531="",I531=""),"",ROUND(100*H531/I531,0))</f>
        <v/>
      </c>
      <c r="M531">
        <f>IF(D531="","",IFERROR(INDEX(Classes!$B$2:$B$200,MATCH(D531,Classes!$E$2:$E$200,0)),""))</f>
        <v/>
      </c>
    </row>
    <row r="532">
      <c r="J532">
        <f>IF(OR(H532="",I532=""),"",ROUND(100*H532/I532,0))</f>
        <v/>
      </c>
      <c r="M532">
        <f>IF(D532="","",IFERROR(INDEX(Classes!$B$2:$B$200,MATCH(D532,Classes!$E$2:$E$200,0)),""))</f>
        <v/>
      </c>
    </row>
    <row r="533">
      <c r="J533">
        <f>IF(OR(H533="",I533=""),"",ROUND(100*H533/I533,0))</f>
        <v/>
      </c>
      <c r="M533">
        <f>IF(D533="","",IFERROR(INDEX(Classes!$B$2:$B$200,MATCH(D533,Classes!$E$2:$E$200,0)),""))</f>
        <v/>
      </c>
    </row>
    <row r="534">
      <c r="J534">
        <f>IF(OR(H534="",I534=""),"",ROUND(100*H534/I534,0))</f>
        <v/>
      </c>
      <c r="M534">
        <f>IF(D534="","",IFERROR(INDEX(Classes!$B$2:$B$200,MATCH(D534,Classes!$E$2:$E$200,0)),""))</f>
        <v/>
      </c>
    </row>
    <row r="535">
      <c r="J535">
        <f>IF(OR(H535="",I535=""),"",ROUND(100*H535/I535,0))</f>
        <v/>
      </c>
      <c r="M535">
        <f>IF(D535="","",IFERROR(INDEX(Classes!$B$2:$B$200,MATCH(D535,Classes!$E$2:$E$200,0)),""))</f>
        <v/>
      </c>
    </row>
    <row r="536">
      <c r="J536">
        <f>IF(OR(H536="",I536=""),"",ROUND(100*H536/I536,0))</f>
        <v/>
      </c>
      <c r="M536">
        <f>IF(D536="","",IFERROR(INDEX(Classes!$B$2:$B$200,MATCH(D536,Classes!$E$2:$E$200,0)),""))</f>
        <v/>
      </c>
    </row>
    <row r="537">
      <c r="J537">
        <f>IF(OR(H537="",I537=""),"",ROUND(100*H537/I537,0))</f>
        <v/>
      </c>
      <c r="M537">
        <f>IF(D537="","",IFERROR(INDEX(Classes!$B$2:$B$200,MATCH(D537,Classes!$E$2:$E$200,0)),""))</f>
        <v/>
      </c>
    </row>
    <row r="538">
      <c r="J538">
        <f>IF(OR(H538="",I538=""),"",ROUND(100*H538/I538,0))</f>
        <v/>
      </c>
      <c r="M538">
        <f>IF(D538="","",IFERROR(INDEX(Classes!$B$2:$B$200,MATCH(D538,Classes!$E$2:$E$200,0)),""))</f>
        <v/>
      </c>
    </row>
    <row r="539">
      <c r="J539">
        <f>IF(OR(H539="",I539=""),"",ROUND(100*H539/I539,0))</f>
        <v/>
      </c>
      <c r="M539">
        <f>IF(D539="","",IFERROR(INDEX(Classes!$B$2:$B$200,MATCH(D539,Classes!$E$2:$E$200,0)),""))</f>
        <v/>
      </c>
    </row>
    <row r="540">
      <c r="J540">
        <f>IF(OR(H540="",I540=""),"",ROUND(100*H540/I540,0))</f>
        <v/>
      </c>
      <c r="M540">
        <f>IF(D540="","",IFERROR(INDEX(Classes!$B$2:$B$200,MATCH(D540,Classes!$E$2:$E$200,0)),""))</f>
        <v/>
      </c>
    </row>
    <row r="541">
      <c r="J541">
        <f>IF(OR(H541="",I541=""),"",ROUND(100*H541/I541,0))</f>
        <v/>
      </c>
      <c r="M541">
        <f>IF(D541="","",IFERROR(INDEX(Classes!$B$2:$B$200,MATCH(D541,Classes!$E$2:$E$200,0)),""))</f>
        <v/>
      </c>
    </row>
    <row r="542">
      <c r="J542">
        <f>IF(OR(H542="",I542=""),"",ROUND(100*H542/I542,0))</f>
        <v/>
      </c>
      <c r="M542">
        <f>IF(D542="","",IFERROR(INDEX(Classes!$B$2:$B$200,MATCH(D542,Classes!$E$2:$E$200,0)),""))</f>
        <v/>
      </c>
    </row>
    <row r="543">
      <c r="J543">
        <f>IF(OR(H543="",I543=""),"",ROUND(100*H543/I543,0))</f>
        <v/>
      </c>
      <c r="M543">
        <f>IF(D543="","",IFERROR(INDEX(Classes!$B$2:$B$200,MATCH(D543,Classes!$E$2:$E$200,0)),""))</f>
        <v/>
      </c>
    </row>
    <row r="544">
      <c r="J544">
        <f>IF(OR(H544="",I544=""),"",ROUND(100*H544/I544,0))</f>
        <v/>
      </c>
      <c r="M544">
        <f>IF(D544="","",IFERROR(INDEX(Classes!$B$2:$B$200,MATCH(D544,Classes!$E$2:$E$200,0)),""))</f>
        <v/>
      </c>
    </row>
    <row r="545">
      <c r="J545">
        <f>IF(OR(H545="",I545=""),"",ROUND(100*H545/I545,0))</f>
        <v/>
      </c>
      <c r="M545">
        <f>IF(D545="","",IFERROR(INDEX(Classes!$B$2:$B$200,MATCH(D545,Classes!$E$2:$E$200,0)),""))</f>
        <v/>
      </c>
    </row>
    <row r="546">
      <c r="J546">
        <f>IF(OR(H546="",I546=""),"",ROUND(100*H546/I546,0))</f>
        <v/>
      </c>
      <c r="M546">
        <f>IF(D546="","",IFERROR(INDEX(Classes!$B$2:$B$200,MATCH(D546,Classes!$E$2:$E$200,0)),""))</f>
        <v/>
      </c>
    </row>
    <row r="547">
      <c r="J547">
        <f>IF(OR(H547="",I547=""),"",ROUND(100*H547/I547,0))</f>
        <v/>
      </c>
      <c r="M547">
        <f>IF(D547="","",IFERROR(INDEX(Classes!$B$2:$B$200,MATCH(D547,Classes!$E$2:$E$200,0)),""))</f>
        <v/>
      </c>
    </row>
    <row r="548">
      <c r="J548">
        <f>IF(OR(H548="",I548=""),"",ROUND(100*H548/I548,0))</f>
        <v/>
      </c>
      <c r="M548">
        <f>IF(D548="","",IFERROR(INDEX(Classes!$B$2:$B$200,MATCH(D548,Classes!$E$2:$E$200,0)),""))</f>
        <v/>
      </c>
    </row>
    <row r="549">
      <c r="J549">
        <f>IF(OR(H549="",I549=""),"",ROUND(100*H549/I549,0))</f>
        <v/>
      </c>
      <c r="M549">
        <f>IF(D549="","",IFERROR(INDEX(Classes!$B$2:$B$200,MATCH(D549,Classes!$E$2:$E$200,0)),""))</f>
        <v/>
      </c>
    </row>
    <row r="550">
      <c r="J550">
        <f>IF(OR(H550="",I550=""),"",ROUND(100*H550/I550,0))</f>
        <v/>
      </c>
      <c r="M550">
        <f>IF(D550="","",IFERROR(INDEX(Classes!$B$2:$B$200,MATCH(D550,Classes!$E$2:$E$200,0)),""))</f>
        <v/>
      </c>
    </row>
    <row r="551">
      <c r="J551">
        <f>IF(OR(H551="",I551=""),"",ROUND(100*H551/I551,0))</f>
        <v/>
      </c>
      <c r="M551">
        <f>IF(D551="","",IFERROR(INDEX(Classes!$B$2:$B$200,MATCH(D551,Classes!$E$2:$E$200,0)),""))</f>
        <v/>
      </c>
    </row>
    <row r="552">
      <c r="J552">
        <f>IF(OR(H552="",I552=""),"",ROUND(100*H552/I552,0))</f>
        <v/>
      </c>
      <c r="M552">
        <f>IF(D552="","",IFERROR(INDEX(Classes!$B$2:$B$200,MATCH(D552,Classes!$E$2:$E$200,0)),""))</f>
        <v/>
      </c>
    </row>
    <row r="553">
      <c r="J553">
        <f>IF(OR(H553="",I553=""),"",ROUND(100*H553/I553,0))</f>
        <v/>
      </c>
      <c r="M553">
        <f>IF(D553="","",IFERROR(INDEX(Classes!$B$2:$B$200,MATCH(D553,Classes!$E$2:$E$200,0)),""))</f>
        <v/>
      </c>
    </row>
    <row r="554">
      <c r="J554">
        <f>IF(OR(H554="",I554=""),"",ROUND(100*H554/I554,0))</f>
        <v/>
      </c>
      <c r="M554">
        <f>IF(D554="","",IFERROR(INDEX(Classes!$B$2:$B$200,MATCH(D554,Classes!$E$2:$E$200,0)),""))</f>
        <v/>
      </c>
    </row>
    <row r="555">
      <c r="J555">
        <f>IF(OR(H555="",I555=""),"",ROUND(100*H555/I555,0))</f>
        <v/>
      </c>
      <c r="M555">
        <f>IF(D555="","",IFERROR(INDEX(Classes!$B$2:$B$200,MATCH(D555,Classes!$E$2:$E$200,0)),""))</f>
        <v/>
      </c>
    </row>
    <row r="556">
      <c r="J556">
        <f>IF(OR(H556="",I556=""),"",ROUND(100*H556/I556,0))</f>
        <v/>
      </c>
      <c r="M556">
        <f>IF(D556="","",IFERROR(INDEX(Classes!$B$2:$B$200,MATCH(D556,Classes!$E$2:$E$200,0)),""))</f>
        <v/>
      </c>
    </row>
    <row r="557">
      <c r="J557">
        <f>IF(OR(H557="",I557=""),"",ROUND(100*H557/I557,0))</f>
        <v/>
      </c>
      <c r="M557">
        <f>IF(D557="","",IFERROR(INDEX(Classes!$B$2:$B$200,MATCH(D557,Classes!$E$2:$E$200,0)),""))</f>
        <v/>
      </c>
    </row>
    <row r="558">
      <c r="J558">
        <f>IF(OR(H558="",I558=""),"",ROUND(100*H558/I558,0))</f>
        <v/>
      </c>
      <c r="M558">
        <f>IF(D558="","",IFERROR(INDEX(Classes!$B$2:$B$200,MATCH(D558,Classes!$E$2:$E$200,0)),""))</f>
        <v/>
      </c>
    </row>
    <row r="559">
      <c r="J559">
        <f>IF(OR(H559="",I559=""),"",ROUND(100*H559/I559,0))</f>
        <v/>
      </c>
      <c r="M559">
        <f>IF(D559="","",IFERROR(INDEX(Classes!$B$2:$B$200,MATCH(D559,Classes!$E$2:$E$200,0)),""))</f>
        <v/>
      </c>
    </row>
    <row r="560">
      <c r="J560">
        <f>IF(OR(H560="",I560=""),"",ROUND(100*H560/I560,0))</f>
        <v/>
      </c>
      <c r="M560">
        <f>IF(D560="","",IFERROR(INDEX(Classes!$B$2:$B$200,MATCH(D560,Classes!$E$2:$E$200,0)),""))</f>
        <v/>
      </c>
    </row>
    <row r="561">
      <c r="J561">
        <f>IF(OR(H561="",I561=""),"",ROUND(100*H561/I561,0))</f>
        <v/>
      </c>
      <c r="M561">
        <f>IF(D561="","",IFERROR(INDEX(Classes!$B$2:$B$200,MATCH(D561,Classes!$E$2:$E$200,0)),""))</f>
        <v/>
      </c>
    </row>
    <row r="562">
      <c r="J562">
        <f>IF(OR(H562="",I562=""),"",ROUND(100*H562/I562,0))</f>
        <v/>
      </c>
      <c r="M562">
        <f>IF(D562="","",IFERROR(INDEX(Classes!$B$2:$B$200,MATCH(D562,Classes!$E$2:$E$200,0)),""))</f>
        <v/>
      </c>
    </row>
    <row r="563">
      <c r="J563">
        <f>IF(OR(H563="",I563=""),"",ROUND(100*H563/I563,0))</f>
        <v/>
      </c>
      <c r="M563">
        <f>IF(D563="","",IFERROR(INDEX(Classes!$B$2:$B$200,MATCH(D563,Classes!$E$2:$E$200,0)),""))</f>
        <v/>
      </c>
    </row>
    <row r="564">
      <c r="J564">
        <f>IF(OR(H564="",I564=""),"",ROUND(100*H564/I564,0))</f>
        <v/>
      </c>
      <c r="M564">
        <f>IF(D564="","",IFERROR(INDEX(Classes!$B$2:$B$200,MATCH(D564,Classes!$E$2:$E$200,0)),""))</f>
        <v/>
      </c>
    </row>
    <row r="565">
      <c r="J565">
        <f>IF(OR(H565="",I565=""),"",ROUND(100*H565/I565,0))</f>
        <v/>
      </c>
      <c r="M565">
        <f>IF(D565="","",IFERROR(INDEX(Classes!$B$2:$B$200,MATCH(D565,Classes!$E$2:$E$200,0)),""))</f>
        <v/>
      </c>
    </row>
    <row r="566">
      <c r="J566">
        <f>IF(OR(H566="",I566=""),"",ROUND(100*H566/I566,0))</f>
        <v/>
      </c>
      <c r="M566">
        <f>IF(D566="","",IFERROR(INDEX(Classes!$B$2:$B$200,MATCH(D566,Classes!$E$2:$E$200,0)),""))</f>
        <v/>
      </c>
    </row>
    <row r="567">
      <c r="J567">
        <f>IF(OR(H567="",I567=""),"",ROUND(100*H567/I567,0))</f>
        <v/>
      </c>
      <c r="M567">
        <f>IF(D567="","",IFERROR(INDEX(Classes!$B$2:$B$200,MATCH(D567,Classes!$E$2:$E$200,0)),""))</f>
        <v/>
      </c>
    </row>
    <row r="568">
      <c r="J568">
        <f>IF(OR(H568="",I568=""),"",ROUND(100*H568/I568,0))</f>
        <v/>
      </c>
      <c r="M568">
        <f>IF(D568="","",IFERROR(INDEX(Classes!$B$2:$B$200,MATCH(D568,Classes!$E$2:$E$200,0)),""))</f>
        <v/>
      </c>
    </row>
    <row r="569">
      <c r="J569">
        <f>IF(OR(H569="",I569=""),"",ROUND(100*H569/I569,0))</f>
        <v/>
      </c>
      <c r="M569">
        <f>IF(D569="","",IFERROR(INDEX(Classes!$B$2:$B$200,MATCH(D569,Classes!$E$2:$E$200,0)),""))</f>
        <v/>
      </c>
    </row>
    <row r="570">
      <c r="J570">
        <f>IF(OR(H570="",I570=""),"",ROUND(100*H570/I570,0))</f>
        <v/>
      </c>
      <c r="M570">
        <f>IF(D570="","",IFERROR(INDEX(Classes!$B$2:$B$200,MATCH(D570,Classes!$E$2:$E$200,0)),""))</f>
        <v/>
      </c>
    </row>
    <row r="571">
      <c r="J571">
        <f>IF(OR(H571="",I571=""),"",ROUND(100*H571/I571,0))</f>
        <v/>
      </c>
      <c r="M571">
        <f>IF(D571="","",IFERROR(INDEX(Classes!$B$2:$B$200,MATCH(D571,Classes!$E$2:$E$200,0)),""))</f>
        <v/>
      </c>
    </row>
    <row r="572">
      <c r="J572">
        <f>IF(OR(H572="",I572=""),"",ROUND(100*H572/I572,0))</f>
        <v/>
      </c>
      <c r="M572">
        <f>IF(D572="","",IFERROR(INDEX(Classes!$B$2:$B$200,MATCH(D572,Classes!$E$2:$E$200,0)),""))</f>
        <v/>
      </c>
    </row>
    <row r="573">
      <c r="J573">
        <f>IF(OR(H573="",I573=""),"",ROUND(100*H573/I573,0))</f>
        <v/>
      </c>
      <c r="M573">
        <f>IF(D573="","",IFERROR(INDEX(Classes!$B$2:$B$200,MATCH(D573,Classes!$E$2:$E$200,0)),""))</f>
        <v/>
      </c>
    </row>
    <row r="574">
      <c r="J574">
        <f>IF(OR(H574="",I574=""),"",ROUND(100*H574/I574,0))</f>
        <v/>
      </c>
      <c r="M574">
        <f>IF(D574="","",IFERROR(INDEX(Classes!$B$2:$B$200,MATCH(D574,Classes!$E$2:$E$200,0)),""))</f>
        <v/>
      </c>
    </row>
    <row r="575">
      <c r="J575">
        <f>IF(OR(H575="",I575=""),"",ROUND(100*H575/I575,0))</f>
        <v/>
      </c>
      <c r="M575">
        <f>IF(D575="","",IFERROR(INDEX(Classes!$B$2:$B$200,MATCH(D575,Classes!$E$2:$E$200,0)),""))</f>
        <v/>
      </c>
    </row>
    <row r="576">
      <c r="J576">
        <f>IF(OR(H576="",I576=""),"",ROUND(100*H576/I576,0))</f>
        <v/>
      </c>
      <c r="M576">
        <f>IF(D576="","",IFERROR(INDEX(Classes!$B$2:$B$200,MATCH(D576,Classes!$E$2:$E$200,0)),""))</f>
        <v/>
      </c>
    </row>
    <row r="577">
      <c r="J577">
        <f>IF(OR(H577="",I577=""),"",ROUND(100*H577/I577,0))</f>
        <v/>
      </c>
      <c r="M577">
        <f>IF(D577="","",IFERROR(INDEX(Classes!$B$2:$B$200,MATCH(D577,Classes!$E$2:$E$200,0)),""))</f>
        <v/>
      </c>
    </row>
    <row r="578">
      <c r="J578">
        <f>IF(OR(H578="",I578=""),"",ROUND(100*H578/I578,0))</f>
        <v/>
      </c>
      <c r="M578">
        <f>IF(D578="","",IFERROR(INDEX(Classes!$B$2:$B$200,MATCH(D578,Classes!$E$2:$E$200,0)),""))</f>
        <v/>
      </c>
    </row>
    <row r="579">
      <c r="J579">
        <f>IF(OR(H579="",I579=""),"",ROUND(100*H579/I579,0))</f>
        <v/>
      </c>
      <c r="M579">
        <f>IF(D579="","",IFERROR(INDEX(Classes!$B$2:$B$200,MATCH(D579,Classes!$E$2:$E$200,0)),""))</f>
        <v/>
      </c>
    </row>
    <row r="580">
      <c r="J580">
        <f>IF(OR(H580="",I580=""),"",ROUND(100*H580/I580,0))</f>
        <v/>
      </c>
      <c r="M580">
        <f>IF(D580="","",IFERROR(INDEX(Classes!$B$2:$B$200,MATCH(D580,Classes!$E$2:$E$200,0)),""))</f>
        <v/>
      </c>
    </row>
    <row r="581">
      <c r="J581">
        <f>IF(OR(H581="",I581=""),"",ROUND(100*H581/I581,0))</f>
        <v/>
      </c>
      <c r="M581">
        <f>IF(D581="","",IFERROR(INDEX(Classes!$B$2:$B$200,MATCH(D581,Classes!$E$2:$E$200,0)),""))</f>
        <v/>
      </c>
    </row>
    <row r="582">
      <c r="J582">
        <f>IF(OR(H582="",I582=""),"",ROUND(100*H582/I582,0))</f>
        <v/>
      </c>
      <c r="M582">
        <f>IF(D582="","",IFERROR(INDEX(Classes!$B$2:$B$200,MATCH(D582,Classes!$E$2:$E$200,0)),""))</f>
        <v/>
      </c>
    </row>
    <row r="583">
      <c r="J583">
        <f>IF(OR(H583="",I583=""),"",ROUND(100*H583/I583,0))</f>
        <v/>
      </c>
      <c r="M583">
        <f>IF(D583="","",IFERROR(INDEX(Classes!$B$2:$B$200,MATCH(D583,Classes!$E$2:$E$200,0)),""))</f>
        <v/>
      </c>
    </row>
    <row r="584">
      <c r="J584">
        <f>IF(OR(H584="",I584=""),"",ROUND(100*H584/I584,0))</f>
        <v/>
      </c>
      <c r="M584">
        <f>IF(D584="","",IFERROR(INDEX(Classes!$B$2:$B$200,MATCH(D584,Classes!$E$2:$E$200,0)),""))</f>
        <v/>
      </c>
    </row>
    <row r="585">
      <c r="J585">
        <f>IF(OR(H585="",I585=""),"",ROUND(100*H585/I585,0))</f>
        <v/>
      </c>
      <c r="M585">
        <f>IF(D585="","",IFERROR(INDEX(Classes!$B$2:$B$200,MATCH(D585,Classes!$E$2:$E$200,0)),""))</f>
        <v/>
      </c>
    </row>
    <row r="586">
      <c r="J586">
        <f>IF(OR(H586="",I586=""),"",ROUND(100*H586/I586,0))</f>
        <v/>
      </c>
      <c r="M586">
        <f>IF(D586="","",IFERROR(INDEX(Classes!$B$2:$B$200,MATCH(D586,Classes!$E$2:$E$200,0)),""))</f>
        <v/>
      </c>
    </row>
    <row r="587">
      <c r="J587">
        <f>IF(OR(H587="",I587=""),"",ROUND(100*H587/I587,0))</f>
        <v/>
      </c>
      <c r="M587">
        <f>IF(D587="","",IFERROR(INDEX(Classes!$B$2:$B$200,MATCH(D587,Classes!$E$2:$E$200,0)),""))</f>
        <v/>
      </c>
    </row>
    <row r="588">
      <c r="J588">
        <f>IF(OR(H588="",I588=""),"",ROUND(100*H588/I588,0))</f>
        <v/>
      </c>
      <c r="M588">
        <f>IF(D588="","",IFERROR(INDEX(Classes!$B$2:$B$200,MATCH(D588,Classes!$E$2:$E$200,0)),""))</f>
        <v/>
      </c>
    </row>
    <row r="589">
      <c r="J589">
        <f>IF(OR(H589="",I589=""),"",ROUND(100*H589/I589,0))</f>
        <v/>
      </c>
      <c r="M589">
        <f>IF(D589="","",IFERROR(INDEX(Classes!$B$2:$B$200,MATCH(D589,Classes!$E$2:$E$200,0)),""))</f>
        <v/>
      </c>
    </row>
    <row r="590">
      <c r="J590">
        <f>IF(OR(H590="",I590=""),"",ROUND(100*H590/I590,0))</f>
        <v/>
      </c>
      <c r="M590">
        <f>IF(D590="","",IFERROR(INDEX(Classes!$B$2:$B$200,MATCH(D590,Classes!$E$2:$E$200,0)),""))</f>
        <v/>
      </c>
    </row>
    <row r="591">
      <c r="J591">
        <f>IF(OR(H591="",I591=""),"",ROUND(100*H591/I591,0))</f>
        <v/>
      </c>
      <c r="M591">
        <f>IF(D591="","",IFERROR(INDEX(Classes!$B$2:$B$200,MATCH(D591,Classes!$E$2:$E$200,0)),""))</f>
        <v/>
      </c>
    </row>
    <row r="592">
      <c r="J592">
        <f>IF(OR(H592="",I592=""),"",ROUND(100*H592/I592,0))</f>
        <v/>
      </c>
      <c r="M592">
        <f>IF(D592="","",IFERROR(INDEX(Classes!$B$2:$B$200,MATCH(D592,Classes!$E$2:$E$200,0)),""))</f>
        <v/>
      </c>
    </row>
    <row r="593">
      <c r="J593">
        <f>IF(OR(H593="",I593=""),"",ROUND(100*H593/I593,0))</f>
        <v/>
      </c>
      <c r="M593">
        <f>IF(D593="","",IFERROR(INDEX(Classes!$B$2:$B$200,MATCH(D593,Classes!$E$2:$E$200,0)),""))</f>
        <v/>
      </c>
    </row>
    <row r="594">
      <c r="J594">
        <f>IF(OR(H594="",I594=""),"",ROUND(100*H594/I594,0))</f>
        <v/>
      </c>
      <c r="M594">
        <f>IF(D594="","",IFERROR(INDEX(Classes!$B$2:$B$200,MATCH(D594,Classes!$E$2:$E$200,0)),""))</f>
        <v/>
      </c>
    </row>
    <row r="595">
      <c r="J595">
        <f>IF(OR(H595="",I595=""),"",ROUND(100*H595/I595,0))</f>
        <v/>
      </c>
      <c r="M595">
        <f>IF(D595="","",IFERROR(INDEX(Classes!$B$2:$B$200,MATCH(D595,Classes!$E$2:$E$200,0)),""))</f>
        <v/>
      </c>
    </row>
    <row r="596">
      <c r="J596">
        <f>IF(OR(H596="",I596=""),"",ROUND(100*H596/I596,0))</f>
        <v/>
      </c>
      <c r="M596">
        <f>IF(D596="","",IFERROR(INDEX(Classes!$B$2:$B$200,MATCH(D596,Classes!$E$2:$E$200,0)),""))</f>
        <v/>
      </c>
    </row>
    <row r="597">
      <c r="J597">
        <f>IF(OR(H597="",I597=""),"",ROUND(100*H597/I597,0))</f>
        <v/>
      </c>
      <c r="M597">
        <f>IF(D597="","",IFERROR(INDEX(Classes!$B$2:$B$200,MATCH(D597,Classes!$E$2:$E$200,0)),""))</f>
        <v/>
      </c>
    </row>
    <row r="598">
      <c r="J598">
        <f>IF(OR(H598="",I598=""),"",ROUND(100*H598/I598,0))</f>
        <v/>
      </c>
      <c r="M598">
        <f>IF(D598="","",IFERROR(INDEX(Classes!$B$2:$B$200,MATCH(D598,Classes!$E$2:$E$200,0)),""))</f>
        <v/>
      </c>
    </row>
    <row r="599">
      <c r="J599">
        <f>IF(OR(H599="",I599=""),"",ROUND(100*H599/I599,0))</f>
        <v/>
      </c>
      <c r="M599">
        <f>IF(D599="","",IFERROR(INDEX(Classes!$B$2:$B$200,MATCH(D599,Classes!$E$2:$E$200,0)),""))</f>
        <v/>
      </c>
    </row>
    <row r="600">
      <c r="J600">
        <f>IF(OR(H600="",I600=""),"",ROUND(100*H600/I600,0))</f>
        <v/>
      </c>
      <c r="M600">
        <f>IF(D600="","",IFERROR(INDEX(Classes!$B$2:$B$200,MATCH(D600,Classes!$E$2:$E$200,0)),""))</f>
        <v/>
      </c>
    </row>
    <row r="601">
      <c r="J601">
        <f>IF(OR(H601="",I601=""),"",ROUND(100*H601/I601,0))</f>
        <v/>
      </c>
      <c r="M601">
        <f>IF(D601="","",IFERROR(INDEX(Classes!$B$2:$B$200,MATCH(D601,Classes!$E$2:$E$200,0)),""))</f>
        <v/>
      </c>
    </row>
    <row r="602">
      <c r="J602">
        <f>IF(OR(H602="",I602=""),"",ROUND(100*H602/I602,0))</f>
        <v/>
      </c>
      <c r="M602">
        <f>IF(D602="","",IFERROR(INDEX(Classes!$B$2:$B$200,MATCH(D602,Classes!$E$2:$E$200,0)),""))</f>
        <v/>
      </c>
    </row>
    <row r="603">
      <c r="J603">
        <f>IF(OR(H603="",I603=""),"",ROUND(100*H603/I603,0))</f>
        <v/>
      </c>
      <c r="M603">
        <f>IF(D603="","",IFERROR(INDEX(Classes!$B$2:$B$200,MATCH(D603,Classes!$E$2:$E$200,0)),""))</f>
        <v/>
      </c>
    </row>
    <row r="604">
      <c r="J604">
        <f>IF(OR(H604="",I604=""),"",ROUND(100*H604/I604,0))</f>
        <v/>
      </c>
      <c r="M604">
        <f>IF(D604="","",IFERROR(INDEX(Classes!$B$2:$B$200,MATCH(D604,Classes!$E$2:$E$200,0)),""))</f>
        <v/>
      </c>
    </row>
    <row r="605">
      <c r="J605">
        <f>IF(OR(H605="",I605=""),"",ROUND(100*H605/I605,0))</f>
        <v/>
      </c>
      <c r="M605">
        <f>IF(D605="","",IFERROR(INDEX(Classes!$B$2:$B$200,MATCH(D605,Classes!$E$2:$E$200,0)),""))</f>
        <v/>
      </c>
    </row>
    <row r="606">
      <c r="J606">
        <f>IF(OR(H606="",I606=""),"",ROUND(100*H606/I606,0))</f>
        <v/>
      </c>
      <c r="M606">
        <f>IF(D606="","",IFERROR(INDEX(Classes!$B$2:$B$200,MATCH(D606,Classes!$E$2:$E$200,0)),""))</f>
        <v/>
      </c>
    </row>
    <row r="607">
      <c r="J607">
        <f>IF(OR(H607="",I607=""),"",ROUND(100*H607/I607,0))</f>
        <v/>
      </c>
      <c r="M607">
        <f>IF(D607="","",IFERROR(INDEX(Classes!$B$2:$B$200,MATCH(D607,Classes!$E$2:$E$200,0)),""))</f>
        <v/>
      </c>
    </row>
    <row r="608">
      <c r="J608">
        <f>IF(OR(H608="",I608=""),"",ROUND(100*H608/I608,0))</f>
        <v/>
      </c>
      <c r="M608">
        <f>IF(D608="","",IFERROR(INDEX(Classes!$B$2:$B$200,MATCH(D608,Classes!$E$2:$E$200,0)),""))</f>
        <v/>
      </c>
    </row>
    <row r="609">
      <c r="J609">
        <f>IF(OR(H609="",I609=""),"",ROUND(100*H609/I609,0))</f>
        <v/>
      </c>
      <c r="M609">
        <f>IF(D609="","",IFERROR(INDEX(Classes!$B$2:$B$200,MATCH(D609,Classes!$E$2:$E$200,0)),""))</f>
        <v/>
      </c>
    </row>
    <row r="610">
      <c r="J610">
        <f>IF(OR(H610="",I610=""),"",ROUND(100*H610/I610,0))</f>
        <v/>
      </c>
      <c r="M610">
        <f>IF(D610="","",IFERROR(INDEX(Classes!$B$2:$B$200,MATCH(D610,Classes!$E$2:$E$200,0)),""))</f>
        <v/>
      </c>
    </row>
    <row r="611">
      <c r="J611">
        <f>IF(OR(H611="",I611=""),"",ROUND(100*H611/I611,0))</f>
        <v/>
      </c>
      <c r="M611">
        <f>IF(D611="","",IFERROR(INDEX(Classes!$B$2:$B$200,MATCH(D611,Classes!$E$2:$E$200,0)),""))</f>
        <v/>
      </c>
    </row>
    <row r="612">
      <c r="J612">
        <f>IF(OR(H612="",I612=""),"",ROUND(100*H612/I612,0))</f>
        <v/>
      </c>
      <c r="M612">
        <f>IF(D612="","",IFERROR(INDEX(Classes!$B$2:$B$200,MATCH(D612,Classes!$E$2:$E$200,0)),""))</f>
        <v/>
      </c>
    </row>
    <row r="613">
      <c r="J613">
        <f>IF(OR(H613="",I613=""),"",ROUND(100*H613/I613,0))</f>
        <v/>
      </c>
      <c r="M613">
        <f>IF(D613="","",IFERROR(INDEX(Classes!$B$2:$B$200,MATCH(D613,Classes!$E$2:$E$200,0)),""))</f>
        <v/>
      </c>
    </row>
    <row r="614">
      <c r="J614">
        <f>IF(OR(H614="",I614=""),"",ROUND(100*H614/I614,0))</f>
        <v/>
      </c>
      <c r="M614">
        <f>IF(D614="","",IFERROR(INDEX(Classes!$B$2:$B$200,MATCH(D614,Classes!$E$2:$E$200,0)),""))</f>
        <v/>
      </c>
    </row>
    <row r="615">
      <c r="J615">
        <f>IF(OR(H615="",I615=""),"",ROUND(100*H615/I615,0))</f>
        <v/>
      </c>
      <c r="M615">
        <f>IF(D615="","",IFERROR(INDEX(Classes!$B$2:$B$200,MATCH(D615,Classes!$E$2:$E$200,0)),""))</f>
        <v/>
      </c>
    </row>
    <row r="616">
      <c r="J616">
        <f>IF(OR(H616="",I616=""),"",ROUND(100*H616/I616,0))</f>
        <v/>
      </c>
      <c r="M616">
        <f>IF(D616="","",IFERROR(INDEX(Classes!$B$2:$B$200,MATCH(D616,Classes!$E$2:$E$200,0)),""))</f>
        <v/>
      </c>
    </row>
    <row r="617">
      <c r="J617">
        <f>IF(OR(H617="",I617=""),"",ROUND(100*H617/I617,0))</f>
        <v/>
      </c>
      <c r="M617">
        <f>IF(D617="","",IFERROR(INDEX(Classes!$B$2:$B$200,MATCH(D617,Classes!$E$2:$E$200,0)),""))</f>
        <v/>
      </c>
    </row>
    <row r="618">
      <c r="J618">
        <f>IF(OR(H618="",I618=""),"",ROUND(100*H618/I618,0))</f>
        <v/>
      </c>
      <c r="M618">
        <f>IF(D618="","",IFERROR(INDEX(Classes!$B$2:$B$200,MATCH(D618,Classes!$E$2:$E$200,0)),""))</f>
        <v/>
      </c>
    </row>
    <row r="619">
      <c r="J619">
        <f>IF(OR(H619="",I619=""),"",ROUND(100*H619/I619,0))</f>
        <v/>
      </c>
      <c r="M619">
        <f>IF(D619="","",IFERROR(INDEX(Classes!$B$2:$B$200,MATCH(D619,Classes!$E$2:$E$200,0)),""))</f>
        <v/>
      </c>
    </row>
    <row r="620">
      <c r="J620">
        <f>IF(OR(H620="",I620=""),"",ROUND(100*H620/I620,0))</f>
        <v/>
      </c>
      <c r="M620">
        <f>IF(D620="","",IFERROR(INDEX(Classes!$B$2:$B$200,MATCH(D620,Classes!$E$2:$E$200,0)),""))</f>
        <v/>
      </c>
    </row>
    <row r="621">
      <c r="J621">
        <f>IF(OR(H621="",I621=""),"",ROUND(100*H621/I621,0))</f>
        <v/>
      </c>
      <c r="M621">
        <f>IF(D621="","",IFERROR(INDEX(Classes!$B$2:$B$200,MATCH(D621,Classes!$E$2:$E$200,0)),""))</f>
        <v/>
      </c>
    </row>
    <row r="622">
      <c r="J622">
        <f>IF(OR(H622="",I622=""),"",ROUND(100*H622/I622,0))</f>
        <v/>
      </c>
      <c r="M622">
        <f>IF(D622="","",IFERROR(INDEX(Classes!$B$2:$B$200,MATCH(D622,Classes!$E$2:$E$200,0)),""))</f>
        <v/>
      </c>
    </row>
    <row r="623">
      <c r="J623">
        <f>IF(OR(H623="",I623=""),"",ROUND(100*H623/I623,0))</f>
        <v/>
      </c>
      <c r="M623">
        <f>IF(D623="","",IFERROR(INDEX(Classes!$B$2:$B$200,MATCH(D623,Classes!$E$2:$E$200,0)),""))</f>
        <v/>
      </c>
    </row>
    <row r="624">
      <c r="J624">
        <f>IF(OR(H624="",I624=""),"",ROUND(100*H624/I624,0))</f>
        <v/>
      </c>
      <c r="M624">
        <f>IF(D624="","",IFERROR(INDEX(Classes!$B$2:$B$200,MATCH(D624,Classes!$E$2:$E$200,0)),""))</f>
        <v/>
      </c>
    </row>
    <row r="625">
      <c r="J625">
        <f>IF(OR(H625="",I625=""),"",ROUND(100*H625/I625,0))</f>
        <v/>
      </c>
      <c r="M625">
        <f>IF(D625="","",IFERROR(INDEX(Classes!$B$2:$B$200,MATCH(D625,Classes!$E$2:$E$200,0)),""))</f>
        <v/>
      </c>
    </row>
    <row r="626">
      <c r="J626">
        <f>IF(OR(H626="",I626=""),"",ROUND(100*H626/I626,0))</f>
        <v/>
      </c>
      <c r="M626">
        <f>IF(D626="","",IFERROR(INDEX(Classes!$B$2:$B$200,MATCH(D626,Classes!$E$2:$E$200,0)),""))</f>
        <v/>
      </c>
    </row>
    <row r="627">
      <c r="J627">
        <f>IF(OR(H627="",I627=""),"",ROUND(100*H627/I627,0))</f>
        <v/>
      </c>
      <c r="M627">
        <f>IF(D627="","",IFERROR(INDEX(Classes!$B$2:$B$200,MATCH(D627,Classes!$E$2:$E$200,0)),""))</f>
        <v/>
      </c>
    </row>
    <row r="628">
      <c r="J628">
        <f>IF(OR(H628="",I628=""),"",ROUND(100*H628/I628,0))</f>
        <v/>
      </c>
      <c r="M628">
        <f>IF(D628="","",IFERROR(INDEX(Classes!$B$2:$B$200,MATCH(D628,Classes!$E$2:$E$200,0)),""))</f>
        <v/>
      </c>
    </row>
    <row r="629">
      <c r="J629">
        <f>IF(OR(H629="",I629=""),"",ROUND(100*H629/I629,0))</f>
        <v/>
      </c>
      <c r="M629">
        <f>IF(D629="","",IFERROR(INDEX(Classes!$B$2:$B$200,MATCH(D629,Classes!$E$2:$E$200,0)),""))</f>
        <v/>
      </c>
    </row>
    <row r="630">
      <c r="J630">
        <f>IF(OR(H630="",I630=""),"",ROUND(100*H630/I630,0))</f>
        <v/>
      </c>
      <c r="M630">
        <f>IF(D630="","",IFERROR(INDEX(Classes!$B$2:$B$200,MATCH(D630,Classes!$E$2:$E$200,0)),""))</f>
        <v/>
      </c>
    </row>
    <row r="631">
      <c r="J631">
        <f>IF(OR(H631="",I631=""),"",ROUND(100*H631/I631,0))</f>
        <v/>
      </c>
      <c r="M631">
        <f>IF(D631="","",IFERROR(INDEX(Classes!$B$2:$B$200,MATCH(D631,Classes!$E$2:$E$200,0)),""))</f>
        <v/>
      </c>
    </row>
    <row r="632">
      <c r="J632">
        <f>IF(OR(H632="",I632=""),"",ROUND(100*H632/I632,0))</f>
        <v/>
      </c>
      <c r="M632">
        <f>IF(D632="","",IFERROR(INDEX(Classes!$B$2:$B$200,MATCH(D632,Classes!$E$2:$E$200,0)),""))</f>
        <v/>
      </c>
    </row>
    <row r="633">
      <c r="J633">
        <f>IF(OR(H633="",I633=""),"",ROUND(100*H633/I633,0))</f>
        <v/>
      </c>
      <c r="M633">
        <f>IF(D633="","",IFERROR(INDEX(Classes!$B$2:$B$200,MATCH(D633,Classes!$E$2:$E$200,0)),""))</f>
        <v/>
      </c>
    </row>
    <row r="634">
      <c r="J634">
        <f>IF(OR(H634="",I634=""),"",ROUND(100*H634/I634,0))</f>
        <v/>
      </c>
      <c r="M634">
        <f>IF(D634="","",IFERROR(INDEX(Classes!$B$2:$B$200,MATCH(D634,Classes!$E$2:$E$200,0)),""))</f>
        <v/>
      </c>
    </row>
    <row r="635">
      <c r="J635">
        <f>IF(OR(H635="",I635=""),"",ROUND(100*H635/I635,0))</f>
        <v/>
      </c>
      <c r="M635">
        <f>IF(D635="","",IFERROR(INDEX(Classes!$B$2:$B$200,MATCH(D635,Classes!$E$2:$E$200,0)),""))</f>
        <v/>
      </c>
    </row>
    <row r="636">
      <c r="J636">
        <f>IF(OR(H636="",I636=""),"",ROUND(100*H636/I636,0))</f>
        <v/>
      </c>
      <c r="M636">
        <f>IF(D636="","",IFERROR(INDEX(Classes!$B$2:$B$200,MATCH(D636,Classes!$E$2:$E$200,0)),""))</f>
        <v/>
      </c>
    </row>
    <row r="637">
      <c r="J637">
        <f>IF(OR(H637="",I637=""),"",ROUND(100*H637/I637,0))</f>
        <v/>
      </c>
      <c r="M637">
        <f>IF(D637="","",IFERROR(INDEX(Classes!$B$2:$B$200,MATCH(D637,Classes!$E$2:$E$200,0)),""))</f>
        <v/>
      </c>
    </row>
    <row r="638">
      <c r="J638">
        <f>IF(OR(H638="",I638=""),"",ROUND(100*H638/I638,0))</f>
        <v/>
      </c>
      <c r="M638">
        <f>IF(D638="","",IFERROR(INDEX(Classes!$B$2:$B$200,MATCH(D638,Classes!$E$2:$E$200,0)),""))</f>
        <v/>
      </c>
    </row>
    <row r="639">
      <c r="J639">
        <f>IF(OR(H639="",I639=""),"",ROUND(100*H639/I639,0))</f>
        <v/>
      </c>
      <c r="M639">
        <f>IF(D639="","",IFERROR(INDEX(Classes!$B$2:$B$200,MATCH(D639,Classes!$E$2:$E$200,0)),""))</f>
        <v/>
      </c>
    </row>
    <row r="640">
      <c r="J640">
        <f>IF(OR(H640="",I640=""),"",ROUND(100*H640/I640,0))</f>
        <v/>
      </c>
      <c r="M640">
        <f>IF(D640="","",IFERROR(INDEX(Classes!$B$2:$B$200,MATCH(D640,Classes!$E$2:$E$200,0)),""))</f>
        <v/>
      </c>
    </row>
    <row r="641">
      <c r="J641">
        <f>IF(OR(H641="",I641=""),"",ROUND(100*H641/I641,0))</f>
        <v/>
      </c>
      <c r="M641">
        <f>IF(D641="","",IFERROR(INDEX(Classes!$B$2:$B$200,MATCH(D641,Classes!$E$2:$E$200,0)),""))</f>
        <v/>
      </c>
    </row>
    <row r="642">
      <c r="J642">
        <f>IF(OR(H642="",I642=""),"",ROUND(100*H642/I642,0))</f>
        <v/>
      </c>
      <c r="M642">
        <f>IF(D642="","",IFERROR(INDEX(Classes!$B$2:$B$200,MATCH(D642,Classes!$E$2:$E$200,0)),""))</f>
        <v/>
      </c>
    </row>
    <row r="643">
      <c r="J643">
        <f>IF(OR(H643="",I643=""),"",ROUND(100*H643/I643,0))</f>
        <v/>
      </c>
      <c r="M643">
        <f>IF(D643="","",IFERROR(INDEX(Classes!$B$2:$B$200,MATCH(D643,Classes!$E$2:$E$200,0)),""))</f>
        <v/>
      </c>
    </row>
    <row r="644">
      <c r="J644">
        <f>IF(OR(H644="",I644=""),"",ROUND(100*H644/I644,0))</f>
        <v/>
      </c>
      <c r="M644">
        <f>IF(D644="","",IFERROR(INDEX(Classes!$B$2:$B$200,MATCH(D644,Classes!$E$2:$E$200,0)),""))</f>
        <v/>
      </c>
    </row>
    <row r="645">
      <c r="J645">
        <f>IF(OR(H645="",I645=""),"",ROUND(100*H645/I645,0))</f>
        <v/>
      </c>
      <c r="M645">
        <f>IF(D645="","",IFERROR(INDEX(Classes!$B$2:$B$200,MATCH(D645,Classes!$E$2:$E$200,0)),""))</f>
        <v/>
      </c>
    </row>
    <row r="646">
      <c r="J646">
        <f>IF(OR(H646="",I646=""),"",ROUND(100*H646/I646,0))</f>
        <v/>
      </c>
      <c r="M646">
        <f>IF(D646="","",IFERROR(INDEX(Classes!$B$2:$B$200,MATCH(D646,Classes!$E$2:$E$200,0)),""))</f>
        <v/>
      </c>
    </row>
    <row r="647">
      <c r="J647">
        <f>IF(OR(H647="",I647=""),"",ROUND(100*H647/I647,0))</f>
        <v/>
      </c>
      <c r="M647">
        <f>IF(D647="","",IFERROR(INDEX(Classes!$B$2:$B$200,MATCH(D647,Classes!$E$2:$E$200,0)),""))</f>
        <v/>
      </c>
    </row>
    <row r="648">
      <c r="J648">
        <f>IF(OR(H648="",I648=""),"",ROUND(100*H648/I648,0))</f>
        <v/>
      </c>
      <c r="M648">
        <f>IF(D648="","",IFERROR(INDEX(Classes!$B$2:$B$200,MATCH(D648,Classes!$E$2:$E$200,0)),""))</f>
        <v/>
      </c>
    </row>
    <row r="649">
      <c r="J649">
        <f>IF(OR(H649="",I649=""),"",ROUND(100*H649/I649,0))</f>
        <v/>
      </c>
      <c r="M649">
        <f>IF(D649="","",IFERROR(INDEX(Classes!$B$2:$B$200,MATCH(D649,Classes!$E$2:$E$200,0)),""))</f>
        <v/>
      </c>
    </row>
    <row r="650">
      <c r="J650">
        <f>IF(OR(H650="",I650=""),"",ROUND(100*H650/I650,0))</f>
        <v/>
      </c>
      <c r="M650">
        <f>IF(D650="","",IFERROR(INDEX(Classes!$B$2:$B$200,MATCH(D650,Classes!$E$2:$E$200,0)),""))</f>
        <v/>
      </c>
    </row>
    <row r="651">
      <c r="J651">
        <f>IF(OR(H651="",I651=""),"",ROUND(100*H651/I651,0))</f>
        <v/>
      </c>
      <c r="M651">
        <f>IF(D651="","",IFERROR(INDEX(Classes!$B$2:$B$200,MATCH(D651,Classes!$E$2:$E$200,0)),""))</f>
        <v/>
      </c>
    </row>
    <row r="652">
      <c r="J652">
        <f>IF(OR(H652="",I652=""),"",ROUND(100*H652/I652,0))</f>
        <v/>
      </c>
      <c r="M652">
        <f>IF(D652="","",IFERROR(INDEX(Classes!$B$2:$B$200,MATCH(D652,Classes!$E$2:$E$200,0)),""))</f>
        <v/>
      </c>
    </row>
    <row r="653">
      <c r="J653">
        <f>IF(OR(H653="",I653=""),"",ROUND(100*H653/I653,0))</f>
        <v/>
      </c>
      <c r="M653">
        <f>IF(D653="","",IFERROR(INDEX(Classes!$B$2:$B$200,MATCH(D653,Classes!$E$2:$E$200,0)),""))</f>
        <v/>
      </c>
    </row>
    <row r="654">
      <c r="J654">
        <f>IF(OR(H654="",I654=""),"",ROUND(100*H654/I654,0))</f>
        <v/>
      </c>
      <c r="M654">
        <f>IF(D654="","",IFERROR(INDEX(Classes!$B$2:$B$200,MATCH(D654,Classes!$E$2:$E$200,0)),""))</f>
        <v/>
      </c>
    </row>
    <row r="655">
      <c r="J655">
        <f>IF(OR(H655="",I655=""),"",ROUND(100*H655/I655,0))</f>
        <v/>
      </c>
      <c r="M655">
        <f>IF(D655="","",IFERROR(INDEX(Classes!$B$2:$B$200,MATCH(D655,Classes!$E$2:$E$200,0)),""))</f>
        <v/>
      </c>
    </row>
    <row r="656">
      <c r="J656">
        <f>IF(OR(H656="",I656=""),"",ROUND(100*H656/I656,0))</f>
        <v/>
      </c>
      <c r="M656">
        <f>IF(D656="","",IFERROR(INDEX(Classes!$B$2:$B$200,MATCH(D656,Classes!$E$2:$E$200,0)),""))</f>
        <v/>
      </c>
    </row>
    <row r="657">
      <c r="J657">
        <f>IF(OR(H657="",I657=""),"",ROUND(100*H657/I657,0))</f>
        <v/>
      </c>
      <c r="M657">
        <f>IF(D657="","",IFERROR(INDEX(Classes!$B$2:$B$200,MATCH(D657,Classes!$E$2:$E$200,0)),""))</f>
        <v/>
      </c>
    </row>
    <row r="658">
      <c r="J658">
        <f>IF(OR(H658="",I658=""),"",ROUND(100*H658/I658,0))</f>
        <v/>
      </c>
      <c r="M658">
        <f>IF(D658="","",IFERROR(INDEX(Classes!$B$2:$B$200,MATCH(D658,Classes!$E$2:$E$200,0)),""))</f>
        <v/>
      </c>
    </row>
    <row r="659">
      <c r="J659">
        <f>IF(OR(H659="",I659=""),"",ROUND(100*H659/I659,0))</f>
        <v/>
      </c>
      <c r="M659">
        <f>IF(D659="","",IFERROR(INDEX(Classes!$B$2:$B$200,MATCH(D659,Classes!$E$2:$E$200,0)),""))</f>
        <v/>
      </c>
    </row>
    <row r="660">
      <c r="J660">
        <f>IF(OR(H660="",I660=""),"",ROUND(100*H660/I660,0))</f>
        <v/>
      </c>
      <c r="M660">
        <f>IF(D660="","",IFERROR(INDEX(Classes!$B$2:$B$200,MATCH(D660,Classes!$E$2:$E$200,0)),""))</f>
        <v/>
      </c>
    </row>
    <row r="661">
      <c r="J661">
        <f>IF(OR(H661="",I661=""),"",ROUND(100*H661/I661,0))</f>
        <v/>
      </c>
      <c r="M661">
        <f>IF(D661="","",IFERROR(INDEX(Classes!$B$2:$B$200,MATCH(D661,Classes!$E$2:$E$200,0)),""))</f>
        <v/>
      </c>
    </row>
    <row r="662">
      <c r="J662">
        <f>IF(OR(H662="",I662=""),"",ROUND(100*H662/I662,0))</f>
        <v/>
      </c>
      <c r="M662">
        <f>IF(D662="","",IFERROR(INDEX(Classes!$B$2:$B$200,MATCH(D662,Classes!$E$2:$E$200,0)),""))</f>
        <v/>
      </c>
    </row>
    <row r="663">
      <c r="J663">
        <f>IF(OR(H663="",I663=""),"",ROUND(100*H663/I663,0))</f>
        <v/>
      </c>
      <c r="M663">
        <f>IF(D663="","",IFERROR(INDEX(Classes!$B$2:$B$200,MATCH(D663,Classes!$E$2:$E$200,0)),""))</f>
        <v/>
      </c>
    </row>
    <row r="664">
      <c r="J664">
        <f>IF(OR(H664="",I664=""),"",ROUND(100*H664/I664,0))</f>
        <v/>
      </c>
      <c r="M664">
        <f>IF(D664="","",IFERROR(INDEX(Classes!$B$2:$B$200,MATCH(D664,Classes!$E$2:$E$200,0)),""))</f>
        <v/>
      </c>
    </row>
    <row r="665">
      <c r="J665">
        <f>IF(OR(H665="",I665=""),"",ROUND(100*H665/I665,0))</f>
        <v/>
      </c>
      <c r="M665">
        <f>IF(D665="","",IFERROR(INDEX(Classes!$B$2:$B$200,MATCH(D665,Classes!$E$2:$E$200,0)),""))</f>
        <v/>
      </c>
    </row>
    <row r="666">
      <c r="J666">
        <f>IF(OR(H666="",I666=""),"",ROUND(100*H666/I666,0))</f>
        <v/>
      </c>
      <c r="M666">
        <f>IF(D666="","",IFERROR(INDEX(Classes!$B$2:$B$200,MATCH(D666,Classes!$E$2:$E$200,0)),""))</f>
        <v/>
      </c>
    </row>
    <row r="667">
      <c r="J667">
        <f>IF(OR(H667="",I667=""),"",ROUND(100*H667/I667,0))</f>
        <v/>
      </c>
      <c r="M667">
        <f>IF(D667="","",IFERROR(INDEX(Classes!$B$2:$B$200,MATCH(D667,Classes!$E$2:$E$200,0)),""))</f>
        <v/>
      </c>
    </row>
    <row r="668">
      <c r="J668">
        <f>IF(OR(H668="",I668=""),"",ROUND(100*H668/I668,0))</f>
        <v/>
      </c>
      <c r="M668">
        <f>IF(D668="","",IFERROR(INDEX(Classes!$B$2:$B$200,MATCH(D668,Classes!$E$2:$E$200,0)),""))</f>
        <v/>
      </c>
    </row>
    <row r="669">
      <c r="J669">
        <f>IF(OR(H669="",I669=""),"",ROUND(100*H669/I669,0))</f>
        <v/>
      </c>
      <c r="M669">
        <f>IF(D669="","",IFERROR(INDEX(Classes!$B$2:$B$200,MATCH(D669,Classes!$E$2:$E$200,0)),""))</f>
        <v/>
      </c>
    </row>
    <row r="670">
      <c r="J670">
        <f>IF(OR(H670="",I670=""),"",ROUND(100*H670/I670,0))</f>
        <v/>
      </c>
      <c r="M670">
        <f>IF(D670="","",IFERROR(INDEX(Classes!$B$2:$B$200,MATCH(D670,Classes!$E$2:$E$200,0)),""))</f>
        <v/>
      </c>
    </row>
    <row r="671">
      <c r="J671">
        <f>IF(OR(H671="",I671=""),"",ROUND(100*H671/I671,0))</f>
        <v/>
      </c>
      <c r="M671">
        <f>IF(D671="","",IFERROR(INDEX(Classes!$B$2:$B$200,MATCH(D671,Classes!$E$2:$E$200,0)),""))</f>
        <v/>
      </c>
    </row>
    <row r="672">
      <c r="J672">
        <f>IF(OR(H672="",I672=""),"",ROUND(100*H672/I672,0))</f>
        <v/>
      </c>
      <c r="M672">
        <f>IF(D672="","",IFERROR(INDEX(Classes!$B$2:$B$200,MATCH(D672,Classes!$E$2:$E$200,0)),""))</f>
        <v/>
      </c>
    </row>
    <row r="673">
      <c r="J673">
        <f>IF(OR(H673="",I673=""),"",ROUND(100*H673/I673,0))</f>
        <v/>
      </c>
      <c r="M673">
        <f>IF(D673="","",IFERROR(INDEX(Classes!$B$2:$B$200,MATCH(D673,Classes!$E$2:$E$200,0)),""))</f>
        <v/>
      </c>
    </row>
    <row r="674">
      <c r="J674">
        <f>IF(OR(H674="",I674=""),"",ROUND(100*H674/I674,0))</f>
        <v/>
      </c>
      <c r="M674">
        <f>IF(D674="","",IFERROR(INDEX(Classes!$B$2:$B$200,MATCH(D674,Classes!$E$2:$E$200,0)),""))</f>
        <v/>
      </c>
    </row>
    <row r="675">
      <c r="J675">
        <f>IF(OR(H675="",I675=""),"",ROUND(100*H675/I675,0))</f>
        <v/>
      </c>
      <c r="M675">
        <f>IF(D675="","",IFERROR(INDEX(Classes!$B$2:$B$200,MATCH(D675,Classes!$E$2:$E$200,0)),""))</f>
        <v/>
      </c>
    </row>
    <row r="676">
      <c r="J676">
        <f>IF(OR(H676="",I676=""),"",ROUND(100*H676/I676,0))</f>
        <v/>
      </c>
      <c r="M676">
        <f>IF(D676="","",IFERROR(INDEX(Classes!$B$2:$B$200,MATCH(D676,Classes!$E$2:$E$200,0)),""))</f>
        <v/>
      </c>
    </row>
    <row r="677">
      <c r="J677">
        <f>IF(OR(H677="",I677=""),"",ROUND(100*H677/I677,0))</f>
        <v/>
      </c>
      <c r="M677">
        <f>IF(D677="","",IFERROR(INDEX(Classes!$B$2:$B$200,MATCH(D677,Classes!$E$2:$E$200,0)),""))</f>
        <v/>
      </c>
    </row>
    <row r="678">
      <c r="J678">
        <f>IF(OR(H678="",I678=""),"",ROUND(100*H678/I678,0))</f>
        <v/>
      </c>
      <c r="M678">
        <f>IF(D678="","",IFERROR(INDEX(Classes!$B$2:$B$200,MATCH(D678,Classes!$E$2:$E$200,0)),""))</f>
        <v/>
      </c>
    </row>
    <row r="679">
      <c r="J679">
        <f>IF(OR(H679="",I679=""),"",ROUND(100*H679/I679,0))</f>
        <v/>
      </c>
      <c r="M679">
        <f>IF(D679="","",IFERROR(INDEX(Classes!$B$2:$B$200,MATCH(D679,Classes!$E$2:$E$200,0)),""))</f>
        <v/>
      </c>
    </row>
    <row r="680">
      <c r="J680">
        <f>IF(OR(H680="",I680=""),"",ROUND(100*H680/I680,0))</f>
        <v/>
      </c>
      <c r="M680">
        <f>IF(D680="","",IFERROR(INDEX(Classes!$B$2:$B$200,MATCH(D680,Classes!$E$2:$E$200,0)),""))</f>
        <v/>
      </c>
    </row>
    <row r="681">
      <c r="J681">
        <f>IF(OR(H681="",I681=""),"",ROUND(100*H681/I681,0))</f>
        <v/>
      </c>
      <c r="M681">
        <f>IF(D681="","",IFERROR(INDEX(Classes!$B$2:$B$200,MATCH(D681,Classes!$E$2:$E$200,0)),""))</f>
        <v/>
      </c>
    </row>
    <row r="682">
      <c r="J682">
        <f>IF(OR(H682="",I682=""),"",ROUND(100*H682/I682,0))</f>
        <v/>
      </c>
      <c r="M682">
        <f>IF(D682="","",IFERROR(INDEX(Classes!$B$2:$B$200,MATCH(D682,Classes!$E$2:$E$200,0)),""))</f>
        <v/>
      </c>
    </row>
    <row r="683">
      <c r="J683">
        <f>IF(OR(H683="",I683=""),"",ROUND(100*H683/I683,0))</f>
        <v/>
      </c>
      <c r="M683">
        <f>IF(D683="","",IFERROR(INDEX(Classes!$B$2:$B$200,MATCH(D683,Classes!$E$2:$E$200,0)),""))</f>
        <v/>
      </c>
    </row>
    <row r="684">
      <c r="J684">
        <f>IF(OR(H684="",I684=""),"",ROUND(100*H684/I684,0))</f>
        <v/>
      </c>
      <c r="M684">
        <f>IF(D684="","",IFERROR(INDEX(Classes!$B$2:$B$200,MATCH(D684,Classes!$E$2:$E$200,0)),""))</f>
        <v/>
      </c>
    </row>
    <row r="685">
      <c r="J685">
        <f>IF(OR(H685="",I685=""),"",ROUND(100*H685/I685,0))</f>
        <v/>
      </c>
      <c r="M685">
        <f>IF(D685="","",IFERROR(INDEX(Classes!$B$2:$B$200,MATCH(D685,Classes!$E$2:$E$200,0)),""))</f>
        <v/>
      </c>
    </row>
    <row r="686">
      <c r="J686">
        <f>IF(OR(H686="",I686=""),"",ROUND(100*H686/I686,0))</f>
        <v/>
      </c>
      <c r="M686">
        <f>IF(D686="","",IFERROR(INDEX(Classes!$B$2:$B$200,MATCH(D686,Classes!$E$2:$E$200,0)),""))</f>
        <v/>
      </c>
    </row>
    <row r="687">
      <c r="J687">
        <f>IF(OR(H687="",I687=""),"",ROUND(100*H687/I687,0))</f>
        <v/>
      </c>
      <c r="M687">
        <f>IF(D687="","",IFERROR(INDEX(Classes!$B$2:$B$200,MATCH(D687,Classes!$E$2:$E$200,0)),""))</f>
        <v/>
      </c>
    </row>
    <row r="688">
      <c r="J688">
        <f>IF(OR(H688="",I688=""),"",ROUND(100*H688/I688,0))</f>
        <v/>
      </c>
      <c r="M688">
        <f>IF(D688="","",IFERROR(INDEX(Classes!$B$2:$B$200,MATCH(D688,Classes!$E$2:$E$200,0)),""))</f>
        <v/>
      </c>
    </row>
    <row r="689">
      <c r="J689">
        <f>IF(OR(H689="",I689=""),"",ROUND(100*H689/I689,0))</f>
        <v/>
      </c>
      <c r="M689">
        <f>IF(D689="","",IFERROR(INDEX(Classes!$B$2:$B$200,MATCH(D689,Classes!$E$2:$E$200,0)),""))</f>
        <v/>
      </c>
    </row>
    <row r="690">
      <c r="J690">
        <f>IF(OR(H690="",I690=""),"",ROUND(100*H690/I690,0))</f>
        <v/>
      </c>
      <c r="M690">
        <f>IF(D690="","",IFERROR(INDEX(Classes!$B$2:$B$200,MATCH(D690,Classes!$E$2:$E$200,0)),""))</f>
        <v/>
      </c>
    </row>
    <row r="691">
      <c r="J691">
        <f>IF(OR(H691="",I691=""),"",ROUND(100*H691/I691,0))</f>
        <v/>
      </c>
      <c r="M691">
        <f>IF(D691="","",IFERROR(INDEX(Classes!$B$2:$B$200,MATCH(D691,Classes!$E$2:$E$200,0)),""))</f>
        <v/>
      </c>
    </row>
    <row r="692">
      <c r="J692">
        <f>IF(OR(H692="",I692=""),"",ROUND(100*H692/I692,0))</f>
        <v/>
      </c>
      <c r="M692">
        <f>IF(D692="","",IFERROR(INDEX(Classes!$B$2:$B$200,MATCH(D692,Classes!$E$2:$E$200,0)),""))</f>
        <v/>
      </c>
    </row>
    <row r="693">
      <c r="J693">
        <f>IF(OR(H693="",I693=""),"",ROUND(100*H693/I693,0))</f>
        <v/>
      </c>
      <c r="M693">
        <f>IF(D693="","",IFERROR(INDEX(Classes!$B$2:$B$200,MATCH(D693,Classes!$E$2:$E$200,0)),""))</f>
        <v/>
      </c>
    </row>
    <row r="694">
      <c r="J694">
        <f>IF(OR(H694="",I694=""),"",ROUND(100*H694/I694,0))</f>
        <v/>
      </c>
      <c r="M694">
        <f>IF(D694="","",IFERROR(INDEX(Classes!$B$2:$B$200,MATCH(D694,Classes!$E$2:$E$200,0)),""))</f>
        <v/>
      </c>
    </row>
    <row r="695">
      <c r="J695">
        <f>IF(OR(H695="",I695=""),"",ROUND(100*H695/I695,0))</f>
        <v/>
      </c>
      <c r="M695">
        <f>IF(D695="","",IFERROR(INDEX(Classes!$B$2:$B$200,MATCH(D695,Classes!$E$2:$E$200,0)),""))</f>
        <v/>
      </c>
    </row>
    <row r="696">
      <c r="J696">
        <f>IF(OR(H696="",I696=""),"",ROUND(100*H696/I696,0))</f>
        <v/>
      </c>
      <c r="M696">
        <f>IF(D696="","",IFERROR(INDEX(Classes!$B$2:$B$200,MATCH(D696,Classes!$E$2:$E$200,0)),""))</f>
        <v/>
      </c>
    </row>
    <row r="697">
      <c r="J697">
        <f>IF(OR(H697="",I697=""),"",ROUND(100*H697/I697,0))</f>
        <v/>
      </c>
      <c r="M697">
        <f>IF(D697="","",IFERROR(INDEX(Classes!$B$2:$B$200,MATCH(D697,Classes!$E$2:$E$200,0)),""))</f>
        <v/>
      </c>
    </row>
    <row r="698">
      <c r="J698">
        <f>IF(OR(H698="",I698=""),"",ROUND(100*H698/I698,0))</f>
        <v/>
      </c>
      <c r="M698">
        <f>IF(D698="","",IFERROR(INDEX(Classes!$B$2:$B$200,MATCH(D698,Classes!$E$2:$E$200,0)),""))</f>
        <v/>
      </c>
    </row>
    <row r="699">
      <c r="J699">
        <f>IF(OR(H699="",I699=""),"",ROUND(100*H699/I699,0))</f>
        <v/>
      </c>
      <c r="M699">
        <f>IF(D699="","",IFERROR(INDEX(Classes!$B$2:$B$200,MATCH(D699,Classes!$E$2:$E$200,0)),""))</f>
        <v/>
      </c>
    </row>
    <row r="700">
      <c r="J700">
        <f>IF(OR(H700="",I700=""),"",ROUND(100*H700/I700,0))</f>
        <v/>
      </c>
      <c r="M700">
        <f>IF(D700="","",IFERROR(INDEX(Classes!$B$2:$B$200,MATCH(D700,Classes!$E$2:$E$200,0)),""))</f>
        <v/>
      </c>
    </row>
    <row r="701">
      <c r="J701">
        <f>IF(OR(H701="",I701=""),"",ROUND(100*H701/I701,0))</f>
        <v/>
      </c>
      <c r="M701">
        <f>IF(D701="","",IFERROR(INDEX(Classes!$B$2:$B$200,MATCH(D701,Classes!$E$2:$E$200,0)),""))</f>
        <v/>
      </c>
    </row>
    <row r="702">
      <c r="J702">
        <f>IF(OR(H702="",I702=""),"",ROUND(100*H702/I702,0))</f>
        <v/>
      </c>
      <c r="M702">
        <f>IF(D702="","",IFERROR(INDEX(Classes!$B$2:$B$200,MATCH(D702,Classes!$E$2:$E$200,0)),""))</f>
        <v/>
      </c>
    </row>
    <row r="703">
      <c r="J703">
        <f>IF(OR(H703="",I703=""),"",ROUND(100*H703/I703,0))</f>
        <v/>
      </c>
      <c r="M703">
        <f>IF(D703="","",IFERROR(INDEX(Classes!$B$2:$B$200,MATCH(D703,Classes!$E$2:$E$200,0)),""))</f>
        <v/>
      </c>
    </row>
    <row r="704">
      <c r="J704">
        <f>IF(OR(H704="",I704=""),"",ROUND(100*H704/I704,0))</f>
        <v/>
      </c>
      <c r="M704">
        <f>IF(D704="","",IFERROR(INDEX(Classes!$B$2:$B$200,MATCH(D704,Classes!$E$2:$E$200,0)),""))</f>
        <v/>
      </c>
    </row>
    <row r="705">
      <c r="J705">
        <f>IF(OR(H705="",I705=""),"",ROUND(100*H705/I705,0))</f>
        <v/>
      </c>
      <c r="M705">
        <f>IF(D705="","",IFERROR(INDEX(Classes!$B$2:$B$200,MATCH(D705,Classes!$E$2:$E$200,0)),""))</f>
        <v/>
      </c>
    </row>
    <row r="706">
      <c r="J706">
        <f>IF(OR(H706="",I706=""),"",ROUND(100*H706/I706,0))</f>
        <v/>
      </c>
      <c r="M706">
        <f>IF(D706="","",IFERROR(INDEX(Classes!$B$2:$B$200,MATCH(D706,Classes!$E$2:$E$200,0)),""))</f>
        <v/>
      </c>
    </row>
    <row r="707">
      <c r="J707">
        <f>IF(OR(H707="",I707=""),"",ROUND(100*H707/I707,0))</f>
        <v/>
      </c>
      <c r="M707">
        <f>IF(D707="","",IFERROR(INDEX(Classes!$B$2:$B$200,MATCH(D707,Classes!$E$2:$E$200,0)),""))</f>
        <v/>
      </c>
    </row>
    <row r="708">
      <c r="J708">
        <f>IF(OR(H708="",I708=""),"",ROUND(100*H708/I708,0))</f>
        <v/>
      </c>
      <c r="M708">
        <f>IF(D708="","",IFERROR(INDEX(Classes!$B$2:$B$200,MATCH(D708,Classes!$E$2:$E$200,0)),""))</f>
        <v/>
      </c>
    </row>
    <row r="709">
      <c r="J709">
        <f>IF(OR(H709="",I709=""),"",ROUND(100*H709/I709,0))</f>
        <v/>
      </c>
      <c r="M709">
        <f>IF(D709="","",IFERROR(INDEX(Classes!$B$2:$B$200,MATCH(D709,Classes!$E$2:$E$200,0)),""))</f>
        <v/>
      </c>
    </row>
    <row r="710">
      <c r="J710">
        <f>IF(OR(H710="",I710=""),"",ROUND(100*H710/I710,0))</f>
        <v/>
      </c>
      <c r="M710">
        <f>IF(D710="","",IFERROR(INDEX(Classes!$B$2:$B$200,MATCH(D710,Classes!$E$2:$E$200,0)),""))</f>
        <v/>
      </c>
    </row>
    <row r="711">
      <c r="J711">
        <f>IF(OR(H711="",I711=""),"",ROUND(100*H711/I711,0))</f>
        <v/>
      </c>
      <c r="M711">
        <f>IF(D711="","",IFERROR(INDEX(Classes!$B$2:$B$200,MATCH(D711,Classes!$E$2:$E$200,0)),""))</f>
        <v/>
      </c>
    </row>
    <row r="712">
      <c r="J712">
        <f>IF(OR(H712="",I712=""),"",ROUND(100*H712/I712,0))</f>
        <v/>
      </c>
      <c r="M712">
        <f>IF(D712="","",IFERROR(INDEX(Classes!$B$2:$B$200,MATCH(D712,Classes!$E$2:$E$200,0)),""))</f>
        <v/>
      </c>
    </row>
    <row r="713">
      <c r="J713">
        <f>IF(OR(H713="",I713=""),"",ROUND(100*H713/I713,0))</f>
        <v/>
      </c>
      <c r="M713">
        <f>IF(D713="","",IFERROR(INDEX(Classes!$B$2:$B$200,MATCH(D713,Classes!$E$2:$E$200,0)),""))</f>
        <v/>
      </c>
    </row>
    <row r="714">
      <c r="J714">
        <f>IF(OR(H714="",I714=""),"",ROUND(100*H714/I714,0))</f>
        <v/>
      </c>
      <c r="M714">
        <f>IF(D714="","",IFERROR(INDEX(Classes!$B$2:$B$200,MATCH(D714,Classes!$E$2:$E$200,0)),""))</f>
        <v/>
      </c>
    </row>
    <row r="715">
      <c r="J715">
        <f>IF(OR(H715="",I715=""),"",ROUND(100*H715/I715,0))</f>
        <v/>
      </c>
      <c r="M715">
        <f>IF(D715="","",IFERROR(INDEX(Classes!$B$2:$B$200,MATCH(D715,Classes!$E$2:$E$200,0)),""))</f>
        <v/>
      </c>
    </row>
    <row r="716">
      <c r="J716">
        <f>IF(OR(H716="",I716=""),"",ROUND(100*H716/I716,0))</f>
        <v/>
      </c>
      <c r="M716">
        <f>IF(D716="","",IFERROR(INDEX(Classes!$B$2:$B$200,MATCH(D716,Classes!$E$2:$E$200,0)),""))</f>
        <v/>
      </c>
    </row>
    <row r="717">
      <c r="J717">
        <f>IF(OR(H717="",I717=""),"",ROUND(100*H717/I717,0))</f>
        <v/>
      </c>
      <c r="M717">
        <f>IF(D717="","",IFERROR(INDEX(Classes!$B$2:$B$200,MATCH(D717,Classes!$E$2:$E$200,0)),""))</f>
        <v/>
      </c>
    </row>
    <row r="718">
      <c r="J718">
        <f>IF(OR(H718="",I718=""),"",ROUND(100*H718/I718,0))</f>
        <v/>
      </c>
      <c r="M718">
        <f>IF(D718="","",IFERROR(INDEX(Classes!$B$2:$B$200,MATCH(D718,Classes!$E$2:$E$200,0)),""))</f>
        <v/>
      </c>
    </row>
    <row r="719">
      <c r="J719">
        <f>IF(OR(H719="",I719=""),"",ROUND(100*H719/I719,0))</f>
        <v/>
      </c>
      <c r="M719">
        <f>IF(D719="","",IFERROR(INDEX(Classes!$B$2:$B$200,MATCH(D719,Classes!$E$2:$E$200,0)),""))</f>
        <v/>
      </c>
    </row>
    <row r="720">
      <c r="J720">
        <f>IF(OR(H720="",I720=""),"",ROUND(100*H720/I720,0))</f>
        <v/>
      </c>
      <c r="M720">
        <f>IF(D720="","",IFERROR(INDEX(Classes!$B$2:$B$200,MATCH(D720,Classes!$E$2:$E$200,0)),""))</f>
        <v/>
      </c>
    </row>
    <row r="721">
      <c r="J721">
        <f>IF(OR(H721="",I721=""),"",ROUND(100*H721/I721,0))</f>
        <v/>
      </c>
      <c r="M721">
        <f>IF(D721="","",IFERROR(INDEX(Classes!$B$2:$B$200,MATCH(D721,Classes!$E$2:$E$200,0)),""))</f>
        <v/>
      </c>
    </row>
    <row r="722">
      <c r="J722">
        <f>IF(OR(H722="",I722=""),"",ROUND(100*H722/I722,0))</f>
        <v/>
      </c>
      <c r="M722">
        <f>IF(D722="","",IFERROR(INDEX(Classes!$B$2:$B$200,MATCH(D722,Classes!$E$2:$E$200,0)),""))</f>
        <v/>
      </c>
    </row>
    <row r="723">
      <c r="J723">
        <f>IF(OR(H723="",I723=""),"",ROUND(100*H723/I723,0))</f>
        <v/>
      </c>
      <c r="M723">
        <f>IF(D723="","",IFERROR(INDEX(Classes!$B$2:$B$200,MATCH(D723,Classes!$E$2:$E$200,0)),""))</f>
        <v/>
      </c>
    </row>
    <row r="724">
      <c r="J724">
        <f>IF(OR(H724="",I724=""),"",ROUND(100*H724/I724,0))</f>
        <v/>
      </c>
      <c r="M724">
        <f>IF(D724="","",IFERROR(INDEX(Classes!$B$2:$B$200,MATCH(D724,Classes!$E$2:$E$200,0)),""))</f>
        <v/>
      </c>
    </row>
    <row r="725">
      <c r="J725">
        <f>IF(OR(H725="",I725=""),"",ROUND(100*H725/I725,0))</f>
        <v/>
      </c>
      <c r="M725">
        <f>IF(D725="","",IFERROR(INDEX(Classes!$B$2:$B$200,MATCH(D725,Classes!$E$2:$E$200,0)),""))</f>
        <v/>
      </c>
    </row>
    <row r="726">
      <c r="J726">
        <f>IF(OR(H726="",I726=""),"",ROUND(100*H726/I726,0))</f>
        <v/>
      </c>
      <c r="M726">
        <f>IF(D726="","",IFERROR(INDEX(Classes!$B$2:$B$200,MATCH(D726,Classes!$E$2:$E$200,0)),""))</f>
        <v/>
      </c>
    </row>
    <row r="727">
      <c r="J727">
        <f>IF(OR(H727="",I727=""),"",ROUND(100*H727/I727,0))</f>
        <v/>
      </c>
      <c r="M727">
        <f>IF(D727="","",IFERROR(INDEX(Classes!$B$2:$B$200,MATCH(D727,Classes!$E$2:$E$200,0)),""))</f>
        <v/>
      </c>
    </row>
    <row r="728">
      <c r="J728">
        <f>IF(OR(H728="",I728=""),"",ROUND(100*H728/I728,0))</f>
        <v/>
      </c>
      <c r="M728">
        <f>IF(D728="","",IFERROR(INDEX(Classes!$B$2:$B$200,MATCH(D728,Classes!$E$2:$E$200,0)),""))</f>
        <v/>
      </c>
    </row>
    <row r="729">
      <c r="J729">
        <f>IF(OR(H729="",I729=""),"",ROUND(100*H729/I729,0))</f>
        <v/>
      </c>
      <c r="M729">
        <f>IF(D729="","",IFERROR(INDEX(Classes!$B$2:$B$200,MATCH(D729,Classes!$E$2:$E$200,0)),""))</f>
        <v/>
      </c>
    </row>
    <row r="730">
      <c r="J730">
        <f>IF(OR(H730="",I730=""),"",ROUND(100*H730/I730,0))</f>
        <v/>
      </c>
      <c r="M730">
        <f>IF(D730="","",IFERROR(INDEX(Classes!$B$2:$B$200,MATCH(D730,Classes!$E$2:$E$200,0)),""))</f>
        <v/>
      </c>
    </row>
    <row r="731">
      <c r="J731">
        <f>IF(OR(H731="",I731=""),"",ROUND(100*H731/I731,0))</f>
        <v/>
      </c>
      <c r="M731">
        <f>IF(D731="","",IFERROR(INDEX(Classes!$B$2:$B$200,MATCH(D731,Classes!$E$2:$E$200,0)),""))</f>
        <v/>
      </c>
    </row>
    <row r="732">
      <c r="J732">
        <f>IF(OR(H732="",I732=""),"",ROUND(100*H732/I732,0))</f>
        <v/>
      </c>
      <c r="M732">
        <f>IF(D732="","",IFERROR(INDEX(Classes!$B$2:$B$200,MATCH(D732,Classes!$E$2:$E$200,0)),""))</f>
        <v/>
      </c>
    </row>
    <row r="733">
      <c r="J733">
        <f>IF(OR(H733="",I733=""),"",ROUND(100*H733/I733,0))</f>
        <v/>
      </c>
      <c r="M733">
        <f>IF(D733="","",IFERROR(INDEX(Classes!$B$2:$B$200,MATCH(D733,Classes!$E$2:$E$200,0)),""))</f>
        <v/>
      </c>
    </row>
    <row r="734">
      <c r="J734">
        <f>IF(OR(H734="",I734=""),"",ROUND(100*H734/I734,0))</f>
        <v/>
      </c>
      <c r="M734">
        <f>IF(D734="","",IFERROR(INDEX(Classes!$B$2:$B$200,MATCH(D734,Classes!$E$2:$E$200,0)),""))</f>
        <v/>
      </c>
    </row>
    <row r="735">
      <c r="J735">
        <f>IF(OR(H735="",I735=""),"",ROUND(100*H735/I735,0))</f>
        <v/>
      </c>
      <c r="M735">
        <f>IF(D735="","",IFERROR(INDEX(Classes!$B$2:$B$200,MATCH(D735,Classes!$E$2:$E$200,0)),""))</f>
        <v/>
      </c>
    </row>
    <row r="736">
      <c r="J736">
        <f>IF(OR(H736="",I736=""),"",ROUND(100*H736/I736,0))</f>
        <v/>
      </c>
      <c r="M736">
        <f>IF(D736="","",IFERROR(INDEX(Classes!$B$2:$B$200,MATCH(D736,Classes!$E$2:$E$200,0)),""))</f>
        <v/>
      </c>
    </row>
    <row r="737">
      <c r="J737">
        <f>IF(OR(H737="",I737=""),"",ROUND(100*H737/I737,0))</f>
        <v/>
      </c>
      <c r="M737">
        <f>IF(D737="","",IFERROR(INDEX(Classes!$B$2:$B$200,MATCH(D737,Classes!$E$2:$E$200,0)),""))</f>
        <v/>
      </c>
    </row>
    <row r="738">
      <c r="J738">
        <f>IF(OR(H738="",I738=""),"",ROUND(100*H738/I738,0))</f>
        <v/>
      </c>
      <c r="M738">
        <f>IF(D738="","",IFERROR(INDEX(Classes!$B$2:$B$200,MATCH(D738,Classes!$E$2:$E$200,0)),""))</f>
        <v/>
      </c>
    </row>
    <row r="739">
      <c r="J739">
        <f>IF(OR(H739="",I739=""),"",ROUND(100*H739/I739,0))</f>
        <v/>
      </c>
      <c r="M739">
        <f>IF(D739="","",IFERROR(INDEX(Classes!$B$2:$B$200,MATCH(D739,Classes!$E$2:$E$200,0)),""))</f>
        <v/>
      </c>
    </row>
    <row r="740">
      <c r="J740">
        <f>IF(OR(H740="",I740=""),"",ROUND(100*H740/I740,0))</f>
        <v/>
      </c>
      <c r="M740">
        <f>IF(D740="","",IFERROR(INDEX(Classes!$B$2:$B$200,MATCH(D740,Classes!$E$2:$E$200,0)),""))</f>
        <v/>
      </c>
    </row>
    <row r="741">
      <c r="J741">
        <f>IF(OR(H741="",I741=""),"",ROUND(100*H741/I741,0))</f>
        <v/>
      </c>
      <c r="M741">
        <f>IF(D741="","",IFERROR(INDEX(Classes!$B$2:$B$200,MATCH(D741,Classes!$E$2:$E$200,0)),""))</f>
        <v/>
      </c>
    </row>
    <row r="742">
      <c r="J742">
        <f>IF(OR(H742="",I742=""),"",ROUND(100*H742/I742,0))</f>
        <v/>
      </c>
      <c r="M742">
        <f>IF(D742="","",IFERROR(INDEX(Classes!$B$2:$B$200,MATCH(D742,Classes!$E$2:$E$200,0)),""))</f>
        <v/>
      </c>
    </row>
    <row r="743">
      <c r="J743">
        <f>IF(OR(H743="",I743=""),"",ROUND(100*H743/I743,0))</f>
        <v/>
      </c>
      <c r="M743">
        <f>IF(D743="","",IFERROR(INDEX(Classes!$B$2:$B$200,MATCH(D743,Classes!$E$2:$E$200,0)),""))</f>
        <v/>
      </c>
    </row>
    <row r="744">
      <c r="J744">
        <f>IF(OR(H744="",I744=""),"",ROUND(100*H744/I744,0))</f>
        <v/>
      </c>
      <c r="M744">
        <f>IF(D744="","",IFERROR(INDEX(Classes!$B$2:$B$200,MATCH(D744,Classes!$E$2:$E$200,0)),""))</f>
        <v/>
      </c>
    </row>
    <row r="745">
      <c r="J745">
        <f>IF(OR(H745="",I745=""),"",ROUND(100*H745/I745,0))</f>
        <v/>
      </c>
      <c r="M745">
        <f>IF(D745="","",IFERROR(INDEX(Classes!$B$2:$B$200,MATCH(D745,Classes!$E$2:$E$200,0)),""))</f>
        <v/>
      </c>
    </row>
    <row r="746">
      <c r="J746">
        <f>IF(OR(H746="",I746=""),"",ROUND(100*H746/I746,0))</f>
        <v/>
      </c>
      <c r="M746">
        <f>IF(D746="","",IFERROR(INDEX(Classes!$B$2:$B$200,MATCH(D746,Classes!$E$2:$E$200,0)),""))</f>
        <v/>
      </c>
    </row>
    <row r="747">
      <c r="J747">
        <f>IF(OR(H747="",I747=""),"",ROUND(100*H747/I747,0))</f>
        <v/>
      </c>
      <c r="M747">
        <f>IF(D747="","",IFERROR(INDEX(Classes!$B$2:$B$200,MATCH(D747,Classes!$E$2:$E$200,0)),""))</f>
        <v/>
      </c>
    </row>
    <row r="748">
      <c r="J748">
        <f>IF(OR(H748="",I748=""),"",ROUND(100*H748/I748,0))</f>
        <v/>
      </c>
      <c r="M748">
        <f>IF(D748="","",IFERROR(INDEX(Classes!$B$2:$B$200,MATCH(D748,Classes!$E$2:$E$200,0)),""))</f>
        <v/>
      </c>
    </row>
    <row r="749">
      <c r="J749">
        <f>IF(OR(H749="",I749=""),"",ROUND(100*H749/I749,0))</f>
        <v/>
      </c>
      <c r="M749">
        <f>IF(D749="","",IFERROR(INDEX(Classes!$B$2:$B$200,MATCH(D749,Classes!$E$2:$E$200,0)),""))</f>
        <v/>
      </c>
    </row>
    <row r="750">
      <c r="J750">
        <f>IF(OR(H750="",I750=""),"",ROUND(100*H750/I750,0))</f>
        <v/>
      </c>
      <c r="M750">
        <f>IF(D750="","",IFERROR(INDEX(Classes!$B$2:$B$200,MATCH(D750,Classes!$E$2:$E$200,0)),""))</f>
        <v/>
      </c>
    </row>
    <row r="751">
      <c r="J751">
        <f>IF(OR(H751="",I751=""),"",ROUND(100*H751/I751,0))</f>
        <v/>
      </c>
      <c r="M751">
        <f>IF(D751="","",IFERROR(INDEX(Classes!$B$2:$B$200,MATCH(D751,Classes!$E$2:$E$200,0)),""))</f>
        <v/>
      </c>
    </row>
    <row r="752">
      <c r="J752">
        <f>IF(OR(H752="",I752=""),"",ROUND(100*H752/I752,0))</f>
        <v/>
      </c>
      <c r="M752">
        <f>IF(D752="","",IFERROR(INDEX(Classes!$B$2:$B$200,MATCH(D752,Classes!$E$2:$E$200,0)),""))</f>
        <v/>
      </c>
    </row>
    <row r="753">
      <c r="J753">
        <f>IF(OR(H753="",I753=""),"",ROUND(100*H753/I753,0))</f>
        <v/>
      </c>
      <c r="M753">
        <f>IF(D753="","",IFERROR(INDEX(Classes!$B$2:$B$200,MATCH(D753,Classes!$E$2:$E$200,0)),""))</f>
        <v/>
      </c>
    </row>
    <row r="754">
      <c r="J754">
        <f>IF(OR(H754="",I754=""),"",ROUND(100*H754/I754,0))</f>
        <v/>
      </c>
      <c r="M754">
        <f>IF(D754="","",IFERROR(INDEX(Classes!$B$2:$B$200,MATCH(D754,Classes!$E$2:$E$200,0)),""))</f>
        <v/>
      </c>
    </row>
    <row r="755">
      <c r="J755">
        <f>IF(OR(H755="",I755=""),"",ROUND(100*H755/I755,0))</f>
        <v/>
      </c>
      <c r="M755">
        <f>IF(D755="","",IFERROR(INDEX(Classes!$B$2:$B$200,MATCH(D755,Classes!$E$2:$E$200,0)),""))</f>
        <v/>
      </c>
    </row>
    <row r="756">
      <c r="J756">
        <f>IF(OR(H756="",I756=""),"",ROUND(100*H756/I756,0))</f>
        <v/>
      </c>
      <c r="M756">
        <f>IF(D756="","",IFERROR(INDEX(Classes!$B$2:$B$200,MATCH(D756,Classes!$E$2:$E$200,0)),""))</f>
        <v/>
      </c>
    </row>
    <row r="757">
      <c r="J757">
        <f>IF(OR(H757="",I757=""),"",ROUND(100*H757/I757,0))</f>
        <v/>
      </c>
      <c r="M757">
        <f>IF(D757="","",IFERROR(INDEX(Classes!$B$2:$B$200,MATCH(D757,Classes!$E$2:$E$200,0)),""))</f>
        <v/>
      </c>
    </row>
    <row r="758">
      <c r="J758">
        <f>IF(OR(H758="",I758=""),"",ROUND(100*H758/I758,0))</f>
        <v/>
      </c>
      <c r="M758">
        <f>IF(D758="","",IFERROR(INDEX(Classes!$B$2:$B$200,MATCH(D758,Classes!$E$2:$E$200,0)),""))</f>
        <v/>
      </c>
    </row>
    <row r="759">
      <c r="J759">
        <f>IF(OR(H759="",I759=""),"",ROUND(100*H759/I759,0))</f>
        <v/>
      </c>
      <c r="M759">
        <f>IF(D759="","",IFERROR(INDEX(Classes!$B$2:$B$200,MATCH(D759,Classes!$E$2:$E$200,0)),""))</f>
        <v/>
      </c>
    </row>
    <row r="760">
      <c r="J760">
        <f>IF(OR(H760="",I760=""),"",ROUND(100*H760/I760,0))</f>
        <v/>
      </c>
      <c r="M760">
        <f>IF(D760="","",IFERROR(INDEX(Classes!$B$2:$B$200,MATCH(D760,Classes!$E$2:$E$200,0)),""))</f>
        <v/>
      </c>
    </row>
    <row r="761">
      <c r="J761">
        <f>IF(OR(H761="",I761=""),"",ROUND(100*H761/I761,0))</f>
        <v/>
      </c>
      <c r="M761">
        <f>IF(D761="","",IFERROR(INDEX(Classes!$B$2:$B$200,MATCH(D761,Classes!$E$2:$E$200,0)),""))</f>
        <v/>
      </c>
    </row>
    <row r="762">
      <c r="J762">
        <f>IF(OR(H762="",I762=""),"",ROUND(100*H762/I762,0))</f>
        <v/>
      </c>
      <c r="M762">
        <f>IF(D762="","",IFERROR(INDEX(Classes!$B$2:$B$200,MATCH(D762,Classes!$E$2:$E$200,0)),""))</f>
        <v/>
      </c>
    </row>
    <row r="763">
      <c r="J763">
        <f>IF(OR(H763="",I763=""),"",ROUND(100*H763/I763,0))</f>
        <v/>
      </c>
      <c r="M763">
        <f>IF(D763="","",IFERROR(INDEX(Classes!$B$2:$B$200,MATCH(D763,Classes!$E$2:$E$200,0)),""))</f>
        <v/>
      </c>
    </row>
    <row r="764">
      <c r="J764">
        <f>IF(OR(H764="",I764=""),"",ROUND(100*H764/I764,0))</f>
        <v/>
      </c>
      <c r="M764">
        <f>IF(D764="","",IFERROR(INDEX(Classes!$B$2:$B$200,MATCH(D764,Classes!$E$2:$E$200,0)),""))</f>
        <v/>
      </c>
    </row>
    <row r="765">
      <c r="J765">
        <f>IF(OR(H765="",I765=""),"",ROUND(100*H765/I765,0))</f>
        <v/>
      </c>
      <c r="M765">
        <f>IF(D765="","",IFERROR(INDEX(Classes!$B$2:$B$200,MATCH(D765,Classes!$E$2:$E$200,0)),""))</f>
        <v/>
      </c>
    </row>
    <row r="766">
      <c r="J766">
        <f>IF(OR(H766="",I766=""),"",ROUND(100*H766/I766,0))</f>
        <v/>
      </c>
      <c r="M766">
        <f>IF(D766="","",IFERROR(INDEX(Classes!$B$2:$B$200,MATCH(D766,Classes!$E$2:$E$200,0)),""))</f>
        <v/>
      </c>
    </row>
    <row r="767">
      <c r="J767">
        <f>IF(OR(H767="",I767=""),"",ROUND(100*H767/I767,0))</f>
        <v/>
      </c>
      <c r="M767">
        <f>IF(D767="","",IFERROR(INDEX(Classes!$B$2:$B$200,MATCH(D767,Classes!$E$2:$E$200,0)),""))</f>
        <v/>
      </c>
    </row>
    <row r="768">
      <c r="J768">
        <f>IF(OR(H768="",I768=""),"",ROUND(100*H768/I768,0))</f>
        <v/>
      </c>
      <c r="M768">
        <f>IF(D768="","",IFERROR(INDEX(Classes!$B$2:$B$200,MATCH(D768,Classes!$E$2:$E$200,0)),""))</f>
        <v/>
      </c>
    </row>
    <row r="769">
      <c r="J769">
        <f>IF(OR(H769="",I769=""),"",ROUND(100*H769/I769,0))</f>
        <v/>
      </c>
      <c r="M769">
        <f>IF(D769="","",IFERROR(INDEX(Classes!$B$2:$B$200,MATCH(D769,Classes!$E$2:$E$200,0)),""))</f>
        <v/>
      </c>
    </row>
    <row r="770">
      <c r="J770">
        <f>IF(OR(H770="",I770=""),"",ROUND(100*H770/I770,0))</f>
        <v/>
      </c>
      <c r="M770">
        <f>IF(D770="","",IFERROR(INDEX(Classes!$B$2:$B$200,MATCH(D770,Classes!$E$2:$E$200,0)),""))</f>
        <v/>
      </c>
    </row>
    <row r="771">
      <c r="J771">
        <f>IF(OR(H771="",I771=""),"",ROUND(100*H771/I771,0))</f>
        <v/>
      </c>
      <c r="M771">
        <f>IF(D771="","",IFERROR(INDEX(Classes!$B$2:$B$200,MATCH(D771,Classes!$E$2:$E$200,0)),""))</f>
        <v/>
      </c>
    </row>
    <row r="772">
      <c r="J772">
        <f>IF(OR(H772="",I772=""),"",ROUND(100*H772/I772,0))</f>
        <v/>
      </c>
      <c r="M772">
        <f>IF(D772="","",IFERROR(INDEX(Classes!$B$2:$B$200,MATCH(D772,Classes!$E$2:$E$200,0)),""))</f>
        <v/>
      </c>
    </row>
    <row r="773">
      <c r="J773">
        <f>IF(OR(H773="",I773=""),"",ROUND(100*H773/I773,0))</f>
        <v/>
      </c>
      <c r="M773">
        <f>IF(D773="","",IFERROR(INDEX(Classes!$B$2:$B$200,MATCH(D773,Classes!$E$2:$E$200,0)),""))</f>
        <v/>
      </c>
    </row>
    <row r="774">
      <c r="J774">
        <f>IF(OR(H774="",I774=""),"",ROUND(100*H774/I774,0))</f>
        <v/>
      </c>
      <c r="M774">
        <f>IF(D774="","",IFERROR(INDEX(Classes!$B$2:$B$200,MATCH(D774,Classes!$E$2:$E$200,0)),""))</f>
        <v/>
      </c>
    </row>
    <row r="775">
      <c r="J775">
        <f>IF(OR(H775="",I775=""),"",ROUND(100*H775/I775,0))</f>
        <v/>
      </c>
      <c r="M775">
        <f>IF(D775="","",IFERROR(INDEX(Classes!$B$2:$B$200,MATCH(D775,Classes!$E$2:$E$200,0)),""))</f>
        <v/>
      </c>
    </row>
    <row r="776">
      <c r="J776">
        <f>IF(OR(H776="",I776=""),"",ROUND(100*H776/I776,0))</f>
        <v/>
      </c>
      <c r="M776">
        <f>IF(D776="","",IFERROR(INDEX(Classes!$B$2:$B$200,MATCH(D776,Classes!$E$2:$E$200,0)),""))</f>
        <v/>
      </c>
    </row>
    <row r="777">
      <c r="J777">
        <f>IF(OR(H777="",I777=""),"",ROUND(100*H777/I777,0))</f>
        <v/>
      </c>
      <c r="M777">
        <f>IF(D777="","",IFERROR(INDEX(Classes!$B$2:$B$200,MATCH(D777,Classes!$E$2:$E$200,0)),""))</f>
        <v/>
      </c>
    </row>
    <row r="778">
      <c r="J778">
        <f>IF(OR(H778="",I778=""),"",ROUND(100*H778/I778,0))</f>
        <v/>
      </c>
      <c r="M778">
        <f>IF(D778="","",IFERROR(INDEX(Classes!$B$2:$B$200,MATCH(D778,Classes!$E$2:$E$200,0)),""))</f>
        <v/>
      </c>
    </row>
    <row r="779">
      <c r="J779">
        <f>IF(OR(H779="",I779=""),"",ROUND(100*H779/I779,0))</f>
        <v/>
      </c>
      <c r="M779">
        <f>IF(D779="","",IFERROR(INDEX(Classes!$B$2:$B$200,MATCH(D779,Classes!$E$2:$E$200,0)),""))</f>
        <v/>
      </c>
    </row>
    <row r="780">
      <c r="J780">
        <f>IF(OR(H780="",I780=""),"",ROUND(100*H780/I780,0))</f>
        <v/>
      </c>
      <c r="M780">
        <f>IF(D780="","",IFERROR(INDEX(Classes!$B$2:$B$200,MATCH(D780,Classes!$E$2:$E$200,0)),""))</f>
        <v/>
      </c>
    </row>
    <row r="781">
      <c r="J781">
        <f>IF(OR(H781="",I781=""),"",ROUND(100*H781/I781,0))</f>
        <v/>
      </c>
      <c r="M781">
        <f>IF(D781="","",IFERROR(INDEX(Classes!$B$2:$B$200,MATCH(D781,Classes!$E$2:$E$200,0)),""))</f>
        <v/>
      </c>
    </row>
    <row r="782">
      <c r="J782">
        <f>IF(OR(H782="",I782=""),"",ROUND(100*H782/I782,0))</f>
        <v/>
      </c>
      <c r="M782">
        <f>IF(D782="","",IFERROR(INDEX(Classes!$B$2:$B$200,MATCH(D782,Classes!$E$2:$E$200,0)),""))</f>
        <v/>
      </c>
    </row>
    <row r="783">
      <c r="J783">
        <f>IF(OR(H783="",I783=""),"",ROUND(100*H783/I783,0))</f>
        <v/>
      </c>
      <c r="M783">
        <f>IF(D783="","",IFERROR(INDEX(Classes!$B$2:$B$200,MATCH(D783,Classes!$E$2:$E$200,0)),""))</f>
        <v/>
      </c>
    </row>
    <row r="784">
      <c r="J784">
        <f>IF(OR(H784="",I784=""),"",ROUND(100*H784/I784,0))</f>
        <v/>
      </c>
      <c r="M784">
        <f>IF(D784="","",IFERROR(INDEX(Classes!$B$2:$B$200,MATCH(D784,Classes!$E$2:$E$200,0)),""))</f>
        <v/>
      </c>
    </row>
    <row r="785">
      <c r="J785">
        <f>IF(OR(H785="",I785=""),"",ROUND(100*H785/I785,0))</f>
        <v/>
      </c>
      <c r="M785">
        <f>IF(D785="","",IFERROR(INDEX(Classes!$B$2:$B$200,MATCH(D785,Classes!$E$2:$E$200,0)),""))</f>
        <v/>
      </c>
    </row>
    <row r="786">
      <c r="J786">
        <f>IF(OR(H786="",I786=""),"",ROUND(100*H786/I786,0))</f>
        <v/>
      </c>
      <c r="M786">
        <f>IF(D786="","",IFERROR(INDEX(Classes!$B$2:$B$200,MATCH(D786,Classes!$E$2:$E$200,0)),""))</f>
        <v/>
      </c>
    </row>
    <row r="787">
      <c r="J787">
        <f>IF(OR(H787="",I787=""),"",ROUND(100*H787/I787,0))</f>
        <v/>
      </c>
      <c r="M787">
        <f>IF(D787="","",IFERROR(INDEX(Classes!$B$2:$B$200,MATCH(D787,Classes!$E$2:$E$200,0)),""))</f>
        <v/>
      </c>
    </row>
    <row r="788">
      <c r="J788">
        <f>IF(OR(H788="",I788=""),"",ROUND(100*H788/I788,0))</f>
        <v/>
      </c>
      <c r="M788">
        <f>IF(D788="","",IFERROR(INDEX(Classes!$B$2:$B$200,MATCH(D788,Classes!$E$2:$E$200,0)),""))</f>
        <v/>
      </c>
    </row>
    <row r="789">
      <c r="J789">
        <f>IF(OR(H789="",I789=""),"",ROUND(100*H789/I789,0))</f>
        <v/>
      </c>
      <c r="M789">
        <f>IF(D789="","",IFERROR(INDEX(Classes!$B$2:$B$200,MATCH(D789,Classes!$E$2:$E$200,0)),""))</f>
        <v/>
      </c>
    </row>
    <row r="790">
      <c r="J790">
        <f>IF(OR(H790="",I790=""),"",ROUND(100*H790/I790,0))</f>
        <v/>
      </c>
      <c r="M790">
        <f>IF(D790="","",IFERROR(INDEX(Classes!$B$2:$B$200,MATCH(D790,Classes!$E$2:$E$200,0)),""))</f>
        <v/>
      </c>
    </row>
    <row r="791">
      <c r="J791">
        <f>IF(OR(H791="",I791=""),"",ROUND(100*H791/I791,0))</f>
        <v/>
      </c>
      <c r="M791">
        <f>IF(D791="","",IFERROR(INDEX(Classes!$B$2:$B$200,MATCH(D791,Classes!$E$2:$E$200,0)),""))</f>
        <v/>
      </c>
    </row>
    <row r="792">
      <c r="J792">
        <f>IF(OR(H792="",I792=""),"",ROUND(100*H792/I792,0))</f>
        <v/>
      </c>
      <c r="M792">
        <f>IF(D792="","",IFERROR(INDEX(Classes!$B$2:$B$200,MATCH(D792,Classes!$E$2:$E$200,0)),""))</f>
        <v/>
      </c>
    </row>
    <row r="793">
      <c r="J793">
        <f>IF(OR(H793="",I793=""),"",ROUND(100*H793/I793,0))</f>
        <v/>
      </c>
      <c r="M793">
        <f>IF(D793="","",IFERROR(INDEX(Classes!$B$2:$B$200,MATCH(D793,Classes!$E$2:$E$200,0)),""))</f>
        <v/>
      </c>
    </row>
    <row r="794">
      <c r="J794">
        <f>IF(OR(H794="",I794=""),"",ROUND(100*H794/I794,0))</f>
        <v/>
      </c>
      <c r="M794">
        <f>IF(D794="","",IFERROR(INDEX(Classes!$B$2:$B$200,MATCH(D794,Classes!$E$2:$E$200,0)),""))</f>
        <v/>
      </c>
    </row>
    <row r="795">
      <c r="J795">
        <f>IF(OR(H795="",I795=""),"",ROUND(100*H795/I795,0))</f>
        <v/>
      </c>
      <c r="M795">
        <f>IF(D795="","",IFERROR(INDEX(Classes!$B$2:$B$200,MATCH(D795,Classes!$E$2:$E$200,0)),""))</f>
        <v/>
      </c>
    </row>
    <row r="796">
      <c r="J796">
        <f>IF(OR(H796="",I796=""),"",ROUND(100*H796/I796,0))</f>
        <v/>
      </c>
      <c r="M796">
        <f>IF(D796="","",IFERROR(INDEX(Classes!$B$2:$B$200,MATCH(D796,Classes!$E$2:$E$200,0)),""))</f>
        <v/>
      </c>
    </row>
    <row r="797">
      <c r="J797">
        <f>IF(OR(H797="",I797=""),"",ROUND(100*H797/I797,0))</f>
        <v/>
      </c>
      <c r="M797">
        <f>IF(D797="","",IFERROR(INDEX(Classes!$B$2:$B$200,MATCH(D797,Classes!$E$2:$E$200,0)),""))</f>
        <v/>
      </c>
    </row>
    <row r="798">
      <c r="J798">
        <f>IF(OR(H798="",I798=""),"",ROUND(100*H798/I798,0))</f>
        <v/>
      </c>
      <c r="M798">
        <f>IF(D798="","",IFERROR(INDEX(Classes!$B$2:$B$200,MATCH(D798,Classes!$E$2:$E$200,0)),""))</f>
        <v/>
      </c>
    </row>
    <row r="799">
      <c r="J799">
        <f>IF(OR(H799="",I799=""),"",ROUND(100*H799/I799,0))</f>
        <v/>
      </c>
      <c r="M799">
        <f>IF(D799="","",IFERROR(INDEX(Classes!$B$2:$B$200,MATCH(D799,Classes!$E$2:$E$200,0)),""))</f>
        <v/>
      </c>
    </row>
    <row r="800">
      <c r="J800">
        <f>IF(OR(H800="",I800=""),"",ROUND(100*H800/I800,0))</f>
        <v/>
      </c>
      <c r="M800">
        <f>IF(D800="","",IFERROR(INDEX(Classes!$B$2:$B$200,MATCH(D800,Classes!$E$2:$E$200,0)),""))</f>
        <v/>
      </c>
    </row>
    <row r="801">
      <c r="J801">
        <f>IF(OR(H801="",I801=""),"",ROUND(100*H801/I801,0))</f>
        <v/>
      </c>
      <c r="M801">
        <f>IF(D801="","",IFERROR(INDEX(Classes!$B$2:$B$200,MATCH(D801,Classes!$E$2:$E$200,0)),""))</f>
        <v/>
      </c>
    </row>
    <row r="802">
      <c r="J802">
        <f>IF(OR(H802="",I802=""),"",ROUND(100*H802/I802,0))</f>
        <v/>
      </c>
      <c r="M802">
        <f>IF(D802="","",IFERROR(INDEX(Classes!$B$2:$B$200,MATCH(D802,Classes!$E$2:$E$200,0)),""))</f>
        <v/>
      </c>
    </row>
    <row r="803">
      <c r="J803">
        <f>IF(OR(H803="",I803=""),"",ROUND(100*H803/I803,0))</f>
        <v/>
      </c>
      <c r="M803">
        <f>IF(D803="","",IFERROR(INDEX(Classes!$B$2:$B$200,MATCH(D803,Classes!$E$2:$E$200,0)),""))</f>
        <v/>
      </c>
    </row>
    <row r="804">
      <c r="J804">
        <f>IF(OR(H804="",I804=""),"",ROUND(100*H804/I804,0))</f>
        <v/>
      </c>
      <c r="M804">
        <f>IF(D804="","",IFERROR(INDEX(Classes!$B$2:$B$200,MATCH(D804,Classes!$E$2:$E$200,0)),""))</f>
        <v/>
      </c>
    </row>
    <row r="805">
      <c r="J805">
        <f>IF(OR(H805="",I805=""),"",ROUND(100*H805/I805,0))</f>
        <v/>
      </c>
      <c r="M805">
        <f>IF(D805="","",IFERROR(INDEX(Classes!$B$2:$B$200,MATCH(D805,Classes!$E$2:$E$200,0)),""))</f>
        <v/>
      </c>
    </row>
    <row r="806">
      <c r="J806">
        <f>IF(OR(H806="",I806=""),"",ROUND(100*H806/I806,0))</f>
        <v/>
      </c>
      <c r="M806">
        <f>IF(D806="","",IFERROR(INDEX(Classes!$B$2:$B$200,MATCH(D806,Classes!$E$2:$E$200,0)),""))</f>
        <v/>
      </c>
    </row>
    <row r="807">
      <c r="J807">
        <f>IF(OR(H807="",I807=""),"",ROUND(100*H807/I807,0))</f>
        <v/>
      </c>
      <c r="M807">
        <f>IF(D807="","",IFERROR(INDEX(Classes!$B$2:$B$200,MATCH(D807,Classes!$E$2:$E$200,0)),""))</f>
        <v/>
      </c>
    </row>
    <row r="808">
      <c r="J808">
        <f>IF(OR(H808="",I808=""),"",ROUND(100*H808/I808,0))</f>
        <v/>
      </c>
      <c r="M808">
        <f>IF(D808="","",IFERROR(INDEX(Classes!$B$2:$B$200,MATCH(D808,Classes!$E$2:$E$200,0)),""))</f>
        <v/>
      </c>
    </row>
    <row r="809">
      <c r="J809">
        <f>IF(OR(H809="",I809=""),"",ROUND(100*H809/I809,0))</f>
        <v/>
      </c>
      <c r="M809">
        <f>IF(D809="","",IFERROR(INDEX(Classes!$B$2:$B$200,MATCH(D809,Classes!$E$2:$E$200,0)),""))</f>
        <v/>
      </c>
    </row>
    <row r="810">
      <c r="J810">
        <f>IF(OR(H810="",I810=""),"",ROUND(100*H810/I810,0))</f>
        <v/>
      </c>
      <c r="M810">
        <f>IF(D810="","",IFERROR(INDEX(Classes!$B$2:$B$200,MATCH(D810,Classes!$E$2:$E$200,0)),""))</f>
        <v/>
      </c>
    </row>
    <row r="811">
      <c r="J811">
        <f>IF(OR(H811="",I811=""),"",ROUND(100*H811/I811,0))</f>
        <v/>
      </c>
      <c r="M811">
        <f>IF(D811="","",IFERROR(INDEX(Classes!$B$2:$B$200,MATCH(D811,Classes!$E$2:$E$200,0)),""))</f>
        <v/>
      </c>
    </row>
    <row r="812">
      <c r="J812">
        <f>IF(OR(H812="",I812=""),"",ROUND(100*H812/I812,0))</f>
        <v/>
      </c>
      <c r="M812">
        <f>IF(D812="","",IFERROR(INDEX(Classes!$B$2:$B$200,MATCH(D812,Classes!$E$2:$E$200,0)),""))</f>
        <v/>
      </c>
    </row>
    <row r="813">
      <c r="J813">
        <f>IF(OR(H813="",I813=""),"",ROUND(100*H813/I813,0))</f>
        <v/>
      </c>
      <c r="M813">
        <f>IF(D813="","",IFERROR(INDEX(Classes!$B$2:$B$200,MATCH(D813,Classes!$E$2:$E$200,0)),""))</f>
        <v/>
      </c>
    </row>
    <row r="814">
      <c r="J814">
        <f>IF(OR(H814="",I814=""),"",ROUND(100*H814/I814,0))</f>
        <v/>
      </c>
      <c r="M814">
        <f>IF(D814="","",IFERROR(INDEX(Classes!$B$2:$B$200,MATCH(D814,Classes!$E$2:$E$200,0)),""))</f>
        <v/>
      </c>
    </row>
    <row r="815">
      <c r="J815">
        <f>IF(OR(H815="",I815=""),"",ROUND(100*H815/I815,0))</f>
        <v/>
      </c>
      <c r="M815">
        <f>IF(D815="","",IFERROR(INDEX(Classes!$B$2:$B$200,MATCH(D815,Classes!$E$2:$E$200,0)),""))</f>
        <v/>
      </c>
    </row>
    <row r="816">
      <c r="J816">
        <f>IF(OR(H816="",I816=""),"",ROUND(100*H816/I816,0))</f>
        <v/>
      </c>
      <c r="M816">
        <f>IF(D816="","",IFERROR(INDEX(Classes!$B$2:$B$200,MATCH(D816,Classes!$E$2:$E$200,0)),""))</f>
        <v/>
      </c>
    </row>
    <row r="817">
      <c r="J817">
        <f>IF(OR(H817="",I817=""),"",ROUND(100*H817/I817,0))</f>
        <v/>
      </c>
      <c r="M817">
        <f>IF(D817="","",IFERROR(INDEX(Classes!$B$2:$B$200,MATCH(D817,Classes!$E$2:$E$200,0)),""))</f>
        <v/>
      </c>
    </row>
    <row r="818">
      <c r="J818">
        <f>IF(OR(H818="",I818=""),"",ROUND(100*H818/I818,0))</f>
        <v/>
      </c>
      <c r="M818">
        <f>IF(D818="","",IFERROR(INDEX(Classes!$B$2:$B$200,MATCH(D818,Classes!$E$2:$E$200,0)),""))</f>
        <v/>
      </c>
    </row>
    <row r="819">
      <c r="J819">
        <f>IF(OR(H819="",I819=""),"",ROUND(100*H819/I819,0))</f>
        <v/>
      </c>
      <c r="M819">
        <f>IF(D819="","",IFERROR(INDEX(Classes!$B$2:$B$200,MATCH(D819,Classes!$E$2:$E$200,0)),""))</f>
        <v/>
      </c>
    </row>
    <row r="820">
      <c r="J820">
        <f>IF(OR(H820="",I820=""),"",ROUND(100*H820/I820,0))</f>
        <v/>
      </c>
      <c r="M820">
        <f>IF(D820="","",IFERROR(INDEX(Classes!$B$2:$B$200,MATCH(D820,Classes!$E$2:$E$200,0)),""))</f>
        <v/>
      </c>
    </row>
    <row r="821">
      <c r="J821">
        <f>IF(OR(H821="",I821=""),"",ROUND(100*H821/I821,0))</f>
        <v/>
      </c>
      <c r="M821">
        <f>IF(D821="","",IFERROR(INDEX(Classes!$B$2:$B$200,MATCH(D821,Classes!$E$2:$E$200,0)),""))</f>
        <v/>
      </c>
    </row>
    <row r="822">
      <c r="J822">
        <f>IF(OR(H822="",I822=""),"",ROUND(100*H822/I822,0))</f>
        <v/>
      </c>
      <c r="M822">
        <f>IF(D822="","",IFERROR(INDEX(Classes!$B$2:$B$200,MATCH(D822,Classes!$E$2:$E$200,0)),""))</f>
        <v/>
      </c>
    </row>
    <row r="823">
      <c r="J823">
        <f>IF(OR(H823="",I823=""),"",ROUND(100*H823/I823,0))</f>
        <v/>
      </c>
      <c r="M823">
        <f>IF(D823="","",IFERROR(INDEX(Classes!$B$2:$B$200,MATCH(D823,Classes!$E$2:$E$200,0)),""))</f>
        <v/>
      </c>
    </row>
    <row r="824">
      <c r="J824">
        <f>IF(OR(H824="",I824=""),"",ROUND(100*H824/I824,0))</f>
        <v/>
      </c>
      <c r="M824">
        <f>IF(D824="","",IFERROR(INDEX(Classes!$B$2:$B$200,MATCH(D824,Classes!$E$2:$E$200,0)),""))</f>
        <v/>
      </c>
    </row>
    <row r="825">
      <c r="J825">
        <f>IF(OR(H825="",I825=""),"",ROUND(100*H825/I825,0))</f>
        <v/>
      </c>
      <c r="M825">
        <f>IF(D825="","",IFERROR(INDEX(Classes!$B$2:$B$200,MATCH(D825,Classes!$E$2:$E$200,0)),""))</f>
        <v/>
      </c>
    </row>
    <row r="826">
      <c r="J826">
        <f>IF(OR(H826="",I826=""),"",ROUND(100*H826/I826,0))</f>
        <v/>
      </c>
      <c r="M826">
        <f>IF(D826="","",IFERROR(INDEX(Classes!$B$2:$B$200,MATCH(D826,Classes!$E$2:$E$200,0)),""))</f>
        <v/>
      </c>
    </row>
    <row r="827">
      <c r="J827">
        <f>IF(OR(H827="",I827=""),"",ROUND(100*H827/I827,0))</f>
        <v/>
      </c>
      <c r="M827">
        <f>IF(D827="","",IFERROR(INDEX(Classes!$B$2:$B$200,MATCH(D827,Classes!$E$2:$E$200,0)),""))</f>
        <v/>
      </c>
    </row>
    <row r="828">
      <c r="J828">
        <f>IF(OR(H828="",I828=""),"",ROUND(100*H828/I828,0))</f>
        <v/>
      </c>
      <c r="M828">
        <f>IF(D828="","",IFERROR(INDEX(Classes!$B$2:$B$200,MATCH(D828,Classes!$E$2:$E$200,0)),""))</f>
        <v/>
      </c>
    </row>
    <row r="829">
      <c r="J829">
        <f>IF(OR(H829="",I829=""),"",ROUND(100*H829/I829,0))</f>
        <v/>
      </c>
      <c r="M829">
        <f>IF(D829="","",IFERROR(INDEX(Classes!$B$2:$B$200,MATCH(D829,Classes!$E$2:$E$200,0)),""))</f>
        <v/>
      </c>
    </row>
    <row r="830">
      <c r="J830">
        <f>IF(OR(H830="",I830=""),"",ROUND(100*H830/I830,0))</f>
        <v/>
      </c>
      <c r="M830">
        <f>IF(D830="","",IFERROR(INDEX(Classes!$B$2:$B$200,MATCH(D830,Classes!$E$2:$E$200,0)),""))</f>
        <v/>
      </c>
    </row>
    <row r="831">
      <c r="J831">
        <f>IF(OR(H831="",I831=""),"",ROUND(100*H831/I831,0))</f>
        <v/>
      </c>
      <c r="M831">
        <f>IF(D831="","",IFERROR(INDEX(Classes!$B$2:$B$200,MATCH(D831,Classes!$E$2:$E$200,0)),""))</f>
        <v/>
      </c>
    </row>
    <row r="832">
      <c r="J832">
        <f>IF(OR(H832="",I832=""),"",ROUND(100*H832/I832,0))</f>
        <v/>
      </c>
      <c r="M832">
        <f>IF(D832="","",IFERROR(INDEX(Classes!$B$2:$B$200,MATCH(D832,Classes!$E$2:$E$200,0)),""))</f>
        <v/>
      </c>
    </row>
    <row r="833">
      <c r="J833">
        <f>IF(OR(H833="",I833=""),"",ROUND(100*H833/I833,0))</f>
        <v/>
      </c>
      <c r="M833">
        <f>IF(D833="","",IFERROR(INDEX(Classes!$B$2:$B$200,MATCH(D833,Classes!$E$2:$E$200,0)),""))</f>
        <v/>
      </c>
    </row>
    <row r="834">
      <c r="J834">
        <f>IF(OR(H834="",I834=""),"",ROUND(100*H834/I834,0))</f>
        <v/>
      </c>
      <c r="M834">
        <f>IF(D834="","",IFERROR(INDEX(Classes!$B$2:$B$200,MATCH(D834,Classes!$E$2:$E$200,0)),""))</f>
        <v/>
      </c>
    </row>
    <row r="835">
      <c r="J835">
        <f>IF(OR(H835="",I835=""),"",ROUND(100*H835/I835,0))</f>
        <v/>
      </c>
      <c r="M835">
        <f>IF(D835="","",IFERROR(INDEX(Classes!$B$2:$B$200,MATCH(D835,Classes!$E$2:$E$200,0)),""))</f>
        <v/>
      </c>
    </row>
    <row r="836">
      <c r="J836">
        <f>IF(OR(H836="",I836=""),"",ROUND(100*H836/I836,0))</f>
        <v/>
      </c>
      <c r="M836">
        <f>IF(D836="","",IFERROR(INDEX(Classes!$B$2:$B$200,MATCH(D836,Classes!$E$2:$E$200,0)),""))</f>
        <v/>
      </c>
    </row>
    <row r="837">
      <c r="J837">
        <f>IF(OR(H837="",I837=""),"",ROUND(100*H837/I837,0))</f>
        <v/>
      </c>
      <c r="M837">
        <f>IF(D837="","",IFERROR(INDEX(Classes!$B$2:$B$200,MATCH(D837,Classes!$E$2:$E$200,0)),""))</f>
        <v/>
      </c>
    </row>
    <row r="838">
      <c r="J838">
        <f>IF(OR(H838="",I838=""),"",ROUND(100*H838/I838,0))</f>
        <v/>
      </c>
      <c r="M838">
        <f>IF(D838="","",IFERROR(INDEX(Classes!$B$2:$B$200,MATCH(D838,Classes!$E$2:$E$200,0)),""))</f>
        <v/>
      </c>
    </row>
    <row r="839">
      <c r="J839">
        <f>IF(OR(H839="",I839=""),"",ROUND(100*H839/I839,0))</f>
        <v/>
      </c>
      <c r="M839">
        <f>IF(D839="","",IFERROR(INDEX(Classes!$B$2:$B$200,MATCH(D839,Classes!$E$2:$E$200,0)),""))</f>
        <v/>
      </c>
    </row>
    <row r="840">
      <c r="J840">
        <f>IF(OR(H840="",I840=""),"",ROUND(100*H840/I840,0))</f>
        <v/>
      </c>
      <c r="M840">
        <f>IF(D840="","",IFERROR(INDEX(Classes!$B$2:$B$200,MATCH(D840,Classes!$E$2:$E$200,0)),""))</f>
        <v/>
      </c>
    </row>
    <row r="841">
      <c r="J841">
        <f>IF(OR(H841="",I841=""),"",ROUND(100*H841/I841,0))</f>
        <v/>
      </c>
      <c r="M841">
        <f>IF(D841="","",IFERROR(INDEX(Classes!$B$2:$B$200,MATCH(D841,Classes!$E$2:$E$200,0)),""))</f>
        <v/>
      </c>
    </row>
    <row r="842">
      <c r="J842">
        <f>IF(OR(H842="",I842=""),"",ROUND(100*H842/I842,0))</f>
        <v/>
      </c>
      <c r="M842">
        <f>IF(D842="","",IFERROR(INDEX(Classes!$B$2:$B$200,MATCH(D842,Classes!$E$2:$E$200,0)),""))</f>
        <v/>
      </c>
    </row>
    <row r="843">
      <c r="J843">
        <f>IF(OR(H843="",I843=""),"",ROUND(100*H843/I843,0))</f>
        <v/>
      </c>
      <c r="M843">
        <f>IF(D843="","",IFERROR(INDEX(Classes!$B$2:$B$200,MATCH(D843,Classes!$E$2:$E$200,0)),""))</f>
        <v/>
      </c>
    </row>
    <row r="844">
      <c r="J844">
        <f>IF(OR(H844="",I844=""),"",ROUND(100*H844/I844,0))</f>
        <v/>
      </c>
      <c r="M844">
        <f>IF(D844="","",IFERROR(INDEX(Classes!$B$2:$B$200,MATCH(D844,Classes!$E$2:$E$200,0)),""))</f>
        <v/>
      </c>
    </row>
    <row r="845">
      <c r="J845">
        <f>IF(OR(H845="",I845=""),"",ROUND(100*H845/I845,0))</f>
        <v/>
      </c>
      <c r="M845">
        <f>IF(D845="","",IFERROR(INDEX(Classes!$B$2:$B$200,MATCH(D845,Classes!$E$2:$E$200,0)),""))</f>
        <v/>
      </c>
    </row>
    <row r="846">
      <c r="J846">
        <f>IF(OR(H846="",I846=""),"",ROUND(100*H846/I846,0))</f>
        <v/>
      </c>
      <c r="M846">
        <f>IF(D846="","",IFERROR(INDEX(Classes!$B$2:$B$200,MATCH(D846,Classes!$E$2:$E$200,0)),""))</f>
        <v/>
      </c>
    </row>
    <row r="847">
      <c r="J847">
        <f>IF(OR(H847="",I847=""),"",ROUND(100*H847/I847,0))</f>
        <v/>
      </c>
      <c r="M847">
        <f>IF(D847="","",IFERROR(INDEX(Classes!$B$2:$B$200,MATCH(D847,Classes!$E$2:$E$200,0)),""))</f>
        <v/>
      </c>
    </row>
    <row r="848">
      <c r="J848">
        <f>IF(OR(H848="",I848=""),"",ROUND(100*H848/I848,0))</f>
        <v/>
      </c>
      <c r="M848">
        <f>IF(D848="","",IFERROR(INDEX(Classes!$B$2:$B$200,MATCH(D848,Classes!$E$2:$E$200,0)),""))</f>
        <v/>
      </c>
    </row>
    <row r="849">
      <c r="J849">
        <f>IF(OR(H849="",I849=""),"",ROUND(100*H849/I849,0))</f>
        <v/>
      </c>
      <c r="M849">
        <f>IF(D849="","",IFERROR(INDEX(Classes!$B$2:$B$200,MATCH(D849,Classes!$E$2:$E$200,0)),""))</f>
        <v/>
      </c>
    </row>
    <row r="850">
      <c r="J850">
        <f>IF(OR(H850="",I850=""),"",ROUND(100*H850/I850,0))</f>
        <v/>
      </c>
      <c r="M850">
        <f>IF(D850="","",IFERROR(INDEX(Classes!$B$2:$B$200,MATCH(D850,Classes!$E$2:$E$200,0)),""))</f>
        <v/>
      </c>
    </row>
    <row r="851">
      <c r="J851">
        <f>IF(OR(H851="",I851=""),"",ROUND(100*H851/I851,0))</f>
        <v/>
      </c>
      <c r="M851">
        <f>IF(D851="","",IFERROR(INDEX(Classes!$B$2:$B$200,MATCH(D851,Classes!$E$2:$E$200,0)),""))</f>
        <v/>
      </c>
    </row>
    <row r="852">
      <c r="J852">
        <f>IF(OR(H852="",I852=""),"",ROUND(100*H852/I852,0))</f>
        <v/>
      </c>
      <c r="M852">
        <f>IF(D852="","",IFERROR(INDEX(Classes!$B$2:$B$200,MATCH(D852,Classes!$E$2:$E$200,0)),""))</f>
        <v/>
      </c>
    </row>
    <row r="853">
      <c r="J853">
        <f>IF(OR(H853="",I853=""),"",ROUND(100*H853/I853,0))</f>
        <v/>
      </c>
      <c r="M853">
        <f>IF(D853="","",IFERROR(INDEX(Classes!$B$2:$B$200,MATCH(D853,Classes!$E$2:$E$200,0)),""))</f>
        <v/>
      </c>
    </row>
    <row r="854">
      <c r="J854">
        <f>IF(OR(H854="",I854=""),"",ROUND(100*H854/I854,0))</f>
        <v/>
      </c>
      <c r="M854">
        <f>IF(D854="","",IFERROR(INDEX(Classes!$B$2:$B$200,MATCH(D854,Classes!$E$2:$E$200,0)),""))</f>
        <v/>
      </c>
    </row>
    <row r="855">
      <c r="J855">
        <f>IF(OR(H855="",I855=""),"",ROUND(100*H855/I855,0))</f>
        <v/>
      </c>
      <c r="M855">
        <f>IF(D855="","",IFERROR(INDEX(Classes!$B$2:$B$200,MATCH(D855,Classes!$E$2:$E$200,0)),""))</f>
        <v/>
      </c>
    </row>
    <row r="856">
      <c r="J856">
        <f>IF(OR(H856="",I856=""),"",ROUND(100*H856/I856,0))</f>
        <v/>
      </c>
      <c r="M856">
        <f>IF(D856="","",IFERROR(INDEX(Classes!$B$2:$B$200,MATCH(D856,Classes!$E$2:$E$200,0)),""))</f>
        <v/>
      </c>
    </row>
    <row r="857">
      <c r="J857">
        <f>IF(OR(H857="",I857=""),"",ROUND(100*H857/I857,0))</f>
        <v/>
      </c>
      <c r="M857">
        <f>IF(D857="","",IFERROR(INDEX(Classes!$B$2:$B$200,MATCH(D857,Classes!$E$2:$E$200,0)),""))</f>
        <v/>
      </c>
    </row>
    <row r="858">
      <c r="J858">
        <f>IF(OR(H858="",I858=""),"",ROUND(100*H858/I858,0))</f>
        <v/>
      </c>
      <c r="M858">
        <f>IF(D858="","",IFERROR(INDEX(Classes!$B$2:$B$200,MATCH(D858,Classes!$E$2:$E$200,0)),""))</f>
        <v/>
      </c>
    </row>
    <row r="859">
      <c r="J859">
        <f>IF(OR(H859="",I859=""),"",ROUND(100*H859/I859,0))</f>
        <v/>
      </c>
      <c r="M859">
        <f>IF(D859="","",IFERROR(INDEX(Classes!$B$2:$B$200,MATCH(D859,Classes!$E$2:$E$200,0)),""))</f>
        <v/>
      </c>
    </row>
    <row r="860">
      <c r="J860">
        <f>IF(OR(H860="",I860=""),"",ROUND(100*H860/I860,0))</f>
        <v/>
      </c>
      <c r="M860">
        <f>IF(D860="","",IFERROR(INDEX(Classes!$B$2:$B$200,MATCH(D860,Classes!$E$2:$E$200,0)),""))</f>
        <v/>
      </c>
    </row>
    <row r="861">
      <c r="J861">
        <f>IF(OR(H861="",I861=""),"",ROUND(100*H861/I861,0))</f>
        <v/>
      </c>
      <c r="M861">
        <f>IF(D861="","",IFERROR(INDEX(Classes!$B$2:$B$200,MATCH(D861,Classes!$E$2:$E$200,0)),""))</f>
        <v/>
      </c>
    </row>
    <row r="862">
      <c r="J862">
        <f>IF(OR(H862="",I862=""),"",ROUND(100*H862/I862,0))</f>
        <v/>
      </c>
      <c r="M862">
        <f>IF(D862="","",IFERROR(INDEX(Classes!$B$2:$B$200,MATCH(D862,Classes!$E$2:$E$200,0)),""))</f>
        <v/>
      </c>
    </row>
    <row r="863">
      <c r="J863">
        <f>IF(OR(H863="",I863=""),"",ROUND(100*H863/I863,0))</f>
        <v/>
      </c>
      <c r="M863">
        <f>IF(D863="","",IFERROR(INDEX(Classes!$B$2:$B$200,MATCH(D863,Classes!$E$2:$E$200,0)),""))</f>
        <v/>
      </c>
    </row>
    <row r="864">
      <c r="J864">
        <f>IF(OR(H864="",I864=""),"",ROUND(100*H864/I864,0))</f>
        <v/>
      </c>
      <c r="M864">
        <f>IF(D864="","",IFERROR(INDEX(Classes!$B$2:$B$200,MATCH(D864,Classes!$E$2:$E$200,0)),""))</f>
        <v/>
      </c>
    </row>
    <row r="865">
      <c r="J865">
        <f>IF(OR(H865="",I865=""),"",ROUND(100*H865/I865,0))</f>
        <v/>
      </c>
      <c r="M865">
        <f>IF(D865="","",IFERROR(INDEX(Classes!$B$2:$B$200,MATCH(D865,Classes!$E$2:$E$200,0)),""))</f>
        <v/>
      </c>
    </row>
    <row r="866">
      <c r="J866">
        <f>IF(OR(H866="",I866=""),"",ROUND(100*H866/I866,0))</f>
        <v/>
      </c>
      <c r="M866">
        <f>IF(D866="","",IFERROR(INDEX(Classes!$B$2:$B$200,MATCH(D866,Classes!$E$2:$E$200,0)),""))</f>
        <v/>
      </c>
    </row>
    <row r="867">
      <c r="J867">
        <f>IF(OR(H867="",I867=""),"",ROUND(100*H867/I867,0))</f>
        <v/>
      </c>
      <c r="M867">
        <f>IF(D867="","",IFERROR(INDEX(Classes!$B$2:$B$200,MATCH(D867,Classes!$E$2:$E$200,0)),""))</f>
        <v/>
      </c>
    </row>
    <row r="868">
      <c r="J868">
        <f>IF(OR(H868="",I868=""),"",ROUND(100*H868/I868,0))</f>
        <v/>
      </c>
      <c r="M868">
        <f>IF(D868="","",IFERROR(INDEX(Classes!$B$2:$B$200,MATCH(D868,Classes!$E$2:$E$200,0)),""))</f>
        <v/>
      </c>
    </row>
    <row r="869">
      <c r="J869">
        <f>IF(OR(H869="",I869=""),"",ROUND(100*H869/I869,0))</f>
        <v/>
      </c>
      <c r="M869">
        <f>IF(D869="","",IFERROR(INDEX(Classes!$B$2:$B$200,MATCH(D869,Classes!$E$2:$E$200,0)),""))</f>
        <v/>
      </c>
    </row>
    <row r="870">
      <c r="J870">
        <f>IF(OR(H870="",I870=""),"",ROUND(100*H870/I870,0))</f>
        <v/>
      </c>
      <c r="M870">
        <f>IF(D870="","",IFERROR(INDEX(Classes!$B$2:$B$200,MATCH(D870,Classes!$E$2:$E$200,0)),""))</f>
        <v/>
      </c>
    </row>
    <row r="871">
      <c r="J871">
        <f>IF(OR(H871="",I871=""),"",ROUND(100*H871/I871,0))</f>
        <v/>
      </c>
      <c r="M871">
        <f>IF(D871="","",IFERROR(INDEX(Classes!$B$2:$B$200,MATCH(D871,Classes!$E$2:$E$200,0)),""))</f>
        <v/>
      </c>
    </row>
    <row r="872">
      <c r="J872">
        <f>IF(OR(H872="",I872=""),"",ROUND(100*H872/I872,0))</f>
        <v/>
      </c>
      <c r="M872">
        <f>IF(D872="","",IFERROR(INDEX(Classes!$B$2:$B$200,MATCH(D872,Classes!$E$2:$E$200,0)),""))</f>
        <v/>
      </c>
    </row>
    <row r="873">
      <c r="J873">
        <f>IF(OR(H873="",I873=""),"",ROUND(100*H873/I873,0))</f>
        <v/>
      </c>
      <c r="M873">
        <f>IF(D873="","",IFERROR(INDEX(Classes!$B$2:$B$200,MATCH(D873,Classes!$E$2:$E$200,0)),""))</f>
        <v/>
      </c>
    </row>
    <row r="874">
      <c r="J874">
        <f>IF(OR(H874="",I874=""),"",ROUND(100*H874/I874,0))</f>
        <v/>
      </c>
      <c r="M874">
        <f>IF(D874="","",IFERROR(INDEX(Classes!$B$2:$B$200,MATCH(D874,Classes!$E$2:$E$200,0)),""))</f>
        <v/>
      </c>
    </row>
    <row r="875">
      <c r="J875">
        <f>IF(OR(H875="",I875=""),"",ROUND(100*H875/I875,0))</f>
        <v/>
      </c>
      <c r="M875">
        <f>IF(D875="","",IFERROR(INDEX(Classes!$B$2:$B$200,MATCH(D875,Classes!$E$2:$E$200,0)),""))</f>
        <v/>
      </c>
    </row>
    <row r="876">
      <c r="J876">
        <f>IF(OR(H876="",I876=""),"",ROUND(100*H876/I876,0))</f>
        <v/>
      </c>
      <c r="M876">
        <f>IF(D876="","",IFERROR(INDEX(Classes!$B$2:$B$200,MATCH(D876,Classes!$E$2:$E$200,0)),""))</f>
        <v/>
      </c>
    </row>
    <row r="877">
      <c r="J877">
        <f>IF(OR(H877="",I877=""),"",ROUND(100*H877/I877,0))</f>
        <v/>
      </c>
      <c r="M877">
        <f>IF(D877="","",IFERROR(INDEX(Classes!$B$2:$B$200,MATCH(D877,Classes!$E$2:$E$200,0)),""))</f>
        <v/>
      </c>
    </row>
    <row r="878">
      <c r="J878">
        <f>IF(OR(H878="",I878=""),"",ROUND(100*H878/I878,0))</f>
        <v/>
      </c>
      <c r="M878">
        <f>IF(D878="","",IFERROR(INDEX(Classes!$B$2:$B$200,MATCH(D878,Classes!$E$2:$E$200,0)),""))</f>
        <v/>
      </c>
    </row>
    <row r="879">
      <c r="J879">
        <f>IF(OR(H879="",I879=""),"",ROUND(100*H879/I879,0))</f>
        <v/>
      </c>
      <c r="M879">
        <f>IF(D879="","",IFERROR(INDEX(Classes!$B$2:$B$200,MATCH(D879,Classes!$E$2:$E$200,0)),""))</f>
        <v/>
      </c>
    </row>
    <row r="880">
      <c r="J880">
        <f>IF(OR(H880="",I880=""),"",ROUND(100*H880/I880,0))</f>
        <v/>
      </c>
      <c r="M880">
        <f>IF(D880="","",IFERROR(INDEX(Classes!$B$2:$B$200,MATCH(D880,Classes!$E$2:$E$200,0)),""))</f>
        <v/>
      </c>
    </row>
    <row r="881">
      <c r="J881">
        <f>IF(OR(H881="",I881=""),"",ROUND(100*H881/I881,0))</f>
        <v/>
      </c>
      <c r="M881">
        <f>IF(D881="","",IFERROR(INDEX(Classes!$B$2:$B$200,MATCH(D881,Classes!$E$2:$E$200,0)),""))</f>
        <v/>
      </c>
    </row>
    <row r="882">
      <c r="J882">
        <f>IF(OR(H882="",I882=""),"",ROUND(100*H882/I882,0))</f>
        <v/>
      </c>
      <c r="M882">
        <f>IF(D882="","",IFERROR(INDEX(Classes!$B$2:$B$200,MATCH(D882,Classes!$E$2:$E$200,0)),""))</f>
        <v/>
      </c>
    </row>
    <row r="883">
      <c r="J883">
        <f>IF(OR(H883="",I883=""),"",ROUND(100*H883/I883,0))</f>
        <v/>
      </c>
      <c r="M883">
        <f>IF(D883="","",IFERROR(INDEX(Classes!$B$2:$B$200,MATCH(D883,Classes!$E$2:$E$200,0)),""))</f>
        <v/>
      </c>
    </row>
    <row r="884">
      <c r="J884">
        <f>IF(OR(H884="",I884=""),"",ROUND(100*H884/I884,0))</f>
        <v/>
      </c>
      <c r="M884">
        <f>IF(D884="","",IFERROR(INDEX(Classes!$B$2:$B$200,MATCH(D884,Classes!$E$2:$E$200,0)),""))</f>
        <v/>
      </c>
    </row>
    <row r="885">
      <c r="J885">
        <f>IF(OR(H885="",I885=""),"",ROUND(100*H885/I885,0))</f>
        <v/>
      </c>
      <c r="M885">
        <f>IF(D885="","",IFERROR(INDEX(Classes!$B$2:$B$200,MATCH(D885,Classes!$E$2:$E$200,0)),""))</f>
        <v/>
      </c>
    </row>
    <row r="886">
      <c r="J886">
        <f>IF(OR(H886="",I886=""),"",ROUND(100*H886/I886,0))</f>
        <v/>
      </c>
      <c r="M886">
        <f>IF(D886="","",IFERROR(INDEX(Classes!$B$2:$B$200,MATCH(D886,Classes!$E$2:$E$200,0)),""))</f>
        <v/>
      </c>
    </row>
    <row r="887">
      <c r="J887">
        <f>IF(OR(H887="",I887=""),"",ROUND(100*H887/I887,0))</f>
        <v/>
      </c>
      <c r="M887">
        <f>IF(D887="","",IFERROR(INDEX(Classes!$B$2:$B$200,MATCH(D887,Classes!$E$2:$E$200,0)),""))</f>
        <v/>
      </c>
    </row>
    <row r="888">
      <c r="J888">
        <f>IF(OR(H888="",I888=""),"",ROUND(100*H888/I888,0))</f>
        <v/>
      </c>
      <c r="M888">
        <f>IF(D888="","",IFERROR(INDEX(Classes!$B$2:$B$200,MATCH(D888,Classes!$E$2:$E$200,0)),""))</f>
        <v/>
      </c>
    </row>
    <row r="889">
      <c r="J889">
        <f>IF(OR(H889="",I889=""),"",ROUND(100*H889/I889,0))</f>
        <v/>
      </c>
      <c r="M889">
        <f>IF(D889="","",IFERROR(INDEX(Classes!$B$2:$B$200,MATCH(D889,Classes!$E$2:$E$200,0)),""))</f>
        <v/>
      </c>
    </row>
    <row r="890">
      <c r="J890">
        <f>IF(OR(H890="",I890=""),"",ROUND(100*H890/I890,0))</f>
        <v/>
      </c>
      <c r="M890">
        <f>IF(D890="","",IFERROR(INDEX(Classes!$B$2:$B$200,MATCH(D890,Classes!$E$2:$E$200,0)),""))</f>
        <v/>
      </c>
    </row>
    <row r="891">
      <c r="J891">
        <f>IF(OR(H891="",I891=""),"",ROUND(100*H891/I891,0))</f>
        <v/>
      </c>
      <c r="M891">
        <f>IF(D891="","",IFERROR(INDEX(Classes!$B$2:$B$200,MATCH(D891,Classes!$E$2:$E$200,0)),""))</f>
        <v/>
      </c>
    </row>
    <row r="892">
      <c r="J892">
        <f>IF(OR(H892="",I892=""),"",ROUND(100*H892/I892,0))</f>
        <v/>
      </c>
      <c r="M892">
        <f>IF(D892="","",IFERROR(INDEX(Classes!$B$2:$B$200,MATCH(D892,Classes!$E$2:$E$200,0)),""))</f>
        <v/>
      </c>
    </row>
    <row r="893">
      <c r="J893">
        <f>IF(OR(H893="",I893=""),"",ROUND(100*H893/I893,0))</f>
        <v/>
      </c>
      <c r="M893">
        <f>IF(D893="","",IFERROR(INDEX(Classes!$B$2:$B$200,MATCH(D893,Classes!$E$2:$E$200,0)),""))</f>
        <v/>
      </c>
    </row>
    <row r="894">
      <c r="J894">
        <f>IF(OR(H894="",I894=""),"",ROUND(100*H894/I894,0))</f>
        <v/>
      </c>
      <c r="M894">
        <f>IF(D894="","",IFERROR(INDEX(Classes!$B$2:$B$200,MATCH(D894,Classes!$E$2:$E$200,0)),""))</f>
        <v/>
      </c>
    </row>
    <row r="895">
      <c r="J895">
        <f>IF(OR(H895="",I895=""),"",ROUND(100*H895/I895,0))</f>
        <v/>
      </c>
      <c r="M895">
        <f>IF(D895="","",IFERROR(INDEX(Classes!$B$2:$B$200,MATCH(D895,Classes!$E$2:$E$200,0)),""))</f>
        <v/>
      </c>
    </row>
    <row r="896">
      <c r="J896">
        <f>IF(OR(H896="",I896=""),"",ROUND(100*H896/I896,0))</f>
        <v/>
      </c>
      <c r="M896">
        <f>IF(D896="","",IFERROR(INDEX(Classes!$B$2:$B$200,MATCH(D896,Classes!$E$2:$E$200,0)),""))</f>
        <v/>
      </c>
    </row>
    <row r="897">
      <c r="J897">
        <f>IF(OR(H897="",I897=""),"",ROUND(100*H897/I897,0))</f>
        <v/>
      </c>
      <c r="M897">
        <f>IF(D897="","",IFERROR(INDEX(Classes!$B$2:$B$200,MATCH(D897,Classes!$E$2:$E$200,0)),""))</f>
        <v/>
      </c>
    </row>
    <row r="898">
      <c r="J898">
        <f>IF(OR(H898="",I898=""),"",ROUND(100*H898/I898,0))</f>
        <v/>
      </c>
      <c r="M898">
        <f>IF(D898="","",IFERROR(INDEX(Classes!$B$2:$B$200,MATCH(D898,Classes!$E$2:$E$200,0)),""))</f>
        <v/>
      </c>
    </row>
    <row r="899">
      <c r="J899">
        <f>IF(OR(H899="",I899=""),"",ROUND(100*H899/I899,0))</f>
        <v/>
      </c>
      <c r="M899">
        <f>IF(D899="","",IFERROR(INDEX(Classes!$B$2:$B$200,MATCH(D899,Classes!$E$2:$E$200,0)),""))</f>
        <v/>
      </c>
    </row>
    <row r="900">
      <c r="J900">
        <f>IF(OR(H900="",I900=""),"",ROUND(100*H900/I900,0))</f>
        <v/>
      </c>
      <c r="M900">
        <f>IF(D900="","",IFERROR(INDEX(Classes!$B$2:$B$200,MATCH(D900,Classes!$E$2:$E$200,0)),""))</f>
        <v/>
      </c>
    </row>
    <row r="901">
      <c r="J901">
        <f>IF(OR(H901="",I901=""),"",ROUND(100*H901/I901,0))</f>
        <v/>
      </c>
      <c r="M901">
        <f>IF(D901="","",IFERROR(INDEX(Classes!$B$2:$B$200,MATCH(D901,Classes!$E$2:$E$200,0)),""))</f>
        <v/>
      </c>
    </row>
    <row r="902">
      <c r="J902">
        <f>IF(OR(H902="",I902=""),"",ROUND(100*H902/I902,0))</f>
        <v/>
      </c>
      <c r="M902">
        <f>IF(D902="","",IFERROR(INDEX(Classes!$B$2:$B$200,MATCH(D902,Classes!$E$2:$E$200,0)),""))</f>
        <v/>
      </c>
    </row>
    <row r="903">
      <c r="J903">
        <f>IF(OR(H903="",I903=""),"",ROUND(100*H903/I903,0))</f>
        <v/>
      </c>
      <c r="M903">
        <f>IF(D903="","",IFERROR(INDEX(Classes!$B$2:$B$200,MATCH(D903,Classes!$E$2:$E$200,0)),""))</f>
        <v/>
      </c>
    </row>
    <row r="904">
      <c r="J904">
        <f>IF(OR(H904="",I904=""),"",ROUND(100*H904/I904,0))</f>
        <v/>
      </c>
      <c r="M904">
        <f>IF(D904="","",IFERROR(INDEX(Classes!$B$2:$B$200,MATCH(D904,Classes!$E$2:$E$200,0)),""))</f>
        <v/>
      </c>
    </row>
    <row r="905">
      <c r="J905">
        <f>IF(OR(H905="",I905=""),"",ROUND(100*H905/I905,0))</f>
        <v/>
      </c>
      <c r="M905">
        <f>IF(D905="","",IFERROR(INDEX(Classes!$B$2:$B$200,MATCH(D905,Classes!$E$2:$E$200,0)),""))</f>
        <v/>
      </c>
    </row>
    <row r="906">
      <c r="J906">
        <f>IF(OR(H906="",I906=""),"",ROUND(100*H906/I906,0))</f>
        <v/>
      </c>
      <c r="M906">
        <f>IF(D906="","",IFERROR(INDEX(Classes!$B$2:$B$200,MATCH(D906,Classes!$E$2:$E$200,0)),""))</f>
        <v/>
      </c>
    </row>
    <row r="907">
      <c r="J907">
        <f>IF(OR(H907="",I907=""),"",ROUND(100*H907/I907,0))</f>
        <v/>
      </c>
      <c r="M907">
        <f>IF(D907="","",IFERROR(INDEX(Classes!$B$2:$B$200,MATCH(D907,Classes!$E$2:$E$200,0)),""))</f>
        <v/>
      </c>
    </row>
    <row r="908">
      <c r="J908">
        <f>IF(OR(H908="",I908=""),"",ROUND(100*H908/I908,0))</f>
        <v/>
      </c>
      <c r="M908">
        <f>IF(D908="","",IFERROR(INDEX(Classes!$B$2:$B$200,MATCH(D908,Classes!$E$2:$E$200,0)),""))</f>
        <v/>
      </c>
    </row>
    <row r="909">
      <c r="J909">
        <f>IF(OR(H909="",I909=""),"",ROUND(100*H909/I909,0))</f>
        <v/>
      </c>
      <c r="M909">
        <f>IF(D909="","",IFERROR(INDEX(Classes!$B$2:$B$200,MATCH(D909,Classes!$E$2:$E$200,0)),""))</f>
        <v/>
      </c>
    </row>
    <row r="910">
      <c r="J910">
        <f>IF(OR(H910="",I910=""),"",ROUND(100*H910/I910,0))</f>
        <v/>
      </c>
      <c r="M910">
        <f>IF(D910="","",IFERROR(INDEX(Classes!$B$2:$B$200,MATCH(D910,Classes!$E$2:$E$200,0)),""))</f>
        <v/>
      </c>
    </row>
    <row r="911">
      <c r="J911">
        <f>IF(OR(H911="",I911=""),"",ROUND(100*H911/I911,0))</f>
        <v/>
      </c>
      <c r="M911">
        <f>IF(D911="","",IFERROR(INDEX(Classes!$B$2:$B$200,MATCH(D911,Classes!$E$2:$E$200,0)),""))</f>
        <v/>
      </c>
    </row>
    <row r="912">
      <c r="J912">
        <f>IF(OR(H912="",I912=""),"",ROUND(100*H912/I912,0))</f>
        <v/>
      </c>
      <c r="M912">
        <f>IF(D912="","",IFERROR(INDEX(Classes!$B$2:$B$200,MATCH(D912,Classes!$E$2:$E$200,0)),""))</f>
        <v/>
      </c>
    </row>
    <row r="913">
      <c r="J913">
        <f>IF(OR(H913="",I913=""),"",ROUND(100*H913/I913,0))</f>
        <v/>
      </c>
      <c r="M913">
        <f>IF(D913="","",IFERROR(INDEX(Classes!$B$2:$B$200,MATCH(D913,Classes!$E$2:$E$200,0)),""))</f>
        <v/>
      </c>
    </row>
    <row r="914">
      <c r="J914">
        <f>IF(OR(H914="",I914=""),"",ROUND(100*H914/I914,0))</f>
        <v/>
      </c>
      <c r="M914">
        <f>IF(D914="","",IFERROR(INDEX(Classes!$B$2:$B$200,MATCH(D914,Classes!$E$2:$E$200,0)),""))</f>
        <v/>
      </c>
    </row>
    <row r="915">
      <c r="J915">
        <f>IF(OR(H915="",I915=""),"",ROUND(100*H915/I915,0))</f>
        <v/>
      </c>
      <c r="M915">
        <f>IF(D915="","",IFERROR(INDEX(Classes!$B$2:$B$200,MATCH(D915,Classes!$E$2:$E$200,0)),""))</f>
        <v/>
      </c>
    </row>
    <row r="916">
      <c r="J916">
        <f>IF(OR(H916="",I916=""),"",ROUND(100*H916/I916,0))</f>
        <v/>
      </c>
      <c r="M916">
        <f>IF(D916="","",IFERROR(INDEX(Classes!$B$2:$B$200,MATCH(D916,Classes!$E$2:$E$200,0)),""))</f>
        <v/>
      </c>
    </row>
    <row r="917">
      <c r="J917">
        <f>IF(OR(H917="",I917=""),"",ROUND(100*H917/I917,0))</f>
        <v/>
      </c>
      <c r="M917">
        <f>IF(D917="","",IFERROR(INDEX(Classes!$B$2:$B$200,MATCH(D917,Classes!$E$2:$E$200,0)),""))</f>
        <v/>
      </c>
    </row>
    <row r="918">
      <c r="J918">
        <f>IF(OR(H918="",I918=""),"",ROUND(100*H918/I918,0))</f>
        <v/>
      </c>
      <c r="M918">
        <f>IF(D918="","",IFERROR(INDEX(Classes!$B$2:$B$200,MATCH(D918,Classes!$E$2:$E$200,0)),""))</f>
        <v/>
      </c>
    </row>
    <row r="919">
      <c r="J919">
        <f>IF(OR(H919="",I919=""),"",ROUND(100*H919/I919,0))</f>
        <v/>
      </c>
      <c r="M919">
        <f>IF(D919="","",IFERROR(INDEX(Classes!$B$2:$B$200,MATCH(D919,Classes!$E$2:$E$200,0)),""))</f>
        <v/>
      </c>
    </row>
    <row r="920">
      <c r="J920">
        <f>IF(OR(H920="",I920=""),"",ROUND(100*H920/I920,0))</f>
        <v/>
      </c>
      <c r="M920">
        <f>IF(D920="","",IFERROR(INDEX(Classes!$B$2:$B$200,MATCH(D920,Classes!$E$2:$E$200,0)),""))</f>
        <v/>
      </c>
    </row>
    <row r="921">
      <c r="J921">
        <f>IF(OR(H921="",I921=""),"",ROUND(100*H921/I921,0))</f>
        <v/>
      </c>
      <c r="M921">
        <f>IF(D921="","",IFERROR(INDEX(Classes!$B$2:$B$200,MATCH(D921,Classes!$E$2:$E$200,0)),""))</f>
        <v/>
      </c>
    </row>
    <row r="922">
      <c r="J922">
        <f>IF(OR(H922="",I922=""),"",ROUND(100*H922/I922,0))</f>
        <v/>
      </c>
      <c r="M922">
        <f>IF(D922="","",IFERROR(INDEX(Classes!$B$2:$B$200,MATCH(D922,Classes!$E$2:$E$200,0)),""))</f>
        <v/>
      </c>
    </row>
    <row r="923">
      <c r="J923">
        <f>IF(OR(H923="",I923=""),"",ROUND(100*H923/I923,0))</f>
        <v/>
      </c>
      <c r="M923">
        <f>IF(D923="","",IFERROR(INDEX(Classes!$B$2:$B$200,MATCH(D923,Classes!$E$2:$E$200,0)),""))</f>
        <v/>
      </c>
    </row>
    <row r="924">
      <c r="J924">
        <f>IF(OR(H924="",I924=""),"",ROUND(100*H924/I924,0))</f>
        <v/>
      </c>
      <c r="M924">
        <f>IF(D924="","",IFERROR(INDEX(Classes!$B$2:$B$200,MATCH(D924,Classes!$E$2:$E$200,0)),""))</f>
        <v/>
      </c>
    </row>
    <row r="925">
      <c r="J925">
        <f>IF(OR(H925="",I925=""),"",ROUND(100*H925/I925,0))</f>
        <v/>
      </c>
      <c r="M925">
        <f>IF(D925="","",IFERROR(INDEX(Classes!$B$2:$B$200,MATCH(D925,Classes!$E$2:$E$200,0)),""))</f>
        <v/>
      </c>
    </row>
    <row r="926">
      <c r="J926">
        <f>IF(OR(H926="",I926=""),"",ROUND(100*H926/I926,0))</f>
        <v/>
      </c>
      <c r="M926">
        <f>IF(D926="","",IFERROR(INDEX(Classes!$B$2:$B$200,MATCH(D926,Classes!$E$2:$E$200,0)),""))</f>
        <v/>
      </c>
    </row>
    <row r="927">
      <c r="J927">
        <f>IF(OR(H927="",I927=""),"",ROUND(100*H927/I927,0))</f>
        <v/>
      </c>
      <c r="M927">
        <f>IF(D927="","",IFERROR(INDEX(Classes!$B$2:$B$200,MATCH(D927,Classes!$E$2:$E$200,0)),""))</f>
        <v/>
      </c>
    </row>
    <row r="928">
      <c r="J928">
        <f>IF(OR(H928="",I928=""),"",ROUND(100*H928/I928,0))</f>
        <v/>
      </c>
      <c r="M928">
        <f>IF(D928="","",IFERROR(INDEX(Classes!$B$2:$B$200,MATCH(D928,Classes!$E$2:$E$200,0)),""))</f>
        <v/>
      </c>
    </row>
    <row r="929">
      <c r="J929">
        <f>IF(OR(H929="",I929=""),"",ROUND(100*H929/I929,0))</f>
        <v/>
      </c>
      <c r="M929">
        <f>IF(D929="","",IFERROR(INDEX(Classes!$B$2:$B$200,MATCH(D929,Classes!$E$2:$E$200,0)),""))</f>
        <v/>
      </c>
    </row>
    <row r="930">
      <c r="J930">
        <f>IF(OR(H930="",I930=""),"",ROUND(100*H930/I930,0))</f>
        <v/>
      </c>
      <c r="M930">
        <f>IF(D930="","",IFERROR(INDEX(Classes!$B$2:$B$200,MATCH(D930,Classes!$E$2:$E$200,0)),""))</f>
        <v/>
      </c>
    </row>
    <row r="931">
      <c r="J931">
        <f>IF(OR(H931="",I931=""),"",ROUND(100*H931/I931,0))</f>
        <v/>
      </c>
      <c r="M931">
        <f>IF(D931="","",IFERROR(INDEX(Classes!$B$2:$B$200,MATCH(D931,Classes!$E$2:$E$200,0)),""))</f>
        <v/>
      </c>
    </row>
    <row r="932">
      <c r="J932">
        <f>IF(OR(H932="",I932=""),"",ROUND(100*H932/I932,0))</f>
        <v/>
      </c>
      <c r="M932">
        <f>IF(D932="","",IFERROR(INDEX(Classes!$B$2:$B$200,MATCH(D932,Classes!$E$2:$E$200,0)),""))</f>
        <v/>
      </c>
    </row>
    <row r="933">
      <c r="J933">
        <f>IF(OR(H933="",I933=""),"",ROUND(100*H933/I933,0))</f>
        <v/>
      </c>
      <c r="M933">
        <f>IF(D933="","",IFERROR(INDEX(Classes!$B$2:$B$200,MATCH(D933,Classes!$E$2:$E$200,0)),""))</f>
        <v/>
      </c>
    </row>
    <row r="934">
      <c r="J934">
        <f>IF(OR(H934="",I934=""),"",ROUND(100*H934/I934,0))</f>
        <v/>
      </c>
      <c r="M934">
        <f>IF(D934="","",IFERROR(INDEX(Classes!$B$2:$B$200,MATCH(D934,Classes!$E$2:$E$200,0)),""))</f>
        <v/>
      </c>
    </row>
    <row r="935">
      <c r="J935">
        <f>IF(OR(H935="",I935=""),"",ROUND(100*H935/I935,0))</f>
        <v/>
      </c>
      <c r="M935">
        <f>IF(D935="","",IFERROR(INDEX(Classes!$B$2:$B$200,MATCH(D935,Classes!$E$2:$E$200,0)),""))</f>
        <v/>
      </c>
    </row>
    <row r="936">
      <c r="J936">
        <f>IF(OR(H936="",I936=""),"",ROUND(100*H936/I936,0))</f>
        <v/>
      </c>
      <c r="M936">
        <f>IF(D936="","",IFERROR(INDEX(Classes!$B$2:$B$200,MATCH(D936,Classes!$E$2:$E$200,0)),""))</f>
        <v/>
      </c>
    </row>
    <row r="937">
      <c r="J937">
        <f>IF(OR(H937="",I937=""),"",ROUND(100*H937/I937,0))</f>
        <v/>
      </c>
      <c r="M937">
        <f>IF(D937="","",IFERROR(INDEX(Classes!$B$2:$B$200,MATCH(D937,Classes!$E$2:$E$200,0)),""))</f>
        <v/>
      </c>
    </row>
    <row r="938">
      <c r="J938">
        <f>IF(OR(H938="",I938=""),"",ROUND(100*H938/I938,0))</f>
        <v/>
      </c>
      <c r="M938">
        <f>IF(D938="","",IFERROR(INDEX(Classes!$B$2:$B$200,MATCH(D938,Classes!$E$2:$E$200,0)),""))</f>
        <v/>
      </c>
    </row>
    <row r="939">
      <c r="J939">
        <f>IF(OR(H939="",I939=""),"",ROUND(100*H939/I939,0))</f>
        <v/>
      </c>
      <c r="M939">
        <f>IF(D939="","",IFERROR(INDEX(Classes!$B$2:$B$200,MATCH(D939,Classes!$E$2:$E$200,0)),""))</f>
        <v/>
      </c>
    </row>
    <row r="940">
      <c r="J940">
        <f>IF(OR(H940="",I940=""),"",ROUND(100*H940/I940,0))</f>
        <v/>
      </c>
      <c r="M940">
        <f>IF(D940="","",IFERROR(INDEX(Classes!$B$2:$B$200,MATCH(D940,Classes!$E$2:$E$200,0)),""))</f>
        <v/>
      </c>
    </row>
    <row r="941">
      <c r="J941">
        <f>IF(OR(H941="",I941=""),"",ROUND(100*H941/I941,0))</f>
        <v/>
      </c>
      <c r="M941">
        <f>IF(D941="","",IFERROR(INDEX(Classes!$B$2:$B$200,MATCH(D941,Classes!$E$2:$E$200,0)),""))</f>
        <v/>
      </c>
    </row>
    <row r="942">
      <c r="J942">
        <f>IF(OR(H942="",I942=""),"",ROUND(100*H942/I942,0))</f>
        <v/>
      </c>
      <c r="M942">
        <f>IF(D942="","",IFERROR(INDEX(Classes!$B$2:$B$200,MATCH(D942,Classes!$E$2:$E$200,0)),""))</f>
        <v/>
      </c>
    </row>
    <row r="943">
      <c r="J943">
        <f>IF(OR(H943="",I943=""),"",ROUND(100*H943/I943,0))</f>
        <v/>
      </c>
      <c r="M943">
        <f>IF(D943="","",IFERROR(INDEX(Classes!$B$2:$B$200,MATCH(D943,Classes!$E$2:$E$200,0)),""))</f>
        <v/>
      </c>
    </row>
    <row r="944">
      <c r="J944">
        <f>IF(OR(H944="",I944=""),"",ROUND(100*H944/I944,0))</f>
        <v/>
      </c>
      <c r="M944">
        <f>IF(D944="","",IFERROR(INDEX(Classes!$B$2:$B$200,MATCH(D944,Classes!$E$2:$E$200,0)),""))</f>
        <v/>
      </c>
    </row>
    <row r="945">
      <c r="J945">
        <f>IF(OR(H945="",I945=""),"",ROUND(100*H945/I945,0))</f>
        <v/>
      </c>
      <c r="M945">
        <f>IF(D945="","",IFERROR(INDEX(Classes!$B$2:$B$200,MATCH(D945,Classes!$E$2:$E$200,0)),""))</f>
        <v/>
      </c>
    </row>
    <row r="946">
      <c r="J946">
        <f>IF(OR(H946="",I946=""),"",ROUND(100*H946/I946,0))</f>
        <v/>
      </c>
      <c r="M946">
        <f>IF(D946="","",IFERROR(INDEX(Classes!$B$2:$B$200,MATCH(D946,Classes!$E$2:$E$200,0)),""))</f>
        <v/>
      </c>
    </row>
    <row r="947">
      <c r="J947">
        <f>IF(OR(H947="",I947=""),"",ROUND(100*H947/I947,0))</f>
        <v/>
      </c>
      <c r="M947">
        <f>IF(D947="","",IFERROR(INDEX(Classes!$B$2:$B$200,MATCH(D947,Classes!$E$2:$E$200,0)),""))</f>
        <v/>
      </c>
    </row>
    <row r="948">
      <c r="J948">
        <f>IF(OR(H948="",I948=""),"",ROUND(100*H948/I948,0))</f>
        <v/>
      </c>
      <c r="M948">
        <f>IF(D948="","",IFERROR(INDEX(Classes!$B$2:$B$200,MATCH(D948,Classes!$E$2:$E$200,0)),""))</f>
        <v/>
      </c>
    </row>
    <row r="949">
      <c r="J949">
        <f>IF(OR(H949="",I949=""),"",ROUND(100*H949/I949,0))</f>
        <v/>
      </c>
      <c r="M949">
        <f>IF(D949="","",IFERROR(INDEX(Classes!$B$2:$B$200,MATCH(D949,Classes!$E$2:$E$200,0)),""))</f>
        <v/>
      </c>
    </row>
    <row r="950">
      <c r="J950">
        <f>IF(OR(H950="",I950=""),"",ROUND(100*H950/I950,0))</f>
        <v/>
      </c>
      <c r="M950">
        <f>IF(D950="","",IFERROR(INDEX(Classes!$B$2:$B$200,MATCH(D950,Classes!$E$2:$E$200,0)),""))</f>
        <v/>
      </c>
    </row>
    <row r="951">
      <c r="J951">
        <f>IF(OR(H951="",I951=""),"",ROUND(100*H951/I951,0))</f>
        <v/>
      </c>
      <c r="M951">
        <f>IF(D951="","",IFERROR(INDEX(Classes!$B$2:$B$200,MATCH(D951,Classes!$E$2:$E$200,0)),""))</f>
        <v/>
      </c>
    </row>
    <row r="952">
      <c r="J952">
        <f>IF(OR(H952="",I952=""),"",ROUND(100*H952/I952,0))</f>
        <v/>
      </c>
      <c r="M952">
        <f>IF(D952="","",IFERROR(INDEX(Classes!$B$2:$B$200,MATCH(D952,Classes!$E$2:$E$200,0)),""))</f>
        <v/>
      </c>
    </row>
    <row r="953">
      <c r="J953">
        <f>IF(OR(H953="",I953=""),"",ROUND(100*H953/I953,0))</f>
        <v/>
      </c>
      <c r="M953">
        <f>IF(D953="","",IFERROR(INDEX(Classes!$B$2:$B$200,MATCH(D953,Classes!$E$2:$E$200,0)),""))</f>
        <v/>
      </c>
    </row>
    <row r="954">
      <c r="J954">
        <f>IF(OR(H954="",I954=""),"",ROUND(100*H954/I954,0))</f>
        <v/>
      </c>
      <c r="M954">
        <f>IF(D954="","",IFERROR(INDEX(Classes!$B$2:$B$200,MATCH(D954,Classes!$E$2:$E$200,0)),""))</f>
        <v/>
      </c>
    </row>
    <row r="955">
      <c r="J955">
        <f>IF(OR(H955="",I955=""),"",ROUND(100*H955/I955,0))</f>
        <v/>
      </c>
      <c r="M955">
        <f>IF(D955="","",IFERROR(INDEX(Classes!$B$2:$B$200,MATCH(D955,Classes!$E$2:$E$200,0)),""))</f>
        <v/>
      </c>
    </row>
    <row r="956">
      <c r="J956">
        <f>IF(OR(H956="",I956=""),"",ROUND(100*H956/I956,0))</f>
        <v/>
      </c>
      <c r="M956">
        <f>IF(D956="","",IFERROR(INDEX(Classes!$B$2:$B$200,MATCH(D956,Classes!$E$2:$E$200,0)),""))</f>
        <v/>
      </c>
    </row>
    <row r="957">
      <c r="J957">
        <f>IF(OR(H957="",I957=""),"",ROUND(100*H957/I957,0))</f>
        <v/>
      </c>
      <c r="M957">
        <f>IF(D957="","",IFERROR(INDEX(Classes!$B$2:$B$200,MATCH(D957,Classes!$E$2:$E$200,0)),""))</f>
        <v/>
      </c>
    </row>
    <row r="958">
      <c r="J958">
        <f>IF(OR(H958="",I958=""),"",ROUND(100*H958/I958,0))</f>
        <v/>
      </c>
      <c r="M958">
        <f>IF(D958="","",IFERROR(INDEX(Classes!$B$2:$B$200,MATCH(D958,Classes!$E$2:$E$200,0)),""))</f>
        <v/>
      </c>
    </row>
    <row r="959">
      <c r="J959">
        <f>IF(OR(H959="",I959=""),"",ROUND(100*H959/I959,0))</f>
        <v/>
      </c>
      <c r="M959">
        <f>IF(D959="","",IFERROR(INDEX(Classes!$B$2:$B$200,MATCH(D959,Classes!$E$2:$E$200,0)),""))</f>
        <v/>
      </c>
    </row>
    <row r="960">
      <c r="J960">
        <f>IF(OR(H960="",I960=""),"",ROUND(100*H960/I960,0))</f>
        <v/>
      </c>
      <c r="M960">
        <f>IF(D960="","",IFERROR(INDEX(Classes!$B$2:$B$200,MATCH(D960,Classes!$E$2:$E$200,0)),""))</f>
        <v/>
      </c>
    </row>
    <row r="961">
      <c r="J961">
        <f>IF(OR(H961="",I961=""),"",ROUND(100*H961/I961,0))</f>
        <v/>
      </c>
      <c r="M961">
        <f>IF(D961="","",IFERROR(INDEX(Classes!$B$2:$B$200,MATCH(D961,Classes!$E$2:$E$200,0)),""))</f>
        <v/>
      </c>
    </row>
    <row r="962">
      <c r="J962">
        <f>IF(OR(H962="",I962=""),"",ROUND(100*H962/I962,0))</f>
        <v/>
      </c>
      <c r="M962">
        <f>IF(D962="","",IFERROR(INDEX(Classes!$B$2:$B$200,MATCH(D962,Classes!$E$2:$E$200,0)),""))</f>
        <v/>
      </c>
    </row>
    <row r="963">
      <c r="J963">
        <f>IF(OR(H963="",I963=""),"",ROUND(100*H963/I963,0))</f>
        <v/>
      </c>
      <c r="M963">
        <f>IF(D963="","",IFERROR(INDEX(Classes!$B$2:$B$200,MATCH(D963,Classes!$E$2:$E$200,0)),""))</f>
        <v/>
      </c>
    </row>
    <row r="964">
      <c r="J964">
        <f>IF(OR(H964="",I964=""),"",ROUND(100*H964/I964,0))</f>
        <v/>
      </c>
      <c r="M964">
        <f>IF(D964="","",IFERROR(INDEX(Classes!$B$2:$B$200,MATCH(D964,Classes!$E$2:$E$200,0)),""))</f>
        <v/>
      </c>
    </row>
    <row r="965">
      <c r="J965">
        <f>IF(OR(H965="",I965=""),"",ROUND(100*H965/I965,0))</f>
        <v/>
      </c>
      <c r="M965">
        <f>IF(D965="","",IFERROR(INDEX(Classes!$B$2:$B$200,MATCH(D965,Classes!$E$2:$E$200,0)),""))</f>
        <v/>
      </c>
    </row>
    <row r="966">
      <c r="J966">
        <f>IF(OR(H966="",I966=""),"",ROUND(100*H966/I966,0))</f>
        <v/>
      </c>
      <c r="M966">
        <f>IF(D966="","",IFERROR(INDEX(Classes!$B$2:$B$200,MATCH(D966,Classes!$E$2:$E$200,0)),""))</f>
        <v/>
      </c>
    </row>
    <row r="967">
      <c r="J967">
        <f>IF(OR(H967="",I967=""),"",ROUND(100*H967/I967,0))</f>
        <v/>
      </c>
      <c r="M967">
        <f>IF(D967="","",IFERROR(INDEX(Classes!$B$2:$B$200,MATCH(D967,Classes!$E$2:$E$200,0)),""))</f>
        <v/>
      </c>
    </row>
    <row r="968">
      <c r="J968">
        <f>IF(OR(H968="",I968=""),"",ROUND(100*H968/I968,0))</f>
        <v/>
      </c>
      <c r="M968">
        <f>IF(D968="","",IFERROR(INDEX(Classes!$B$2:$B$200,MATCH(D968,Classes!$E$2:$E$200,0)),""))</f>
        <v/>
      </c>
    </row>
    <row r="969">
      <c r="J969">
        <f>IF(OR(H969="",I969=""),"",ROUND(100*H969/I969,0))</f>
        <v/>
      </c>
      <c r="M969">
        <f>IF(D969="","",IFERROR(INDEX(Classes!$B$2:$B$200,MATCH(D969,Classes!$E$2:$E$200,0)),""))</f>
        <v/>
      </c>
    </row>
    <row r="970">
      <c r="J970">
        <f>IF(OR(H970="",I970=""),"",ROUND(100*H970/I970,0))</f>
        <v/>
      </c>
      <c r="M970">
        <f>IF(D970="","",IFERROR(INDEX(Classes!$B$2:$B$200,MATCH(D970,Classes!$E$2:$E$200,0)),""))</f>
        <v/>
      </c>
    </row>
    <row r="971">
      <c r="J971">
        <f>IF(OR(H971="",I971=""),"",ROUND(100*H971/I971,0))</f>
        <v/>
      </c>
      <c r="M971">
        <f>IF(D971="","",IFERROR(INDEX(Classes!$B$2:$B$200,MATCH(D971,Classes!$E$2:$E$200,0)),""))</f>
        <v/>
      </c>
    </row>
    <row r="972">
      <c r="J972">
        <f>IF(OR(H972="",I972=""),"",ROUND(100*H972/I972,0))</f>
        <v/>
      </c>
      <c r="M972">
        <f>IF(D972="","",IFERROR(INDEX(Classes!$B$2:$B$200,MATCH(D972,Classes!$E$2:$E$200,0)),""))</f>
        <v/>
      </c>
    </row>
    <row r="973">
      <c r="J973">
        <f>IF(OR(H973="",I973=""),"",ROUND(100*H973/I973,0))</f>
        <v/>
      </c>
      <c r="M973">
        <f>IF(D973="","",IFERROR(INDEX(Classes!$B$2:$B$200,MATCH(D973,Classes!$E$2:$E$200,0)),""))</f>
        <v/>
      </c>
    </row>
    <row r="974">
      <c r="J974">
        <f>IF(OR(H974="",I974=""),"",ROUND(100*H974/I974,0))</f>
        <v/>
      </c>
      <c r="M974">
        <f>IF(D974="","",IFERROR(INDEX(Classes!$B$2:$B$200,MATCH(D974,Classes!$E$2:$E$200,0)),""))</f>
        <v/>
      </c>
    </row>
    <row r="975">
      <c r="J975">
        <f>IF(OR(H975="",I975=""),"",ROUND(100*H975/I975,0))</f>
        <v/>
      </c>
      <c r="M975">
        <f>IF(D975="","",IFERROR(INDEX(Classes!$B$2:$B$200,MATCH(D975,Classes!$E$2:$E$200,0)),""))</f>
        <v/>
      </c>
    </row>
    <row r="976">
      <c r="J976">
        <f>IF(OR(H976="",I976=""),"",ROUND(100*H976/I976,0))</f>
        <v/>
      </c>
      <c r="M976">
        <f>IF(D976="","",IFERROR(INDEX(Classes!$B$2:$B$200,MATCH(D976,Classes!$E$2:$E$200,0)),""))</f>
        <v/>
      </c>
    </row>
    <row r="977">
      <c r="J977">
        <f>IF(OR(H977="",I977=""),"",ROUND(100*H977/I977,0))</f>
        <v/>
      </c>
      <c r="M977">
        <f>IF(D977="","",IFERROR(INDEX(Classes!$B$2:$B$200,MATCH(D977,Classes!$E$2:$E$200,0)),""))</f>
        <v/>
      </c>
    </row>
    <row r="978">
      <c r="J978">
        <f>IF(OR(H978="",I978=""),"",ROUND(100*H978/I978,0))</f>
        <v/>
      </c>
      <c r="M978">
        <f>IF(D978="","",IFERROR(INDEX(Classes!$B$2:$B$200,MATCH(D978,Classes!$E$2:$E$200,0)),""))</f>
        <v/>
      </c>
    </row>
    <row r="979">
      <c r="J979">
        <f>IF(OR(H979="",I979=""),"",ROUND(100*H979/I979,0))</f>
        <v/>
      </c>
      <c r="M979">
        <f>IF(D979="","",IFERROR(INDEX(Classes!$B$2:$B$200,MATCH(D979,Classes!$E$2:$E$200,0)),""))</f>
        <v/>
      </c>
    </row>
    <row r="980">
      <c r="J980">
        <f>IF(OR(H980="",I980=""),"",ROUND(100*H980/I980,0))</f>
        <v/>
      </c>
      <c r="M980">
        <f>IF(D980="","",IFERROR(INDEX(Classes!$B$2:$B$200,MATCH(D980,Classes!$E$2:$E$200,0)),""))</f>
        <v/>
      </c>
    </row>
    <row r="981">
      <c r="J981">
        <f>IF(OR(H981="",I981=""),"",ROUND(100*H981/I981,0))</f>
        <v/>
      </c>
      <c r="M981">
        <f>IF(D981="","",IFERROR(INDEX(Classes!$B$2:$B$200,MATCH(D981,Classes!$E$2:$E$200,0)),""))</f>
        <v/>
      </c>
    </row>
    <row r="982">
      <c r="J982">
        <f>IF(OR(H982="",I982=""),"",ROUND(100*H982/I982,0))</f>
        <v/>
      </c>
      <c r="M982">
        <f>IF(D982="","",IFERROR(INDEX(Classes!$B$2:$B$200,MATCH(D982,Classes!$E$2:$E$200,0)),""))</f>
        <v/>
      </c>
    </row>
    <row r="983">
      <c r="J983">
        <f>IF(OR(H983="",I983=""),"",ROUND(100*H983/I983,0))</f>
        <v/>
      </c>
      <c r="M983">
        <f>IF(D983="","",IFERROR(INDEX(Classes!$B$2:$B$200,MATCH(D983,Classes!$E$2:$E$200,0)),""))</f>
        <v/>
      </c>
    </row>
    <row r="984">
      <c r="J984">
        <f>IF(OR(H984="",I984=""),"",ROUND(100*H984/I984,0))</f>
        <v/>
      </c>
      <c r="M984">
        <f>IF(D984="","",IFERROR(INDEX(Classes!$B$2:$B$200,MATCH(D984,Classes!$E$2:$E$200,0)),""))</f>
        <v/>
      </c>
    </row>
    <row r="985">
      <c r="J985">
        <f>IF(OR(H985="",I985=""),"",ROUND(100*H985/I985,0))</f>
        <v/>
      </c>
      <c r="M985">
        <f>IF(D985="","",IFERROR(INDEX(Classes!$B$2:$B$200,MATCH(D985,Classes!$E$2:$E$200,0)),""))</f>
        <v/>
      </c>
    </row>
    <row r="986">
      <c r="J986">
        <f>IF(OR(H986="",I986=""),"",ROUND(100*H986/I986,0))</f>
        <v/>
      </c>
      <c r="M986">
        <f>IF(D986="","",IFERROR(INDEX(Classes!$B$2:$B$200,MATCH(D986,Classes!$E$2:$E$200,0)),""))</f>
        <v/>
      </c>
    </row>
    <row r="987">
      <c r="J987">
        <f>IF(OR(H987="",I987=""),"",ROUND(100*H987/I987,0))</f>
        <v/>
      </c>
      <c r="M987">
        <f>IF(D987="","",IFERROR(INDEX(Classes!$B$2:$B$200,MATCH(D987,Classes!$E$2:$E$200,0)),""))</f>
        <v/>
      </c>
    </row>
    <row r="988">
      <c r="J988">
        <f>IF(OR(H988="",I988=""),"",ROUND(100*H988/I988,0))</f>
        <v/>
      </c>
      <c r="M988">
        <f>IF(D988="","",IFERROR(INDEX(Classes!$B$2:$B$200,MATCH(D988,Classes!$E$2:$E$200,0)),""))</f>
        <v/>
      </c>
    </row>
    <row r="989">
      <c r="J989">
        <f>IF(OR(H989="",I989=""),"",ROUND(100*H989/I989,0))</f>
        <v/>
      </c>
      <c r="M989">
        <f>IF(D989="","",IFERROR(INDEX(Classes!$B$2:$B$200,MATCH(D989,Classes!$E$2:$E$200,0)),""))</f>
        <v/>
      </c>
    </row>
    <row r="990">
      <c r="J990">
        <f>IF(OR(H990="",I990=""),"",ROUND(100*H990/I990,0))</f>
        <v/>
      </c>
      <c r="M990">
        <f>IF(D990="","",IFERROR(INDEX(Classes!$B$2:$B$200,MATCH(D990,Classes!$E$2:$E$200,0)),""))</f>
        <v/>
      </c>
    </row>
    <row r="991">
      <c r="J991">
        <f>IF(OR(H991="",I991=""),"",ROUND(100*H991/I991,0))</f>
        <v/>
      </c>
      <c r="M991">
        <f>IF(D991="","",IFERROR(INDEX(Classes!$B$2:$B$200,MATCH(D991,Classes!$E$2:$E$200,0)),""))</f>
        <v/>
      </c>
    </row>
    <row r="992">
      <c r="J992">
        <f>IF(OR(H992="",I992=""),"",ROUND(100*H992/I992,0))</f>
        <v/>
      </c>
      <c r="M992">
        <f>IF(D992="","",IFERROR(INDEX(Classes!$B$2:$B$200,MATCH(D992,Classes!$E$2:$E$200,0)),""))</f>
        <v/>
      </c>
    </row>
    <row r="993">
      <c r="J993">
        <f>IF(OR(H993="",I993=""),"",ROUND(100*H993/I993,0))</f>
        <v/>
      </c>
      <c r="M993">
        <f>IF(D993="","",IFERROR(INDEX(Classes!$B$2:$B$200,MATCH(D993,Classes!$E$2:$E$200,0)),""))</f>
        <v/>
      </c>
    </row>
    <row r="994">
      <c r="J994">
        <f>IF(OR(H994="",I994=""),"",ROUND(100*H994/I994,0))</f>
        <v/>
      </c>
      <c r="M994">
        <f>IF(D994="","",IFERROR(INDEX(Classes!$B$2:$B$200,MATCH(D994,Classes!$E$2:$E$200,0)),""))</f>
        <v/>
      </c>
    </row>
    <row r="995">
      <c r="J995">
        <f>IF(OR(H995="",I995=""),"",ROUND(100*H995/I995,0))</f>
        <v/>
      </c>
      <c r="M995">
        <f>IF(D995="","",IFERROR(INDEX(Classes!$B$2:$B$200,MATCH(D995,Classes!$E$2:$E$200,0)),""))</f>
        <v/>
      </c>
    </row>
    <row r="996">
      <c r="J996">
        <f>IF(OR(H996="",I996=""),"",ROUND(100*H996/I996,0))</f>
        <v/>
      </c>
      <c r="M996">
        <f>IF(D996="","",IFERROR(INDEX(Classes!$B$2:$B$200,MATCH(D996,Classes!$E$2:$E$200,0)),""))</f>
        <v/>
      </c>
    </row>
    <row r="997">
      <c r="J997">
        <f>IF(OR(H997="",I997=""),"",ROUND(100*H997/I997,0))</f>
        <v/>
      </c>
      <c r="M997">
        <f>IF(D997="","",IFERROR(INDEX(Classes!$B$2:$B$200,MATCH(D997,Classes!$E$2:$E$200,0)),""))</f>
        <v/>
      </c>
    </row>
    <row r="998">
      <c r="J998">
        <f>IF(OR(H998="",I998=""),"",ROUND(100*H998/I998,0))</f>
        <v/>
      </c>
      <c r="M998">
        <f>IF(D998="","",IFERROR(INDEX(Classes!$B$2:$B$200,MATCH(D998,Classes!$E$2:$E$200,0)),""))</f>
        <v/>
      </c>
    </row>
    <row r="999">
      <c r="J999">
        <f>IF(OR(H999="",I999=""),"",ROUND(100*H999/I999,0))</f>
        <v/>
      </c>
      <c r="M999">
        <f>IF(D999="","",IFERROR(INDEX(Classes!$B$2:$B$200,MATCH(D999,Classes!$E$2:$E$200,0)),""))</f>
        <v/>
      </c>
    </row>
    <row r="1000">
      <c r="J1000">
        <f>IF(OR(H1000="",I1000=""),"",ROUND(100*H1000/I1000,0))</f>
        <v/>
      </c>
      <c r="M1000">
        <f>IF(D1000="","",IFERROR(INDEX(Classes!$B$2:$B$200,MATCH(D1000,Classes!$E$2:$E$200,0)),""))</f>
        <v/>
      </c>
    </row>
    <row r="1001">
      <c r="J1001">
        <f>IF(OR(H1001="",I1001=""),"",ROUND(100*H1001/I1001,0))</f>
        <v/>
      </c>
      <c r="M1001">
        <f>IF(D1001="","",IFERROR(INDEX(Classes!$B$2:$B$200,MATCH(D1001,Classes!$E$2:$E$200,0)),""))</f>
        <v/>
      </c>
    </row>
    <row r="1002">
      <c r="J1002">
        <f>IF(OR(H1002="",I1002=""),"",ROUND(100*H1002/I1002,0))</f>
        <v/>
      </c>
      <c r="M1002">
        <f>IF(D1002="","",IFERROR(INDEX(Classes!$B$2:$B$200,MATCH(D1002,Classes!$E$2:$E$200,0)),""))</f>
        <v/>
      </c>
    </row>
    <row r="1003">
      <c r="J1003">
        <f>IF(OR(H1003="",I1003=""),"",ROUND(100*H1003/I1003,0))</f>
        <v/>
      </c>
      <c r="M1003">
        <f>IF(D1003="","",IFERROR(INDEX(Classes!$B$2:$B$200,MATCH(D1003,Classes!$E$2:$E$200,0)),""))</f>
        <v/>
      </c>
    </row>
    <row r="1004">
      <c r="J1004">
        <f>IF(OR(H1004="",I1004=""),"",ROUND(100*H1004/I1004,0))</f>
        <v/>
      </c>
      <c r="M1004">
        <f>IF(D1004="","",IFERROR(INDEX(Classes!$B$2:$B$200,MATCH(D1004,Classes!$E$2:$E$200,0)),""))</f>
        <v/>
      </c>
    </row>
    <row r="1005">
      <c r="J1005">
        <f>IF(OR(H1005="",I1005=""),"",ROUND(100*H1005/I1005,0))</f>
        <v/>
      </c>
      <c r="M1005">
        <f>IF(D1005="","",IFERROR(INDEX(Classes!$B$2:$B$200,MATCH(D1005,Classes!$E$2:$E$200,0)),""))</f>
        <v/>
      </c>
    </row>
    <row r="1006">
      <c r="J1006">
        <f>IF(OR(H1006="",I1006=""),"",ROUND(100*H1006/I1006,0))</f>
        <v/>
      </c>
      <c r="M1006">
        <f>IF(D1006="","",IFERROR(INDEX(Classes!$B$2:$B$200,MATCH(D1006,Classes!$E$2:$E$200,0)),""))</f>
        <v/>
      </c>
    </row>
    <row r="1007">
      <c r="J1007">
        <f>IF(OR(H1007="",I1007=""),"",ROUND(100*H1007/I1007,0))</f>
        <v/>
      </c>
      <c r="M1007">
        <f>IF(D1007="","",IFERROR(INDEX(Classes!$B$2:$B$200,MATCH(D1007,Classes!$E$2:$E$200,0)),""))</f>
        <v/>
      </c>
    </row>
    <row r="1008">
      <c r="J1008">
        <f>IF(OR(H1008="",I1008=""),"",ROUND(100*H1008/I1008,0))</f>
        <v/>
      </c>
      <c r="M1008">
        <f>IF(D1008="","",IFERROR(INDEX(Classes!$B$2:$B$200,MATCH(D1008,Classes!$E$2:$E$200,0)),""))</f>
        <v/>
      </c>
    </row>
    <row r="1009">
      <c r="J1009">
        <f>IF(OR(H1009="",I1009=""),"",ROUND(100*H1009/I1009,0))</f>
        <v/>
      </c>
      <c r="M1009">
        <f>IF(D1009="","",IFERROR(INDEX(Classes!$B$2:$B$200,MATCH(D1009,Classes!$E$2:$E$200,0)),""))</f>
        <v/>
      </c>
    </row>
    <row r="1010">
      <c r="J1010">
        <f>IF(OR(H1010="",I1010=""),"",ROUND(100*H1010/I1010,0))</f>
        <v/>
      </c>
      <c r="M1010">
        <f>IF(D1010="","",IFERROR(INDEX(Classes!$B$2:$B$200,MATCH(D1010,Classes!$E$2:$E$200,0)),""))</f>
        <v/>
      </c>
    </row>
    <row r="1011">
      <c r="J1011">
        <f>IF(OR(H1011="",I1011=""),"",ROUND(100*H1011/I1011,0))</f>
        <v/>
      </c>
      <c r="M1011">
        <f>IF(D1011="","",IFERROR(INDEX(Classes!$B$2:$B$200,MATCH(D1011,Classes!$E$2:$E$200,0)),""))</f>
        <v/>
      </c>
    </row>
    <row r="1012">
      <c r="J1012">
        <f>IF(OR(H1012="",I1012=""),"",ROUND(100*H1012/I1012,0))</f>
        <v/>
      </c>
      <c r="M1012">
        <f>IF(D1012="","",IFERROR(INDEX(Classes!$B$2:$B$200,MATCH(D1012,Classes!$E$2:$E$200,0)),""))</f>
        <v/>
      </c>
    </row>
    <row r="1013">
      <c r="J1013">
        <f>IF(OR(H1013="",I1013=""),"",ROUND(100*H1013/I1013,0))</f>
        <v/>
      </c>
      <c r="M1013">
        <f>IF(D1013="","",IFERROR(INDEX(Classes!$B$2:$B$200,MATCH(D1013,Classes!$E$2:$E$200,0)),""))</f>
        <v/>
      </c>
    </row>
    <row r="1014">
      <c r="J1014">
        <f>IF(OR(H1014="",I1014=""),"",ROUND(100*H1014/I1014,0))</f>
        <v/>
      </c>
      <c r="M1014">
        <f>IF(D1014="","",IFERROR(INDEX(Classes!$B$2:$B$200,MATCH(D1014,Classes!$E$2:$E$200,0)),""))</f>
        <v/>
      </c>
    </row>
    <row r="1015">
      <c r="J1015">
        <f>IF(OR(H1015="",I1015=""),"",ROUND(100*H1015/I1015,0))</f>
        <v/>
      </c>
      <c r="M1015">
        <f>IF(D1015="","",IFERROR(INDEX(Classes!$B$2:$B$200,MATCH(D1015,Classes!$E$2:$E$200,0)),""))</f>
        <v/>
      </c>
    </row>
    <row r="1016">
      <c r="J1016">
        <f>IF(OR(H1016="",I1016=""),"",ROUND(100*H1016/I1016,0))</f>
        <v/>
      </c>
      <c r="M1016">
        <f>IF(D1016="","",IFERROR(INDEX(Classes!$B$2:$B$200,MATCH(D1016,Classes!$E$2:$E$200,0)),""))</f>
        <v/>
      </c>
    </row>
    <row r="1017">
      <c r="J1017">
        <f>IF(OR(H1017="",I1017=""),"",ROUND(100*H1017/I1017,0))</f>
        <v/>
      </c>
      <c r="M1017">
        <f>IF(D1017="","",IFERROR(INDEX(Classes!$B$2:$B$200,MATCH(D1017,Classes!$E$2:$E$200,0)),""))</f>
        <v/>
      </c>
    </row>
    <row r="1018">
      <c r="J1018">
        <f>IF(OR(H1018="",I1018=""),"",ROUND(100*H1018/I1018,0))</f>
        <v/>
      </c>
      <c r="M1018">
        <f>IF(D1018="","",IFERROR(INDEX(Classes!$B$2:$B$200,MATCH(D1018,Classes!$E$2:$E$200,0)),""))</f>
        <v/>
      </c>
    </row>
    <row r="1019">
      <c r="J1019">
        <f>IF(OR(H1019="",I1019=""),"",ROUND(100*H1019/I1019,0))</f>
        <v/>
      </c>
      <c r="M1019">
        <f>IF(D1019="","",IFERROR(INDEX(Classes!$B$2:$B$200,MATCH(D1019,Classes!$E$2:$E$200,0)),""))</f>
        <v/>
      </c>
    </row>
    <row r="1020">
      <c r="J1020">
        <f>IF(OR(H1020="",I1020=""),"",ROUND(100*H1020/I1020,0))</f>
        <v/>
      </c>
      <c r="M1020">
        <f>IF(D1020="","",IFERROR(INDEX(Classes!$B$2:$B$200,MATCH(D1020,Classes!$E$2:$E$200,0)),""))</f>
        <v/>
      </c>
    </row>
    <row r="1021">
      <c r="J1021">
        <f>IF(OR(H1021="",I1021=""),"",ROUND(100*H1021/I1021,0))</f>
        <v/>
      </c>
      <c r="M1021">
        <f>IF(D1021="","",IFERROR(INDEX(Classes!$B$2:$B$200,MATCH(D1021,Classes!$E$2:$E$200,0)),""))</f>
        <v/>
      </c>
    </row>
    <row r="1022">
      <c r="J1022">
        <f>IF(OR(H1022="",I1022=""),"",ROUND(100*H1022/I1022,0))</f>
        <v/>
      </c>
      <c r="M1022">
        <f>IF(D1022="","",IFERROR(INDEX(Classes!$B$2:$B$200,MATCH(D1022,Classes!$E$2:$E$200,0)),""))</f>
        <v/>
      </c>
    </row>
    <row r="1023">
      <c r="J1023">
        <f>IF(OR(H1023="",I1023=""),"",ROUND(100*H1023/I1023,0))</f>
        <v/>
      </c>
      <c r="M1023">
        <f>IF(D1023="","",IFERROR(INDEX(Classes!$B$2:$B$200,MATCH(D1023,Classes!$E$2:$E$200,0)),""))</f>
        <v/>
      </c>
    </row>
    <row r="1024">
      <c r="J1024">
        <f>IF(OR(H1024="",I1024=""),"",ROUND(100*H1024/I1024,0))</f>
        <v/>
      </c>
      <c r="M1024">
        <f>IF(D1024="","",IFERROR(INDEX(Classes!$B$2:$B$200,MATCH(D1024,Classes!$E$2:$E$200,0)),""))</f>
        <v/>
      </c>
    </row>
    <row r="1025">
      <c r="J1025">
        <f>IF(OR(H1025="",I1025=""),"",ROUND(100*H1025/I1025,0))</f>
        <v/>
      </c>
      <c r="M1025">
        <f>IF(D1025="","",IFERROR(INDEX(Classes!$B$2:$B$200,MATCH(D1025,Classes!$E$2:$E$200,0)),""))</f>
        <v/>
      </c>
    </row>
    <row r="1026">
      <c r="J1026">
        <f>IF(OR(H1026="",I1026=""),"",ROUND(100*H1026/I1026,0))</f>
        <v/>
      </c>
      <c r="M1026">
        <f>IF(D1026="","",IFERROR(INDEX(Classes!$B$2:$B$200,MATCH(D1026,Classes!$E$2:$E$200,0)),""))</f>
        <v/>
      </c>
    </row>
    <row r="1027">
      <c r="J1027">
        <f>IF(OR(H1027="",I1027=""),"",ROUND(100*H1027/I1027,0))</f>
        <v/>
      </c>
      <c r="M1027">
        <f>IF(D1027="","",IFERROR(INDEX(Classes!$B$2:$B$200,MATCH(D1027,Classes!$E$2:$E$200,0)),""))</f>
        <v/>
      </c>
    </row>
    <row r="1028">
      <c r="J1028">
        <f>IF(OR(H1028="",I1028=""),"",ROUND(100*H1028/I1028,0))</f>
        <v/>
      </c>
      <c r="M1028">
        <f>IF(D1028="","",IFERROR(INDEX(Classes!$B$2:$B$200,MATCH(D1028,Classes!$E$2:$E$200,0)),""))</f>
        <v/>
      </c>
    </row>
    <row r="1029">
      <c r="J1029">
        <f>IF(OR(H1029="",I1029=""),"",ROUND(100*H1029/I1029,0))</f>
        <v/>
      </c>
      <c r="M1029">
        <f>IF(D1029="","",IFERROR(INDEX(Classes!$B$2:$B$200,MATCH(D1029,Classes!$E$2:$E$200,0)),""))</f>
        <v/>
      </c>
    </row>
    <row r="1030">
      <c r="J1030">
        <f>IF(OR(H1030="",I1030=""),"",ROUND(100*H1030/I1030,0))</f>
        <v/>
      </c>
      <c r="M1030">
        <f>IF(D1030="","",IFERROR(INDEX(Classes!$B$2:$B$200,MATCH(D1030,Classes!$E$2:$E$200,0)),""))</f>
        <v/>
      </c>
    </row>
    <row r="1031">
      <c r="J1031">
        <f>IF(OR(H1031="",I1031=""),"",ROUND(100*H1031/I1031,0))</f>
        <v/>
      </c>
      <c r="M1031">
        <f>IF(D1031="","",IFERROR(INDEX(Classes!$B$2:$B$200,MATCH(D1031,Classes!$E$2:$E$200,0)),""))</f>
        <v/>
      </c>
    </row>
    <row r="1032">
      <c r="J1032">
        <f>IF(OR(H1032="",I1032=""),"",ROUND(100*H1032/I1032,0))</f>
        <v/>
      </c>
      <c r="M1032">
        <f>IF(D1032="","",IFERROR(INDEX(Classes!$B$2:$B$200,MATCH(D1032,Classes!$E$2:$E$200,0)),""))</f>
        <v/>
      </c>
    </row>
    <row r="1033">
      <c r="J1033">
        <f>IF(OR(H1033="",I1033=""),"",ROUND(100*H1033/I1033,0))</f>
        <v/>
      </c>
      <c r="M1033">
        <f>IF(D1033="","",IFERROR(INDEX(Classes!$B$2:$B$200,MATCH(D1033,Classes!$E$2:$E$200,0)),""))</f>
        <v/>
      </c>
    </row>
    <row r="1034">
      <c r="J1034">
        <f>IF(OR(H1034="",I1034=""),"",ROUND(100*H1034/I1034,0))</f>
        <v/>
      </c>
      <c r="M1034">
        <f>IF(D1034="","",IFERROR(INDEX(Classes!$B$2:$B$200,MATCH(D1034,Classes!$E$2:$E$200,0)),""))</f>
        <v/>
      </c>
    </row>
    <row r="1035">
      <c r="J1035">
        <f>IF(OR(H1035="",I1035=""),"",ROUND(100*H1035/I1035,0))</f>
        <v/>
      </c>
      <c r="M1035">
        <f>IF(D1035="","",IFERROR(INDEX(Classes!$B$2:$B$200,MATCH(D1035,Classes!$E$2:$E$200,0)),""))</f>
        <v/>
      </c>
    </row>
    <row r="1036">
      <c r="J1036">
        <f>IF(OR(H1036="",I1036=""),"",ROUND(100*H1036/I1036,0))</f>
        <v/>
      </c>
      <c r="M1036">
        <f>IF(D1036="","",IFERROR(INDEX(Classes!$B$2:$B$200,MATCH(D1036,Classes!$E$2:$E$200,0)),""))</f>
        <v/>
      </c>
    </row>
    <row r="1037">
      <c r="J1037">
        <f>IF(OR(H1037="",I1037=""),"",ROUND(100*H1037/I1037,0))</f>
        <v/>
      </c>
      <c r="M1037">
        <f>IF(D1037="","",IFERROR(INDEX(Classes!$B$2:$B$200,MATCH(D1037,Classes!$E$2:$E$200,0)),""))</f>
        <v/>
      </c>
    </row>
    <row r="1038">
      <c r="J1038">
        <f>IF(OR(H1038="",I1038=""),"",ROUND(100*H1038/I1038,0))</f>
        <v/>
      </c>
      <c r="M1038">
        <f>IF(D1038="","",IFERROR(INDEX(Classes!$B$2:$B$200,MATCH(D1038,Classes!$E$2:$E$200,0)),""))</f>
        <v/>
      </c>
    </row>
    <row r="1039">
      <c r="J1039">
        <f>IF(OR(H1039="",I1039=""),"",ROUND(100*H1039/I1039,0))</f>
        <v/>
      </c>
      <c r="M1039">
        <f>IF(D1039="","",IFERROR(INDEX(Classes!$B$2:$B$200,MATCH(D1039,Classes!$E$2:$E$200,0)),""))</f>
        <v/>
      </c>
    </row>
    <row r="1040">
      <c r="J1040">
        <f>IF(OR(H1040="",I1040=""),"",ROUND(100*H1040/I1040,0))</f>
        <v/>
      </c>
      <c r="M1040">
        <f>IF(D1040="","",IFERROR(INDEX(Classes!$B$2:$B$200,MATCH(D1040,Classes!$E$2:$E$200,0)),""))</f>
        <v/>
      </c>
    </row>
    <row r="1041">
      <c r="J1041">
        <f>IF(OR(H1041="",I1041=""),"",ROUND(100*H1041/I1041,0))</f>
        <v/>
      </c>
      <c r="M1041">
        <f>IF(D1041="","",IFERROR(INDEX(Classes!$B$2:$B$200,MATCH(D1041,Classes!$E$2:$E$200,0)),""))</f>
        <v/>
      </c>
    </row>
    <row r="1042">
      <c r="J1042">
        <f>IF(OR(H1042="",I1042=""),"",ROUND(100*H1042/I1042,0))</f>
        <v/>
      </c>
      <c r="M1042">
        <f>IF(D1042="","",IFERROR(INDEX(Classes!$B$2:$B$200,MATCH(D1042,Classes!$E$2:$E$200,0)),""))</f>
        <v/>
      </c>
    </row>
    <row r="1043">
      <c r="J1043">
        <f>IF(OR(H1043="",I1043=""),"",ROUND(100*H1043/I1043,0))</f>
        <v/>
      </c>
      <c r="M1043">
        <f>IF(D1043="","",IFERROR(INDEX(Classes!$B$2:$B$200,MATCH(D1043,Classes!$E$2:$E$200,0)),""))</f>
        <v/>
      </c>
    </row>
    <row r="1044">
      <c r="J1044">
        <f>IF(OR(H1044="",I1044=""),"",ROUND(100*H1044/I1044,0))</f>
        <v/>
      </c>
      <c r="M1044">
        <f>IF(D1044="","",IFERROR(INDEX(Classes!$B$2:$B$200,MATCH(D1044,Classes!$E$2:$E$200,0)),""))</f>
        <v/>
      </c>
    </row>
    <row r="1045">
      <c r="J1045">
        <f>IF(OR(H1045="",I1045=""),"",ROUND(100*H1045/I1045,0))</f>
        <v/>
      </c>
      <c r="M1045">
        <f>IF(D1045="","",IFERROR(INDEX(Classes!$B$2:$B$200,MATCH(D1045,Classes!$E$2:$E$200,0)),""))</f>
        <v/>
      </c>
    </row>
    <row r="1046">
      <c r="J1046">
        <f>IF(OR(H1046="",I1046=""),"",ROUND(100*H1046/I1046,0))</f>
        <v/>
      </c>
      <c r="M1046">
        <f>IF(D1046="","",IFERROR(INDEX(Classes!$B$2:$B$200,MATCH(D1046,Classes!$E$2:$E$200,0)),""))</f>
        <v/>
      </c>
    </row>
    <row r="1047">
      <c r="J1047">
        <f>IF(OR(H1047="",I1047=""),"",ROUND(100*H1047/I1047,0))</f>
        <v/>
      </c>
      <c r="M1047">
        <f>IF(D1047="","",IFERROR(INDEX(Classes!$B$2:$B$200,MATCH(D1047,Classes!$E$2:$E$200,0)),""))</f>
        <v/>
      </c>
    </row>
    <row r="1048">
      <c r="J1048">
        <f>IF(OR(H1048="",I1048=""),"",ROUND(100*H1048/I1048,0))</f>
        <v/>
      </c>
      <c r="M1048">
        <f>IF(D1048="","",IFERROR(INDEX(Classes!$B$2:$B$200,MATCH(D1048,Classes!$E$2:$E$200,0)),""))</f>
        <v/>
      </c>
    </row>
    <row r="1049">
      <c r="J1049">
        <f>IF(OR(H1049="",I1049=""),"",ROUND(100*H1049/I1049,0))</f>
        <v/>
      </c>
      <c r="M1049">
        <f>IF(D1049="","",IFERROR(INDEX(Classes!$B$2:$B$200,MATCH(D1049,Classes!$E$2:$E$200,0)),""))</f>
        <v/>
      </c>
    </row>
    <row r="1050">
      <c r="J1050">
        <f>IF(OR(H1050="",I1050=""),"",ROUND(100*H1050/I1050,0))</f>
        <v/>
      </c>
      <c r="M1050">
        <f>IF(D1050="","",IFERROR(INDEX(Classes!$B$2:$B$200,MATCH(D1050,Classes!$E$2:$E$200,0)),""))</f>
        <v/>
      </c>
    </row>
    <row r="1051">
      <c r="J1051">
        <f>IF(OR(H1051="",I1051=""),"",ROUND(100*H1051/I1051,0))</f>
        <v/>
      </c>
      <c r="M1051">
        <f>IF(D1051="","",IFERROR(INDEX(Classes!$B$2:$B$200,MATCH(D1051,Classes!$E$2:$E$200,0)),""))</f>
        <v/>
      </c>
    </row>
    <row r="1052">
      <c r="J1052">
        <f>IF(OR(H1052="",I1052=""),"",ROUND(100*H1052/I1052,0))</f>
        <v/>
      </c>
      <c r="M1052">
        <f>IF(D1052="","",IFERROR(INDEX(Classes!$B$2:$B$200,MATCH(D1052,Classes!$E$2:$E$200,0)),""))</f>
        <v/>
      </c>
    </row>
    <row r="1053">
      <c r="J1053">
        <f>IF(OR(H1053="",I1053=""),"",ROUND(100*H1053/I1053,0))</f>
        <v/>
      </c>
      <c r="M1053">
        <f>IF(D1053="","",IFERROR(INDEX(Classes!$B$2:$B$200,MATCH(D1053,Classes!$E$2:$E$200,0)),""))</f>
        <v/>
      </c>
    </row>
    <row r="1054">
      <c r="J1054">
        <f>IF(OR(H1054="",I1054=""),"",ROUND(100*H1054/I1054,0))</f>
        <v/>
      </c>
      <c r="M1054">
        <f>IF(D1054="","",IFERROR(INDEX(Classes!$B$2:$B$200,MATCH(D1054,Classes!$E$2:$E$200,0)),""))</f>
        <v/>
      </c>
    </row>
    <row r="1055">
      <c r="J1055">
        <f>IF(OR(H1055="",I1055=""),"",ROUND(100*H1055/I1055,0))</f>
        <v/>
      </c>
      <c r="M1055">
        <f>IF(D1055="","",IFERROR(INDEX(Classes!$B$2:$B$200,MATCH(D1055,Classes!$E$2:$E$200,0)),""))</f>
        <v/>
      </c>
    </row>
    <row r="1056">
      <c r="J1056">
        <f>IF(OR(H1056="",I1056=""),"",ROUND(100*H1056/I1056,0))</f>
        <v/>
      </c>
      <c r="M1056">
        <f>IF(D1056="","",IFERROR(INDEX(Classes!$B$2:$B$200,MATCH(D1056,Classes!$E$2:$E$200,0)),""))</f>
        <v/>
      </c>
    </row>
    <row r="1057">
      <c r="J1057">
        <f>IF(OR(H1057="",I1057=""),"",ROUND(100*H1057/I1057,0))</f>
        <v/>
      </c>
      <c r="M1057">
        <f>IF(D1057="","",IFERROR(INDEX(Classes!$B$2:$B$200,MATCH(D1057,Classes!$E$2:$E$200,0)),""))</f>
        <v/>
      </c>
    </row>
    <row r="1058">
      <c r="J1058">
        <f>IF(OR(H1058="",I1058=""),"",ROUND(100*H1058/I1058,0))</f>
        <v/>
      </c>
      <c r="M1058">
        <f>IF(D1058="","",IFERROR(INDEX(Classes!$B$2:$B$200,MATCH(D1058,Classes!$E$2:$E$200,0)),""))</f>
        <v/>
      </c>
    </row>
    <row r="1059">
      <c r="J1059">
        <f>IF(OR(H1059="",I1059=""),"",ROUND(100*H1059/I1059,0))</f>
        <v/>
      </c>
      <c r="M1059">
        <f>IF(D1059="","",IFERROR(INDEX(Classes!$B$2:$B$200,MATCH(D1059,Classes!$E$2:$E$200,0)),""))</f>
        <v/>
      </c>
    </row>
    <row r="1060">
      <c r="J1060">
        <f>IF(OR(H1060="",I1060=""),"",ROUND(100*H1060/I1060,0))</f>
        <v/>
      </c>
      <c r="M1060">
        <f>IF(D1060="","",IFERROR(INDEX(Classes!$B$2:$B$200,MATCH(D1060,Classes!$E$2:$E$200,0)),""))</f>
        <v/>
      </c>
    </row>
    <row r="1061">
      <c r="J1061">
        <f>IF(OR(H1061="",I1061=""),"",ROUND(100*H1061/I1061,0))</f>
        <v/>
      </c>
      <c r="M1061">
        <f>IF(D1061="","",IFERROR(INDEX(Classes!$B$2:$B$200,MATCH(D1061,Classes!$E$2:$E$200,0)),""))</f>
        <v/>
      </c>
    </row>
    <row r="1062">
      <c r="J1062">
        <f>IF(OR(H1062="",I1062=""),"",ROUND(100*H1062/I1062,0))</f>
        <v/>
      </c>
      <c r="M1062">
        <f>IF(D1062="","",IFERROR(INDEX(Classes!$B$2:$B$200,MATCH(D1062,Classes!$E$2:$E$200,0)),""))</f>
        <v/>
      </c>
    </row>
    <row r="1063">
      <c r="J1063">
        <f>IF(OR(H1063="",I1063=""),"",ROUND(100*H1063/I1063,0))</f>
        <v/>
      </c>
      <c r="M1063">
        <f>IF(D1063="","",IFERROR(INDEX(Classes!$B$2:$B$200,MATCH(D1063,Classes!$E$2:$E$200,0)),""))</f>
        <v/>
      </c>
    </row>
    <row r="1064">
      <c r="J1064">
        <f>IF(OR(H1064="",I1064=""),"",ROUND(100*H1064/I1064,0))</f>
        <v/>
      </c>
      <c r="M1064">
        <f>IF(D1064="","",IFERROR(INDEX(Classes!$B$2:$B$200,MATCH(D1064,Classes!$E$2:$E$200,0)),""))</f>
        <v/>
      </c>
    </row>
    <row r="1065">
      <c r="J1065">
        <f>IF(OR(H1065="",I1065=""),"",ROUND(100*H1065/I1065,0))</f>
        <v/>
      </c>
      <c r="M1065">
        <f>IF(D1065="","",IFERROR(INDEX(Classes!$B$2:$B$200,MATCH(D1065,Classes!$E$2:$E$200,0)),""))</f>
        <v/>
      </c>
    </row>
    <row r="1066">
      <c r="J1066">
        <f>IF(OR(H1066="",I1066=""),"",ROUND(100*H1066/I1066,0))</f>
        <v/>
      </c>
      <c r="M1066">
        <f>IF(D1066="","",IFERROR(INDEX(Classes!$B$2:$B$200,MATCH(D1066,Classes!$E$2:$E$200,0)),""))</f>
        <v/>
      </c>
    </row>
    <row r="1067">
      <c r="J1067">
        <f>IF(OR(H1067="",I1067=""),"",ROUND(100*H1067/I1067,0))</f>
        <v/>
      </c>
      <c r="M1067">
        <f>IF(D1067="","",IFERROR(INDEX(Classes!$B$2:$B$200,MATCH(D1067,Classes!$E$2:$E$200,0)),""))</f>
        <v/>
      </c>
    </row>
    <row r="1068">
      <c r="J1068">
        <f>IF(OR(H1068="",I1068=""),"",ROUND(100*H1068/I1068,0))</f>
        <v/>
      </c>
      <c r="M1068">
        <f>IF(D1068="","",IFERROR(INDEX(Classes!$B$2:$B$200,MATCH(D1068,Classes!$E$2:$E$200,0)),""))</f>
        <v/>
      </c>
    </row>
    <row r="1069">
      <c r="J1069">
        <f>IF(OR(H1069="",I1069=""),"",ROUND(100*H1069/I1069,0))</f>
        <v/>
      </c>
      <c r="M1069">
        <f>IF(D1069="","",IFERROR(INDEX(Classes!$B$2:$B$200,MATCH(D1069,Classes!$E$2:$E$200,0)),""))</f>
        <v/>
      </c>
    </row>
    <row r="1070">
      <c r="J1070">
        <f>IF(OR(H1070="",I1070=""),"",ROUND(100*H1070/I1070,0))</f>
        <v/>
      </c>
      <c r="M1070">
        <f>IF(D1070="","",IFERROR(INDEX(Classes!$B$2:$B$200,MATCH(D1070,Classes!$E$2:$E$200,0)),""))</f>
        <v/>
      </c>
    </row>
    <row r="1071">
      <c r="J1071">
        <f>IF(OR(H1071="",I1071=""),"",ROUND(100*H1071/I1071,0))</f>
        <v/>
      </c>
      <c r="M1071">
        <f>IF(D1071="","",IFERROR(INDEX(Classes!$B$2:$B$200,MATCH(D1071,Classes!$E$2:$E$200,0)),""))</f>
        <v/>
      </c>
    </row>
    <row r="1072">
      <c r="J1072">
        <f>IF(OR(H1072="",I1072=""),"",ROUND(100*H1072/I1072,0))</f>
        <v/>
      </c>
      <c r="M1072">
        <f>IF(D1072="","",IFERROR(INDEX(Classes!$B$2:$B$200,MATCH(D1072,Classes!$E$2:$E$200,0)),""))</f>
        <v/>
      </c>
    </row>
    <row r="1073">
      <c r="J1073">
        <f>IF(OR(H1073="",I1073=""),"",ROUND(100*H1073/I1073,0))</f>
        <v/>
      </c>
      <c r="M1073">
        <f>IF(D1073="","",IFERROR(INDEX(Classes!$B$2:$B$200,MATCH(D1073,Classes!$E$2:$E$200,0)),""))</f>
        <v/>
      </c>
    </row>
    <row r="1074">
      <c r="J1074">
        <f>IF(OR(H1074="",I1074=""),"",ROUND(100*H1074/I1074,0))</f>
        <v/>
      </c>
      <c r="M1074">
        <f>IF(D1074="","",IFERROR(INDEX(Classes!$B$2:$B$200,MATCH(D1074,Classes!$E$2:$E$200,0)),""))</f>
        <v/>
      </c>
    </row>
    <row r="1075">
      <c r="J1075">
        <f>IF(OR(H1075="",I1075=""),"",ROUND(100*H1075/I1075,0))</f>
        <v/>
      </c>
      <c r="M1075">
        <f>IF(D1075="","",IFERROR(INDEX(Classes!$B$2:$B$200,MATCH(D1075,Classes!$E$2:$E$200,0)),""))</f>
        <v/>
      </c>
    </row>
    <row r="1076">
      <c r="J1076">
        <f>IF(OR(H1076="",I1076=""),"",ROUND(100*H1076/I1076,0))</f>
        <v/>
      </c>
      <c r="M1076">
        <f>IF(D1076="","",IFERROR(INDEX(Classes!$B$2:$B$200,MATCH(D1076,Classes!$E$2:$E$200,0)),""))</f>
        <v/>
      </c>
    </row>
    <row r="1077">
      <c r="J1077">
        <f>IF(OR(H1077="",I1077=""),"",ROUND(100*H1077/I1077,0))</f>
        <v/>
      </c>
      <c r="M1077">
        <f>IF(D1077="","",IFERROR(INDEX(Classes!$B$2:$B$200,MATCH(D1077,Classes!$E$2:$E$200,0)),""))</f>
        <v/>
      </c>
    </row>
    <row r="1078">
      <c r="J1078">
        <f>IF(OR(H1078="",I1078=""),"",ROUND(100*H1078/I1078,0))</f>
        <v/>
      </c>
      <c r="M1078">
        <f>IF(D1078="","",IFERROR(INDEX(Classes!$B$2:$B$200,MATCH(D1078,Classes!$E$2:$E$200,0)),""))</f>
        <v/>
      </c>
    </row>
    <row r="1079">
      <c r="J1079">
        <f>IF(OR(H1079="",I1079=""),"",ROUND(100*H1079/I1079,0))</f>
        <v/>
      </c>
      <c r="M1079">
        <f>IF(D1079="","",IFERROR(INDEX(Classes!$B$2:$B$200,MATCH(D1079,Classes!$E$2:$E$200,0)),""))</f>
        <v/>
      </c>
    </row>
    <row r="1080">
      <c r="J1080">
        <f>IF(OR(H1080="",I1080=""),"",ROUND(100*H1080/I1080,0))</f>
        <v/>
      </c>
      <c r="M1080">
        <f>IF(D1080="","",IFERROR(INDEX(Classes!$B$2:$B$200,MATCH(D1080,Classes!$E$2:$E$200,0)),""))</f>
        <v/>
      </c>
    </row>
    <row r="1081">
      <c r="J1081">
        <f>IF(OR(H1081="",I1081=""),"",ROUND(100*H1081/I1081,0))</f>
        <v/>
      </c>
      <c r="M1081">
        <f>IF(D1081="","",IFERROR(INDEX(Classes!$B$2:$B$200,MATCH(D1081,Classes!$E$2:$E$200,0)),""))</f>
        <v/>
      </c>
    </row>
    <row r="1082">
      <c r="J1082">
        <f>IF(OR(H1082="",I1082=""),"",ROUND(100*H1082/I1082,0))</f>
        <v/>
      </c>
      <c r="M1082">
        <f>IF(D1082="","",IFERROR(INDEX(Classes!$B$2:$B$200,MATCH(D1082,Classes!$E$2:$E$200,0)),""))</f>
        <v/>
      </c>
    </row>
    <row r="1083">
      <c r="J1083">
        <f>IF(OR(H1083="",I1083=""),"",ROUND(100*H1083/I1083,0))</f>
        <v/>
      </c>
      <c r="M1083">
        <f>IF(D1083="","",IFERROR(INDEX(Classes!$B$2:$B$200,MATCH(D1083,Classes!$E$2:$E$200,0)),""))</f>
        <v/>
      </c>
    </row>
    <row r="1084">
      <c r="J1084">
        <f>IF(OR(H1084="",I1084=""),"",ROUND(100*H1084/I1084,0))</f>
        <v/>
      </c>
      <c r="M1084">
        <f>IF(D1084="","",IFERROR(INDEX(Classes!$B$2:$B$200,MATCH(D1084,Classes!$E$2:$E$200,0)),""))</f>
        <v/>
      </c>
    </row>
    <row r="1085">
      <c r="J1085">
        <f>IF(OR(H1085="",I1085=""),"",ROUND(100*H1085/I1085,0))</f>
        <v/>
      </c>
      <c r="M1085">
        <f>IF(D1085="","",IFERROR(INDEX(Classes!$B$2:$B$200,MATCH(D1085,Classes!$E$2:$E$200,0)),""))</f>
        <v/>
      </c>
    </row>
    <row r="1086">
      <c r="J1086">
        <f>IF(OR(H1086="",I1086=""),"",ROUND(100*H1086/I1086,0))</f>
        <v/>
      </c>
      <c r="M1086">
        <f>IF(D1086="","",IFERROR(INDEX(Classes!$B$2:$B$200,MATCH(D1086,Classes!$E$2:$E$200,0)),""))</f>
        <v/>
      </c>
    </row>
    <row r="1087">
      <c r="J1087">
        <f>IF(OR(H1087="",I1087=""),"",ROUND(100*H1087/I1087,0))</f>
        <v/>
      </c>
      <c r="M1087">
        <f>IF(D1087="","",IFERROR(INDEX(Classes!$B$2:$B$200,MATCH(D1087,Classes!$E$2:$E$200,0)),""))</f>
        <v/>
      </c>
    </row>
    <row r="1088">
      <c r="J1088">
        <f>IF(OR(H1088="",I1088=""),"",ROUND(100*H1088/I1088,0))</f>
        <v/>
      </c>
      <c r="M1088">
        <f>IF(D1088="","",IFERROR(INDEX(Classes!$B$2:$B$200,MATCH(D1088,Classes!$E$2:$E$200,0)),""))</f>
        <v/>
      </c>
    </row>
    <row r="1089">
      <c r="J1089">
        <f>IF(OR(H1089="",I1089=""),"",ROUND(100*H1089/I1089,0))</f>
        <v/>
      </c>
      <c r="M1089">
        <f>IF(D1089="","",IFERROR(INDEX(Classes!$B$2:$B$200,MATCH(D1089,Classes!$E$2:$E$200,0)),""))</f>
        <v/>
      </c>
    </row>
    <row r="1090">
      <c r="J1090">
        <f>IF(OR(H1090="",I1090=""),"",ROUND(100*H1090/I1090,0))</f>
        <v/>
      </c>
      <c r="M1090">
        <f>IF(D1090="","",IFERROR(INDEX(Classes!$B$2:$B$200,MATCH(D1090,Classes!$E$2:$E$200,0)),""))</f>
        <v/>
      </c>
    </row>
    <row r="1091">
      <c r="J1091">
        <f>IF(OR(H1091="",I1091=""),"",ROUND(100*H1091/I1091,0))</f>
        <v/>
      </c>
      <c r="M1091">
        <f>IF(D1091="","",IFERROR(INDEX(Classes!$B$2:$B$200,MATCH(D1091,Classes!$E$2:$E$200,0)),""))</f>
        <v/>
      </c>
    </row>
    <row r="1092">
      <c r="J1092">
        <f>IF(OR(H1092="",I1092=""),"",ROUND(100*H1092/I1092,0))</f>
        <v/>
      </c>
      <c r="M1092">
        <f>IF(D1092="","",IFERROR(INDEX(Classes!$B$2:$B$200,MATCH(D1092,Classes!$E$2:$E$200,0)),""))</f>
        <v/>
      </c>
    </row>
    <row r="1093">
      <c r="J1093">
        <f>IF(OR(H1093="",I1093=""),"",ROUND(100*H1093/I1093,0))</f>
        <v/>
      </c>
      <c r="M1093">
        <f>IF(D1093="","",IFERROR(INDEX(Classes!$B$2:$B$200,MATCH(D1093,Classes!$E$2:$E$200,0)),""))</f>
        <v/>
      </c>
    </row>
    <row r="1094">
      <c r="J1094">
        <f>IF(OR(H1094="",I1094=""),"",ROUND(100*H1094/I1094,0))</f>
        <v/>
      </c>
      <c r="M1094">
        <f>IF(D1094="","",IFERROR(INDEX(Classes!$B$2:$B$200,MATCH(D1094,Classes!$E$2:$E$200,0)),""))</f>
        <v/>
      </c>
    </row>
    <row r="1095">
      <c r="J1095">
        <f>IF(OR(H1095="",I1095=""),"",ROUND(100*H1095/I1095,0))</f>
        <v/>
      </c>
      <c r="M1095">
        <f>IF(D1095="","",IFERROR(INDEX(Classes!$B$2:$B$200,MATCH(D1095,Classes!$E$2:$E$200,0)),""))</f>
        <v/>
      </c>
    </row>
    <row r="1096">
      <c r="J1096">
        <f>IF(OR(H1096="",I1096=""),"",ROUND(100*H1096/I1096,0))</f>
        <v/>
      </c>
      <c r="M1096">
        <f>IF(D1096="","",IFERROR(INDEX(Classes!$B$2:$B$200,MATCH(D1096,Classes!$E$2:$E$200,0)),""))</f>
        <v/>
      </c>
    </row>
    <row r="1097">
      <c r="J1097">
        <f>IF(OR(H1097="",I1097=""),"",ROUND(100*H1097/I1097,0))</f>
        <v/>
      </c>
      <c r="M1097">
        <f>IF(D1097="","",IFERROR(INDEX(Classes!$B$2:$B$200,MATCH(D1097,Classes!$E$2:$E$200,0)),""))</f>
        <v/>
      </c>
    </row>
    <row r="1098">
      <c r="J1098">
        <f>IF(OR(H1098="",I1098=""),"",ROUND(100*H1098/I1098,0))</f>
        <v/>
      </c>
      <c r="M1098">
        <f>IF(D1098="","",IFERROR(INDEX(Classes!$B$2:$B$200,MATCH(D1098,Classes!$E$2:$E$200,0)),""))</f>
        <v/>
      </c>
    </row>
    <row r="1099">
      <c r="J1099">
        <f>IF(OR(H1099="",I1099=""),"",ROUND(100*H1099/I1099,0))</f>
        <v/>
      </c>
      <c r="M1099">
        <f>IF(D1099="","",IFERROR(INDEX(Classes!$B$2:$B$200,MATCH(D1099,Classes!$E$2:$E$200,0)),""))</f>
        <v/>
      </c>
    </row>
    <row r="1100">
      <c r="J1100">
        <f>IF(OR(H1100="",I1100=""),"",ROUND(100*H1100/I1100,0))</f>
        <v/>
      </c>
      <c r="M1100">
        <f>IF(D1100="","",IFERROR(INDEX(Classes!$B$2:$B$200,MATCH(D1100,Classes!$E$2:$E$200,0)),""))</f>
        <v/>
      </c>
    </row>
    <row r="1101">
      <c r="J1101">
        <f>IF(OR(H1101="",I1101=""),"",ROUND(100*H1101/I1101,0))</f>
        <v/>
      </c>
      <c r="M1101">
        <f>IF(D1101="","",IFERROR(INDEX(Classes!$B$2:$B$200,MATCH(D1101,Classes!$E$2:$E$200,0)),""))</f>
        <v/>
      </c>
    </row>
    <row r="1102">
      <c r="J1102">
        <f>IF(OR(H1102="",I1102=""),"",ROUND(100*H1102/I1102,0))</f>
        <v/>
      </c>
      <c r="M1102">
        <f>IF(D1102="","",IFERROR(INDEX(Classes!$B$2:$B$200,MATCH(D1102,Classes!$E$2:$E$200,0)),""))</f>
        <v/>
      </c>
    </row>
    <row r="1103">
      <c r="J1103">
        <f>IF(OR(H1103="",I1103=""),"",ROUND(100*H1103/I1103,0))</f>
        <v/>
      </c>
      <c r="M1103">
        <f>IF(D1103="","",IFERROR(INDEX(Classes!$B$2:$B$200,MATCH(D1103,Classes!$E$2:$E$200,0)),""))</f>
        <v/>
      </c>
    </row>
    <row r="1104">
      <c r="J1104">
        <f>IF(OR(H1104="",I1104=""),"",ROUND(100*H1104/I1104,0))</f>
        <v/>
      </c>
      <c r="M1104">
        <f>IF(D1104="","",IFERROR(INDEX(Classes!$B$2:$B$200,MATCH(D1104,Classes!$E$2:$E$200,0)),""))</f>
        <v/>
      </c>
    </row>
    <row r="1105">
      <c r="J1105">
        <f>IF(OR(H1105="",I1105=""),"",ROUND(100*H1105/I1105,0))</f>
        <v/>
      </c>
      <c r="M1105">
        <f>IF(D1105="","",IFERROR(INDEX(Classes!$B$2:$B$200,MATCH(D1105,Classes!$E$2:$E$200,0)),""))</f>
        <v/>
      </c>
    </row>
    <row r="1106">
      <c r="J1106">
        <f>IF(OR(H1106="",I1106=""),"",ROUND(100*H1106/I1106,0))</f>
        <v/>
      </c>
      <c r="M1106">
        <f>IF(D1106="","",IFERROR(INDEX(Classes!$B$2:$B$200,MATCH(D1106,Classes!$E$2:$E$200,0)),""))</f>
        <v/>
      </c>
    </row>
    <row r="1107">
      <c r="J1107">
        <f>IF(OR(H1107="",I1107=""),"",ROUND(100*H1107/I1107,0))</f>
        <v/>
      </c>
      <c r="M1107">
        <f>IF(D1107="","",IFERROR(INDEX(Classes!$B$2:$B$200,MATCH(D1107,Classes!$E$2:$E$200,0)),""))</f>
        <v/>
      </c>
    </row>
    <row r="1108">
      <c r="J1108">
        <f>IF(OR(H1108="",I1108=""),"",ROUND(100*H1108/I1108,0))</f>
        <v/>
      </c>
      <c r="M1108">
        <f>IF(D1108="","",IFERROR(INDEX(Classes!$B$2:$B$200,MATCH(D1108,Classes!$E$2:$E$200,0)),""))</f>
        <v/>
      </c>
    </row>
    <row r="1109">
      <c r="J1109">
        <f>IF(OR(H1109="",I1109=""),"",ROUND(100*H1109/I1109,0))</f>
        <v/>
      </c>
      <c r="M1109">
        <f>IF(D1109="","",IFERROR(INDEX(Classes!$B$2:$B$200,MATCH(D1109,Classes!$E$2:$E$200,0)),""))</f>
        <v/>
      </c>
    </row>
    <row r="1110">
      <c r="J1110">
        <f>IF(OR(H1110="",I1110=""),"",ROUND(100*H1110/I1110,0))</f>
        <v/>
      </c>
      <c r="M1110">
        <f>IF(D1110="","",IFERROR(INDEX(Classes!$B$2:$B$200,MATCH(D1110,Classes!$E$2:$E$200,0)),""))</f>
        <v/>
      </c>
    </row>
    <row r="1111">
      <c r="J1111">
        <f>IF(OR(H1111="",I1111=""),"",ROUND(100*H1111/I1111,0))</f>
        <v/>
      </c>
      <c r="M1111">
        <f>IF(D1111="","",IFERROR(INDEX(Classes!$B$2:$B$200,MATCH(D1111,Classes!$E$2:$E$200,0)),""))</f>
        <v/>
      </c>
    </row>
    <row r="1112">
      <c r="J1112">
        <f>IF(OR(H1112="",I1112=""),"",ROUND(100*H1112/I1112,0))</f>
        <v/>
      </c>
      <c r="M1112">
        <f>IF(D1112="","",IFERROR(INDEX(Classes!$B$2:$B$200,MATCH(D1112,Classes!$E$2:$E$200,0)),""))</f>
        <v/>
      </c>
    </row>
    <row r="1113">
      <c r="J1113">
        <f>IF(OR(H1113="",I1113=""),"",ROUND(100*H1113/I1113,0))</f>
        <v/>
      </c>
      <c r="M1113">
        <f>IF(D1113="","",IFERROR(INDEX(Classes!$B$2:$B$200,MATCH(D1113,Classes!$E$2:$E$200,0)),""))</f>
        <v/>
      </c>
    </row>
    <row r="1114">
      <c r="J1114">
        <f>IF(OR(H1114="",I1114=""),"",ROUND(100*H1114/I1114,0))</f>
        <v/>
      </c>
      <c r="M1114">
        <f>IF(D1114="","",IFERROR(INDEX(Classes!$B$2:$B$200,MATCH(D1114,Classes!$E$2:$E$200,0)),""))</f>
        <v/>
      </c>
    </row>
    <row r="1115">
      <c r="J1115">
        <f>IF(OR(H1115="",I1115=""),"",ROUND(100*H1115/I1115,0))</f>
        <v/>
      </c>
      <c r="M1115">
        <f>IF(D1115="","",IFERROR(INDEX(Classes!$B$2:$B$200,MATCH(D1115,Classes!$E$2:$E$200,0)),""))</f>
        <v/>
      </c>
    </row>
    <row r="1116">
      <c r="J1116">
        <f>IF(OR(H1116="",I1116=""),"",ROUND(100*H1116/I1116,0))</f>
        <v/>
      </c>
      <c r="M1116">
        <f>IF(D1116="","",IFERROR(INDEX(Classes!$B$2:$B$200,MATCH(D1116,Classes!$E$2:$E$200,0)),""))</f>
        <v/>
      </c>
    </row>
    <row r="1117">
      <c r="J1117">
        <f>IF(OR(H1117="",I1117=""),"",ROUND(100*H1117/I1117,0))</f>
        <v/>
      </c>
      <c r="M1117">
        <f>IF(D1117="","",IFERROR(INDEX(Classes!$B$2:$B$200,MATCH(D1117,Classes!$E$2:$E$200,0)),""))</f>
        <v/>
      </c>
    </row>
    <row r="1118">
      <c r="J1118">
        <f>IF(OR(H1118="",I1118=""),"",ROUND(100*H1118/I1118,0))</f>
        <v/>
      </c>
      <c r="M1118">
        <f>IF(D1118="","",IFERROR(INDEX(Classes!$B$2:$B$200,MATCH(D1118,Classes!$E$2:$E$200,0)),""))</f>
        <v/>
      </c>
    </row>
    <row r="1119">
      <c r="J1119">
        <f>IF(OR(H1119="",I1119=""),"",ROUND(100*H1119/I1119,0))</f>
        <v/>
      </c>
      <c r="M1119">
        <f>IF(D1119="","",IFERROR(INDEX(Classes!$B$2:$B$200,MATCH(D1119,Classes!$E$2:$E$200,0)),""))</f>
        <v/>
      </c>
    </row>
    <row r="1120">
      <c r="J1120">
        <f>IF(OR(H1120="",I1120=""),"",ROUND(100*H1120/I1120,0))</f>
        <v/>
      </c>
      <c r="M1120">
        <f>IF(D1120="","",IFERROR(INDEX(Classes!$B$2:$B$200,MATCH(D1120,Classes!$E$2:$E$200,0)),""))</f>
        <v/>
      </c>
    </row>
    <row r="1121">
      <c r="J1121">
        <f>IF(OR(H1121="",I1121=""),"",ROUND(100*H1121/I1121,0))</f>
        <v/>
      </c>
      <c r="M1121">
        <f>IF(D1121="","",IFERROR(INDEX(Classes!$B$2:$B$200,MATCH(D1121,Classes!$E$2:$E$200,0)),""))</f>
        <v/>
      </c>
    </row>
    <row r="1122">
      <c r="J1122">
        <f>IF(OR(H1122="",I1122=""),"",ROUND(100*H1122/I1122,0))</f>
        <v/>
      </c>
      <c r="M1122">
        <f>IF(D1122="","",IFERROR(INDEX(Classes!$B$2:$B$200,MATCH(D1122,Classes!$E$2:$E$200,0)),""))</f>
        <v/>
      </c>
    </row>
    <row r="1123">
      <c r="J1123">
        <f>IF(OR(H1123="",I1123=""),"",ROUND(100*H1123/I1123,0))</f>
        <v/>
      </c>
      <c r="M1123">
        <f>IF(D1123="","",IFERROR(INDEX(Classes!$B$2:$B$200,MATCH(D1123,Classes!$E$2:$E$200,0)),""))</f>
        <v/>
      </c>
    </row>
    <row r="1124">
      <c r="J1124">
        <f>IF(OR(H1124="",I1124=""),"",ROUND(100*H1124/I1124,0))</f>
        <v/>
      </c>
      <c r="M1124">
        <f>IF(D1124="","",IFERROR(INDEX(Classes!$B$2:$B$200,MATCH(D1124,Classes!$E$2:$E$200,0)),""))</f>
        <v/>
      </c>
    </row>
    <row r="1125">
      <c r="J1125">
        <f>IF(OR(H1125="",I1125=""),"",ROUND(100*H1125/I1125,0))</f>
        <v/>
      </c>
      <c r="M1125">
        <f>IF(D1125="","",IFERROR(INDEX(Classes!$B$2:$B$200,MATCH(D1125,Classes!$E$2:$E$200,0)),""))</f>
        <v/>
      </c>
    </row>
    <row r="1126">
      <c r="J1126">
        <f>IF(OR(H1126="",I1126=""),"",ROUND(100*H1126/I1126,0))</f>
        <v/>
      </c>
      <c r="M1126">
        <f>IF(D1126="","",IFERROR(INDEX(Classes!$B$2:$B$200,MATCH(D1126,Classes!$E$2:$E$200,0)),""))</f>
        <v/>
      </c>
    </row>
    <row r="1127">
      <c r="J1127">
        <f>IF(OR(H1127="",I1127=""),"",ROUND(100*H1127/I1127,0))</f>
        <v/>
      </c>
      <c r="M1127">
        <f>IF(D1127="","",IFERROR(INDEX(Classes!$B$2:$B$200,MATCH(D1127,Classes!$E$2:$E$200,0)),""))</f>
        <v/>
      </c>
    </row>
    <row r="1128">
      <c r="J1128">
        <f>IF(OR(H1128="",I1128=""),"",ROUND(100*H1128/I1128,0))</f>
        <v/>
      </c>
      <c r="M1128">
        <f>IF(D1128="","",IFERROR(INDEX(Classes!$B$2:$B$200,MATCH(D1128,Classes!$E$2:$E$200,0)),""))</f>
        <v/>
      </c>
    </row>
    <row r="1129">
      <c r="J1129">
        <f>IF(OR(H1129="",I1129=""),"",ROUND(100*H1129/I1129,0))</f>
        <v/>
      </c>
      <c r="M1129">
        <f>IF(D1129="","",IFERROR(INDEX(Classes!$B$2:$B$200,MATCH(D1129,Classes!$E$2:$E$200,0)),""))</f>
        <v/>
      </c>
    </row>
    <row r="1130">
      <c r="J1130">
        <f>IF(OR(H1130="",I1130=""),"",ROUND(100*H1130/I1130,0))</f>
        <v/>
      </c>
      <c r="M1130">
        <f>IF(D1130="","",IFERROR(INDEX(Classes!$B$2:$B$200,MATCH(D1130,Classes!$E$2:$E$200,0)),""))</f>
        <v/>
      </c>
    </row>
    <row r="1131">
      <c r="J1131">
        <f>IF(OR(H1131="",I1131=""),"",ROUND(100*H1131/I1131,0))</f>
        <v/>
      </c>
      <c r="M1131">
        <f>IF(D1131="","",IFERROR(INDEX(Classes!$B$2:$B$200,MATCH(D1131,Classes!$E$2:$E$200,0)),""))</f>
        <v/>
      </c>
    </row>
    <row r="1132">
      <c r="J1132">
        <f>IF(OR(H1132="",I1132=""),"",ROUND(100*H1132/I1132,0))</f>
        <v/>
      </c>
      <c r="M1132">
        <f>IF(D1132="","",IFERROR(INDEX(Classes!$B$2:$B$200,MATCH(D1132,Classes!$E$2:$E$200,0)),""))</f>
        <v/>
      </c>
    </row>
    <row r="1133">
      <c r="J1133">
        <f>IF(OR(H1133="",I1133=""),"",ROUND(100*H1133/I1133,0))</f>
        <v/>
      </c>
      <c r="M1133">
        <f>IF(D1133="","",IFERROR(INDEX(Classes!$B$2:$B$200,MATCH(D1133,Classes!$E$2:$E$200,0)),""))</f>
        <v/>
      </c>
    </row>
    <row r="1134">
      <c r="J1134">
        <f>IF(OR(H1134="",I1134=""),"",ROUND(100*H1134/I1134,0))</f>
        <v/>
      </c>
      <c r="M1134">
        <f>IF(D1134="","",IFERROR(INDEX(Classes!$B$2:$B$200,MATCH(D1134,Classes!$E$2:$E$200,0)),""))</f>
        <v/>
      </c>
    </row>
    <row r="1135">
      <c r="J1135">
        <f>IF(OR(H1135="",I1135=""),"",ROUND(100*H1135/I1135,0))</f>
        <v/>
      </c>
      <c r="M1135">
        <f>IF(D1135="","",IFERROR(INDEX(Classes!$B$2:$B$200,MATCH(D1135,Classes!$E$2:$E$200,0)),""))</f>
        <v/>
      </c>
    </row>
    <row r="1136">
      <c r="J1136">
        <f>IF(OR(H1136="",I1136=""),"",ROUND(100*H1136/I1136,0))</f>
        <v/>
      </c>
      <c r="M1136">
        <f>IF(D1136="","",IFERROR(INDEX(Classes!$B$2:$B$200,MATCH(D1136,Classes!$E$2:$E$200,0)),""))</f>
        <v/>
      </c>
    </row>
    <row r="1137">
      <c r="J1137">
        <f>IF(OR(H1137="",I1137=""),"",ROUND(100*H1137/I1137,0))</f>
        <v/>
      </c>
      <c r="M1137">
        <f>IF(D1137="","",IFERROR(INDEX(Classes!$B$2:$B$200,MATCH(D1137,Classes!$E$2:$E$200,0)),""))</f>
        <v/>
      </c>
    </row>
    <row r="1138">
      <c r="J1138">
        <f>IF(OR(H1138="",I1138=""),"",ROUND(100*H1138/I1138,0))</f>
        <v/>
      </c>
      <c r="M1138">
        <f>IF(D1138="","",IFERROR(INDEX(Classes!$B$2:$B$200,MATCH(D1138,Classes!$E$2:$E$200,0)),""))</f>
        <v/>
      </c>
    </row>
    <row r="1139">
      <c r="J1139">
        <f>IF(OR(H1139="",I1139=""),"",ROUND(100*H1139/I1139,0))</f>
        <v/>
      </c>
      <c r="M1139">
        <f>IF(D1139="","",IFERROR(INDEX(Classes!$B$2:$B$200,MATCH(D1139,Classes!$E$2:$E$200,0)),""))</f>
        <v/>
      </c>
    </row>
    <row r="1140">
      <c r="J1140">
        <f>IF(OR(H1140="",I1140=""),"",ROUND(100*H1140/I1140,0))</f>
        <v/>
      </c>
      <c r="M1140">
        <f>IF(D1140="","",IFERROR(INDEX(Classes!$B$2:$B$200,MATCH(D1140,Classes!$E$2:$E$200,0)),""))</f>
        <v/>
      </c>
    </row>
    <row r="1141">
      <c r="J1141">
        <f>IF(OR(H1141="",I1141=""),"",ROUND(100*H1141/I1141,0))</f>
        <v/>
      </c>
      <c r="M1141">
        <f>IF(D1141="","",IFERROR(INDEX(Classes!$B$2:$B$200,MATCH(D1141,Classes!$E$2:$E$200,0)),""))</f>
        <v/>
      </c>
    </row>
    <row r="1142">
      <c r="J1142">
        <f>IF(OR(H1142="",I1142=""),"",ROUND(100*H1142/I1142,0))</f>
        <v/>
      </c>
      <c r="M1142">
        <f>IF(D1142="","",IFERROR(INDEX(Classes!$B$2:$B$200,MATCH(D1142,Classes!$E$2:$E$200,0)),""))</f>
        <v/>
      </c>
    </row>
    <row r="1143">
      <c r="J1143">
        <f>IF(OR(H1143="",I1143=""),"",ROUND(100*H1143/I1143,0))</f>
        <v/>
      </c>
      <c r="M1143">
        <f>IF(D1143="","",IFERROR(INDEX(Classes!$B$2:$B$200,MATCH(D1143,Classes!$E$2:$E$200,0)),""))</f>
        <v/>
      </c>
    </row>
    <row r="1144">
      <c r="J1144">
        <f>IF(OR(H1144="",I1144=""),"",ROUND(100*H1144/I1144,0))</f>
        <v/>
      </c>
      <c r="M1144">
        <f>IF(D1144="","",IFERROR(INDEX(Classes!$B$2:$B$200,MATCH(D1144,Classes!$E$2:$E$200,0)),""))</f>
        <v/>
      </c>
    </row>
    <row r="1145">
      <c r="J1145">
        <f>IF(OR(H1145="",I1145=""),"",ROUND(100*H1145/I1145,0))</f>
        <v/>
      </c>
      <c r="M1145">
        <f>IF(D1145="","",IFERROR(INDEX(Classes!$B$2:$B$200,MATCH(D1145,Classes!$E$2:$E$200,0)),""))</f>
        <v/>
      </c>
    </row>
    <row r="1146">
      <c r="J1146">
        <f>IF(OR(H1146="",I1146=""),"",ROUND(100*H1146/I1146,0))</f>
        <v/>
      </c>
      <c r="M1146">
        <f>IF(D1146="","",IFERROR(INDEX(Classes!$B$2:$B$200,MATCH(D1146,Classes!$E$2:$E$200,0)),""))</f>
        <v/>
      </c>
    </row>
    <row r="1147">
      <c r="J1147">
        <f>IF(OR(H1147="",I1147=""),"",ROUND(100*H1147/I1147,0))</f>
        <v/>
      </c>
      <c r="M1147">
        <f>IF(D1147="","",IFERROR(INDEX(Classes!$B$2:$B$200,MATCH(D1147,Classes!$E$2:$E$200,0)),""))</f>
        <v/>
      </c>
    </row>
    <row r="1148">
      <c r="J1148">
        <f>IF(OR(H1148="",I1148=""),"",ROUND(100*H1148/I1148,0))</f>
        <v/>
      </c>
      <c r="M1148">
        <f>IF(D1148="","",IFERROR(INDEX(Classes!$B$2:$B$200,MATCH(D1148,Classes!$E$2:$E$200,0)),""))</f>
        <v/>
      </c>
    </row>
    <row r="1149">
      <c r="J1149">
        <f>IF(OR(H1149="",I1149=""),"",ROUND(100*H1149/I1149,0))</f>
        <v/>
      </c>
      <c r="M1149">
        <f>IF(D1149="","",IFERROR(INDEX(Classes!$B$2:$B$200,MATCH(D1149,Classes!$E$2:$E$200,0)),""))</f>
        <v/>
      </c>
    </row>
    <row r="1150">
      <c r="J1150">
        <f>IF(OR(H1150="",I1150=""),"",ROUND(100*H1150/I1150,0))</f>
        <v/>
      </c>
      <c r="M1150">
        <f>IF(D1150="","",IFERROR(INDEX(Classes!$B$2:$B$200,MATCH(D1150,Classes!$E$2:$E$200,0)),""))</f>
        <v/>
      </c>
    </row>
    <row r="1151">
      <c r="J1151">
        <f>IF(OR(H1151="",I1151=""),"",ROUND(100*H1151/I1151,0))</f>
        <v/>
      </c>
      <c r="M1151">
        <f>IF(D1151="","",IFERROR(INDEX(Classes!$B$2:$B$200,MATCH(D1151,Classes!$E$2:$E$200,0)),""))</f>
        <v/>
      </c>
    </row>
    <row r="1152">
      <c r="J1152">
        <f>IF(OR(H1152="",I1152=""),"",ROUND(100*H1152/I1152,0))</f>
        <v/>
      </c>
      <c r="M1152">
        <f>IF(D1152="","",IFERROR(INDEX(Classes!$B$2:$B$200,MATCH(D1152,Classes!$E$2:$E$200,0)),""))</f>
        <v/>
      </c>
    </row>
    <row r="1153">
      <c r="J1153">
        <f>IF(OR(H1153="",I1153=""),"",ROUND(100*H1153/I1153,0))</f>
        <v/>
      </c>
      <c r="M1153">
        <f>IF(D1153="","",IFERROR(INDEX(Classes!$B$2:$B$200,MATCH(D1153,Classes!$E$2:$E$200,0)),""))</f>
        <v/>
      </c>
    </row>
    <row r="1154">
      <c r="J1154">
        <f>IF(OR(H1154="",I1154=""),"",ROUND(100*H1154/I1154,0))</f>
        <v/>
      </c>
      <c r="M1154">
        <f>IF(D1154="","",IFERROR(INDEX(Classes!$B$2:$B$200,MATCH(D1154,Classes!$E$2:$E$200,0)),""))</f>
        <v/>
      </c>
    </row>
    <row r="1155">
      <c r="J1155">
        <f>IF(OR(H1155="",I1155=""),"",ROUND(100*H1155/I1155,0))</f>
        <v/>
      </c>
      <c r="M1155">
        <f>IF(D1155="","",IFERROR(INDEX(Classes!$B$2:$B$200,MATCH(D1155,Classes!$E$2:$E$200,0)),""))</f>
        <v/>
      </c>
    </row>
    <row r="1156">
      <c r="J1156">
        <f>IF(OR(H1156="",I1156=""),"",ROUND(100*H1156/I1156,0))</f>
        <v/>
      </c>
      <c r="M1156">
        <f>IF(D1156="","",IFERROR(INDEX(Classes!$B$2:$B$200,MATCH(D1156,Classes!$E$2:$E$200,0)),""))</f>
        <v/>
      </c>
    </row>
    <row r="1157">
      <c r="J1157">
        <f>IF(OR(H1157="",I1157=""),"",ROUND(100*H1157/I1157,0))</f>
        <v/>
      </c>
      <c r="M1157">
        <f>IF(D1157="","",IFERROR(INDEX(Classes!$B$2:$B$200,MATCH(D1157,Classes!$E$2:$E$200,0)),""))</f>
        <v/>
      </c>
    </row>
    <row r="1158">
      <c r="J1158">
        <f>IF(OR(H1158="",I1158=""),"",ROUND(100*H1158/I1158,0))</f>
        <v/>
      </c>
      <c r="M1158">
        <f>IF(D1158="","",IFERROR(INDEX(Classes!$B$2:$B$200,MATCH(D1158,Classes!$E$2:$E$200,0)),""))</f>
        <v/>
      </c>
    </row>
    <row r="1159">
      <c r="J1159">
        <f>IF(OR(H1159="",I1159=""),"",ROUND(100*H1159/I1159,0))</f>
        <v/>
      </c>
      <c r="M1159">
        <f>IF(D1159="","",IFERROR(INDEX(Classes!$B$2:$B$200,MATCH(D1159,Classes!$E$2:$E$200,0)),""))</f>
        <v/>
      </c>
    </row>
    <row r="1160">
      <c r="J1160">
        <f>IF(OR(H1160="",I1160=""),"",ROUND(100*H1160/I1160,0))</f>
        <v/>
      </c>
      <c r="M1160">
        <f>IF(D1160="","",IFERROR(INDEX(Classes!$B$2:$B$200,MATCH(D1160,Classes!$E$2:$E$200,0)),""))</f>
        <v/>
      </c>
    </row>
    <row r="1161">
      <c r="J1161">
        <f>IF(OR(H1161="",I1161=""),"",ROUND(100*H1161/I1161,0))</f>
        <v/>
      </c>
      <c r="M1161">
        <f>IF(D1161="","",IFERROR(INDEX(Classes!$B$2:$B$200,MATCH(D1161,Classes!$E$2:$E$200,0)),""))</f>
        <v/>
      </c>
    </row>
    <row r="1162">
      <c r="J1162">
        <f>IF(OR(H1162="",I1162=""),"",ROUND(100*H1162/I1162,0))</f>
        <v/>
      </c>
      <c r="M1162">
        <f>IF(D1162="","",IFERROR(INDEX(Classes!$B$2:$B$200,MATCH(D1162,Classes!$E$2:$E$200,0)),""))</f>
        <v/>
      </c>
    </row>
    <row r="1163">
      <c r="J1163">
        <f>IF(OR(H1163="",I1163=""),"",ROUND(100*H1163/I1163,0))</f>
        <v/>
      </c>
      <c r="M1163">
        <f>IF(D1163="","",IFERROR(INDEX(Classes!$B$2:$B$200,MATCH(D1163,Classes!$E$2:$E$200,0)),""))</f>
        <v/>
      </c>
    </row>
    <row r="1164">
      <c r="J1164">
        <f>IF(OR(H1164="",I1164=""),"",ROUND(100*H1164/I1164,0))</f>
        <v/>
      </c>
      <c r="M1164">
        <f>IF(D1164="","",IFERROR(INDEX(Classes!$B$2:$B$200,MATCH(D1164,Classes!$E$2:$E$200,0)),""))</f>
        <v/>
      </c>
    </row>
    <row r="1165">
      <c r="J1165">
        <f>IF(OR(H1165="",I1165=""),"",ROUND(100*H1165/I1165,0))</f>
        <v/>
      </c>
      <c r="M1165">
        <f>IF(D1165="","",IFERROR(INDEX(Classes!$B$2:$B$200,MATCH(D1165,Classes!$E$2:$E$200,0)),""))</f>
        <v/>
      </c>
    </row>
    <row r="1166">
      <c r="J1166">
        <f>IF(OR(H1166="",I1166=""),"",ROUND(100*H1166/I1166,0))</f>
        <v/>
      </c>
      <c r="M1166">
        <f>IF(D1166="","",IFERROR(INDEX(Classes!$B$2:$B$200,MATCH(D1166,Classes!$E$2:$E$200,0)),""))</f>
        <v/>
      </c>
    </row>
    <row r="1167">
      <c r="J1167">
        <f>IF(OR(H1167="",I1167=""),"",ROUND(100*H1167/I1167,0))</f>
        <v/>
      </c>
      <c r="M1167">
        <f>IF(D1167="","",IFERROR(INDEX(Classes!$B$2:$B$200,MATCH(D1167,Classes!$E$2:$E$200,0)),""))</f>
        <v/>
      </c>
    </row>
    <row r="1168">
      <c r="J1168">
        <f>IF(OR(H1168="",I1168=""),"",ROUND(100*H1168/I1168,0))</f>
        <v/>
      </c>
      <c r="M1168">
        <f>IF(D1168="","",IFERROR(INDEX(Classes!$B$2:$B$200,MATCH(D1168,Classes!$E$2:$E$200,0)),""))</f>
        <v/>
      </c>
    </row>
    <row r="1169">
      <c r="J1169">
        <f>IF(OR(H1169="",I1169=""),"",ROUND(100*H1169/I1169,0))</f>
        <v/>
      </c>
      <c r="M1169">
        <f>IF(D1169="","",IFERROR(INDEX(Classes!$B$2:$B$200,MATCH(D1169,Classes!$E$2:$E$200,0)),""))</f>
        <v/>
      </c>
    </row>
    <row r="1170">
      <c r="J1170">
        <f>IF(OR(H1170="",I1170=""),"",ROUND(100*H1170/I1170,0))</f>
        <v/>
      </c>
      <c r="M1170">
        <f>IF(D1170="","",IFERROR(INDEX(Classes!$B$2:$B$200,MATCH(D1170,Classes!$E$2:$E$200,0)),""))</f>
        <v/>
      </c>
    </row>
    <row r="1171">
      <c r="J1171">
        <f>IF(OR(H1171="",I1171=""),"",ROUND(100*H1171/I1171,0))</f>
        <v/>
      </c>
      <c r="M1171">
        <f>IF(D1171="","",IFERROR(INDEX(Classes!$B$2:$B$200,MATCH(D1171,Classes!$E$2:$E$200,0)),""))</f>
        <v/>
      </c>
    </row>
    <row r="1172">
      <c r="J1172">
        <f>IF(OR(H1172="",I1172=""),"",ROUND(100*H1172/I1172,0))</f>
        <v/>
      </c>
      <c r="M1172">
        <f>IF(D1172="","",IFERROR(INDEX(Classes!$B$2:$B$200,MATCH(D1172,Classes!$E$2:$E$200,0)),""))</f>
        <v/>
      </c>
    </row>
    <row r="1173">
      <c r="J1173">
        <f>IF(OR(H1173="",I1173=""),"",ROUND(100*H1173/I1173,0))</f>
        <v/>
      </c>
      <c r="M1173">
        <f>IF(D1173="","",IFERROR(INDEX(Classes!$B$2:$B$200,MATCH(D1173,Classes!$E$2:$E$200,0)),""))</f>
        <v/>
      </c>
    </row>
    <row r="1174">
      <c r="J1174">
        <f>IF(OR(H1174="",I1174=""),"",ROUND(100*H1174/I1174,0))</f>
        <v/>
      </c>
      <c r="M1174">
        <f>IF(D1174="","",IFERROR(INDEX(Classes!$B$2:$B$200,MATCH(D1174,Classes!$E$2:$E$200,0)),""))</f>
        <v/>
      </c>
    </row>
    <row r="1175">
      <c r="J1175">
        <f>IF(OR(H1175="",I1175=""),"",ROUND(100*H1175/I1175,0))</f>
        <v/>
      </c>
      <c r="M1175">
        <f>IF(D1175="","",IFERROR(INDEX(Classes!$B$2:$B$200,MATCH(D1175,Classes!$E$2:$E$200,0)),""))</f>
        <v/>
      </c>
    </row>
    <row r="1176">
      <c r="J1176">
        <f>IF(OR(H1176="",I1176=""),"",ROUND(100*H1176/I1176,0))</f>
        <v/>
      </c>
      <c r="M1176">
        <f>IF(D1176="","",IFERROR(INDEX(Classes!$B$2:$B$200,MATCH(D1176,Classes!$E$2:$E$200,0)),""))</f>
        <v/>
      </c>
    </row>
    <row r="1177">
      <c r="J1177">
        <f>IF(OR(H1177="",I1177=""),"",ROUND(100*H1177/I1177,0))</f>
        <v/>
      </c>
      <c r="M1177">
        <f>IF(D1177="","",IFERROR(INDEX(Classes!$B$2:$B$200,MATCH(D1177,Classes!$E$2:$E$200,0)),""))</f>
        <v/>
      </c>
    </row>
    <row r="1178">
      <c r="J1178">
        <f>IF(OR(H1178="",I1178=""),"",ROUND(100*H1178/I1178,0))</f>
        <v/>
      </c>
      <c r="M1178">
        <f>IF(D1178="","",IFERROR(INDEX(Classes!$B$2:$B$200,MATCH(D1178,Classes!$E$2:$E$200,0)),""))</f>
        <v/>
      </c>
    </row>
    <row r="1179">
      <c r="J1179">
        <f>IF(OR(H1179="",I1179=""),"",ROUND(100*H1179/I1179,0))</f>
        <v/>
      </c>
      <c r="M1179">
        <f>IF(D1179="","",IFERROR(INDEX(Classes!$B$2:$B$200,MATCH(D1179,Classes!$E$2:$E$200,0)),""))</f>
        <v/>
      </c>
    </row>
    <row r="1180">
      <c r="J1180">
        <f>IF(OR(H1180="",I1180=""),"",ROUND(100*H1180/I1180,0))</f>
        <v/>
      </c>
      <c r="M1180">
        <f>IF(D1180="","",IFERROR(INDEX(Classes!$B$2:$B$200,MATCH(D1180,Classes!$E$2:$E$200,0)),""))</f>
        <v/>
      </c>
    </row>
    <row r="1181">
      <c r="J1181">
        <f>IF(OR(H1181="",I1181=""),"",ROUND(100*H1181/I1181,0))</f>
        <v/>
      </c>
      <c r="M1181">
        <f>IF(D1181="","",IFERROR(INDEX(Classes!$B$2:$B$200,MATCH(D1181,Classes!$E$2:$E$200,0)),""))</f>
        <v/>
      </c>
    </row>
    <row r="1182">
      <c r="J1182">
        <f>IF(OR(H1182="",I1182=""),"",ROUND(100*H1182/I1182,0))</f>
        <v/>
      </c>
      <c r="M1182">
        <f>IF(D1182="","",IFERROR(INDEX(Classes!$B$2:$B$200,MATCH(D1182,Classes!$E$2:$E$200,0)),""))</f>
        <v/>
      </c>
    </row>
    <row r="1183">
      <c r="J1183">
        <f>IF(OR(H1183="",I1183=""),"",ROUND(100*H1183/I1183,0))</f>
        <v/>
      </c>
      <c r="M1183">
        <f>IF(D1183="","",IFERROR(INDEX(Classes!$B$2:$B$200,MATCH(D1183,Classes!$E$2:$E$200,0)),""))</f>
        <v/>
      </c>
    </row>
    <row r="1184">
      <c r="J1184">
        <f>IF(OR(H1184="",I1184=""),"",ROUND(100*H1184/I1184,0))</f>
        <v/>
      </c>
      <c r="M1184">
        <f>IF(D1184="","",IFERROR(INDEX(Classes!$B$2:$B$200,MATCH(D1184,Classes!$E$2:$E$200,0)),""))</f>
        <v/>
      </c>
    </row>
    <row r="1185">
      <c r="J1185">
        <f>IF(OR(H1185="",I1185=""),"",ROUND(100*H1185/I1185,0))</f>
        <v/>
      </c>
      <c r="M1185">
        <f>IF(D1185="","",IFERROR(INDEX(Classes!$B$2:$B$200,MATCH(D1185,Classes!$E$2:$E$200,0)),""))</f>
        <v/>
      </c>
    </row>
    <row r="1186">
      <c r="J1186">
        <f>IF(OR(H1186="",I1186=""),"",ROUND(100*H1186/I1186,0))</f>
        <v/>
      </c>
      <c r="M1186">
        <f>IF(D1186="","",IFERROR(INDEX(Classes!$B$2:$B$200,MATCH(D1186,Classes!$E$2:$E$200,0)),""))</f>
        <v/>
      </c>
    </row>
    <row r="1187">
      <c r="J1187">
        <f>IF(OR(H1187="",I1187=""),"",ROUND(100*H1187/I1187,0))</f>
        <v/>
      </c>
      <c r="M1187">
        <f>IF(D1187="","",IFERROR(INDEX(Classes!$B$2:$B$200,MATCH(D1187,Classes!$E$2:$E$200,0)),""))</f>
        <v/>
      </c>
    </row>
    <row r="1188">
      <c r="J1188">
        <f>IF(OR(H1188="",I1188=""),"",ROUND(100*H1188/I1188,0))</f>
        <v/>
      </c>
      <c r="M1188">
        <f>IF(D1188="","",IFERROR(INDEX(Classes!$B$2:$B$200,MATCH(D1188,Classes!$E$2:$E$200,0)),""))</f>
        <v/>
      </c>
    </row>
    <row r="1189">
      <c r="J1189">
        <f>IF(OR(H1189="",I1189=""),"",ROUND(100*H1189/I1189,0))</f>
        <v/>
      </c>
      <c r="M1189">
        <f>IF(D1189="","",IFERROR(INDEX(Classes!$B$2:$B$200,MATCH(D1189,Classes!$E$2:$E$200,0)),""))</f>
        <v/>
      </c>
    </row>
    <row r="1190">
      <c r="J1190">
        <f>IF(OR(H1190="",I1190=""),"",ROUND(100*H1190/I1190,0))</f>
        <v/>
      </c>
      <c r="M1190">
        <f>IF(D1190="","",IFERROR(INDEX(Classes!$B$2:$B$200,MATCH(D1190,Classes!$E$2:$E$200,0)),""))</f>
        <v/>
      </c>
    </row>
    <row r="1191">
      <c r="J1191">
        <f>IF(OR(H1191="",I1191=""),"",ROUND(100*H1191/I1191,0))</f>
        <v/>
      </c>
      <c r="M1191">
        <f>IF(D1191="","",IFERROR(INDEX(Classes!$B$2:$B$200,MATCH(D1191,Classes!$E$2:$E$200,0)),""))</f>
        <v/>
      </c>
    </row>
    <row r="1192">
      <c r="J1192">
        <f>IF(OR(H1192="",I1192=""),"",ROUND(100*H1192/I1192,0))</f>
        <v/>
      </c>
      <c r="M1192">
        <f>IF(D1192="","",IFERROR(INDEX(Classes!$B$2:$B$200,MATCH(D1192,Classes!$E$2:$E$200,0)),""))</f>
        <v/>
      </c>
    </row>
    <row r="1193">
      <c r="J1193">
        <f>IF(OR(H1193="",I1193=""),"",ROUND(100*H1193/I1193,0))</f>
        <v/>
      </c>
      <c r="M1193">
        <f>IF(D1193="","",IFERROR(INDEX(Classes!$B$2:$B$200,MATCH(D1193,Classes!$E$2:$E$200,0)),""))</f>
        <v/>
      </c>
    </row>
    <row r="1194">
      <c r="J1194">
        <f>IF(OR(H1194="",I1194=""),"",ROUND(100*H1194/I1194,0))</f>
        <v/>
      </c>
      <c r="M1194">
        <f>IF(D1194="","",IFERROR(INDEX(Classes!$B$2:$B$200,MATCH(D1194,Classes!$E$2:$E$200,0)),""))</f>
        <v/>
      </c>
    </row>
    <row r="1195">
      <c r="J1195">
        <f>IF(OR(H1195="",I1195=""),"",ROUND(100*H1195/I1195,0))</f>
        <v/>
      </c>
      <c r="M1195">
        <f>IF(D1195="","",IFERROR(INDEX(Classes!$B$2:$B$200,MATCH(D1195,Classes!$E$2:$E$200,0)),""))</f>
        <v/>
      </c>
    </row>
    <row r="1196">
      <c r="J1196">
        <f>IF(OR(H1196="",I1196=""),"",ROUND(100*H1196/I1196,0))</f>
        <v/>
      </c>
      <c r="M1196">
        <f>IF(D1196="","",IFERROR(INDEX(Classes!$B$2:$B$200,MATCH(D1196,Classes!$E$2:$E$200,0)),""))</f>
        <v/>
      </c>
    </row>
    <row r="1197">
      <c r="J1197">
        <f>IF(OR(H1197="",I1197=""),"",ROUND(100*H1197/I1197,0))</f>
        <v/>
      </c>
      <c r="M1197">
        <f>IF(D1197="","",IFERROR(INDEX(Classes!$B$2:$B$200,MATCH(D1197,Classes!$E$2:$E$200,0)),""))</f>
        <v/>
      </c>
    </row>
    <row r="1198">
      <c r="J1198">
        <f>IF(OR(H1198="",I1198=""),"",ROUND(100*H1198/I1198,0))</f>
        <v/>
      </c>
      <c r="M1198">
        <f>IF(D1198="","",IFERROR(INDEX(Classes!$B$2:$B$200,MATCH(D1198,Classes!$E$2:$E$200,0)),""))</f>
        <v/>
      </c>
    </row>
    <row r="1199">
      <c r="J1199">
        <f>IF(OR(H1199="",I1199=""),"",ROUND(100*H1199/I1199,0))</f>
        <v/>
      </c>
      <c r="M1199">
        <f>IF(D1199="","",IFERROR(INDEX(Classes!$B$2:$B$200,MATCH(D1199,Classes!$E$2:$E$200,0)),""))</f>
        <v/>
      </c>
    </row>
    <row r="1200">
      <c r="J1200">
        <f>IF(OR(H1200="",I1200=""),"",ROUND(100*H1200/I1200,0))</f>
        <v/>
      </c>
      <c r="M1200">
        <f>IF(D1200="","",IFERROR(INDEX(Classes!$B$2:$B$200,MATCH(D1200,Classes!$E$2:$E$200,0)),""))</f>
        <v/>
      </c>
    </row>
    <row r="1201">
      <c r="J1201">
        <f>IF(OR(H1201="",I1201=""),"",ROUND(100*H1201/I1201,0))</f>
        <v/>
      </c>
      <c r="M1201">
        <f>IF(D1201="","",IFERROR(INDEX(Classes!$B$2:$B$200,MATCH(D1201,Classes!$E$2:$E$200,0)),""))</f>
        <v/>
      </c>
    </row>
    <row r="1202">
      <c r="J1202">
        <f>IF(OR(H1202="",I1202=""),"",ROUND(100*H1202/I1202,0))</f>
        <v/>
      </c>
      <c r="M1202">
        <f>IF(D1202="","",IFERROR(INDEX(Classes!$B$2:$B$200,MATCH(D1202,Classes!$E$2:$E$200,0)),""))</f>
        <v/>
      </c>
    </row>
    <row r="1203">
      <c r="J1203">
        <f>IF(OR(H1203="",I1203=""),"",ROUND(100*H1203/I1203,0))</f>
        <v/>
      </c>
      <c r="M1203">
        <f>IF(D1203="","",IFERROR(INDEX(Classes!$B$2:$B$200,MATCH(D1203,Classes!$E$2:$E$200,0)),""))</f>
        <v/>
      </c>
    </row>
    <row r="1204">
      <c r="J1204">
        <f>IF(OR(H1204="",I1204=""),"",ROUND(100*H1204/I1204,0))</f>
        <v/>
      </c>
      <c r="M1204">
        <f>IF(D1204="","",IFERROR(INDEX(Classes!$B$2:$B$200,MATCH(D1204,Classes!$E$2:$E$200,0)),""))</f>
        <v/>
      </c>
    </row>
    <row r="1205">
      <c r="J1205">
        <f>IF(OR(H1205="",I1205=""),"",ROUND(100*H1205/I1205,0))</f>
        <v/>
      </c>
      <c r="M1205">
        <f>IF(D1205="","",IFERROR(INDEX(Classes!$B$2:$B$200,MATCH(D1205,Classes!$E$2:$E$200,0)),""))</f>
        <v/>
      </c>
    </row>
    <row r="1206">
      <c r="J1206">
        <f>IF(OR(H1206="",I1206=""),"",ROUND(100*H1206/I1206,0))</f>
        <v/>
      </c>
      <c r="M1206">
        <f>IF(D1206="","",IFERROR(INDEX(Classes!$B$2:$B$200,MATCH(D1206,Classes!$E$2:$E$200,0)),""))</f>
        <v/>
      </c>
    </row>
    <row r="1207">
      <c r="J1207">
        <f>IF(OR(H1207="",I1207=""),"",ROUND(100*H1207/I1207,0))</f>
        <v/>
      </c>
      <c r="M1207">
        <f>IF(D1207="","",IFERROR(INDEX(Classes!$B$2:$B$200,MATCH(D1207,Classes!$E$2:$E$200,0)),""))</f>
        <v/>
      </c>
    </row>
    <row r="1208">
      <c r="J1208">
        <f>IF(OR(H1208="",I1208=""),"",ROUND(100*H1208/I1208,0))</f>
        <v/>
      </c>
      <c r="M1208">
        <f>IF(D1208="","",IFERROR(INDEX(Classes!$B$2:$B$200,MATCH(D1208,Classes!$E$2:$E$200,0)),""))</f>
        <v/>
      </c>
    </row>
    <row r="1209">
      <c r="J1209">
        <f>IF(OR(H1209="",I1209=""),"",ROUND(100*H1209/I1209,0))</f>
        <v/>
      </c>
      <c r="M1209">
        <f>IF(D1209="","",IFERROR(INDEX(Classes!$B$2:$B$200,MATCH(D1209,Classes!$E$2:$E$200,0)),""))</f>
        <v/>
      </c>
    </row>
    <row r="1210">
      <c r="J1210">
        <f>IF(OR(H1210="",I1210=""),"",ROUND(100*H1210/I1210,0))</f>
        <v/>
      </c>
      <c r="M1210">
        <f>IF(D1210="","",IFERROR(INDEX(Classes!$B$2:$B$200,MATCH(D1210,Classes!$E$2:$E$200,0)),""))</f>
        <v/>
      </c>
    </row>
    <row r="1211">
      <c r="J1211">
        <f>IF(OR(H1211="",I1211=""),"",ROUND(100*H1211/I1211,0))</f>
        <v/>
      </c>
      <c r="M1211">
        <f>IF(D1211="","",IFERROR(INDEX(Classes!$B$2:$B$200,MATCH(D1211,Classes!$E$2:$E$200,0)),""))</f>
        <v/>
      </c>
    </row>
    <row r="1212">
      <c r="J1212">
        <f>IF(OR(H1212="",I1212=""),"",ROUND(100*H1212/I1212,0))</f>
        <v/>
      </c>
      <c r="M1212">
        <f>IF(D1212="","",IFERROR(INDEX(Classes!$B$2:$B$200,MATCH(D1212,Classes!$E$2:$E$200,0)),""))</f>
        <v/>
      </c>
    </row>
    <row r="1213">
      <c r="J1213">
        <f>IF(OR(H1213="",I1213=""),"",ROUND(100*H1213/I1213,0))</f>
        <v/>
      </c>
      <c r="M1213">
        <f>IF(D1213="","",IFERROR(INDEX(Classes!$B$2:$B$200,MATCH(D1213,Classes!$E$2:$E$200,0)),""))</f>
        <v/>
      </c>
    </row>
    <row r="1214">
      <c r="J1214">
        <f>IF(OR(H1214="",I1214=""),"",ROUND(100*H1214/I1214,0))</f>
        <v/>
      </c>
      <c r="M1214">
        <f>IF(D1214="","",IFERROR(INDEX(Classes!$B$2:$B$200,MATCH(D1214,Classes!$E$2:$E$200,0)),""))</f>
        <v/>
      </c>
    </row>
    <row r="1215">
      <c r="J1215">
        <f>IF(OR(H1215="",I1215=""),"",ROUND(100*H1215/I1215,0))</f>
        <v/>
      </c>
      <c r="M1215">
        <f>IF(D1215="","",IFERROR(INDEX(Classes!$B$2:$B$200,MATCH(D1215,Classes!$E$2:$E$200,0)),""))</f>
        <v/>
      </c>
    </row>
    <row r="1216">
      <c r="J1216">
        <f>IF(OR(H1216="",I1216=""),"",ROUND(100*H1216/I1216,0))</f>
        <v/>
      </c>
      <c r="M1216">
        <f>IF(D1216="","",IFERROR(INDEX(Classes!$B$2:$B$200,MATCH(D1216,Classes!$E$2:$E$200,0)),""))</f>
        <v/>
      </c>
    </row>
    <row r="1217">
      <c r="J1217">
        <f>IF(OR(H1217="",I1217=""),"",ROUND(100*H1217/I1217,0))</f>
        <v/>
      </c>
      <c r="M1217">
        <f>IF(D1217="","",IFERROR(INDEX(Classes!$B$2:$B$200,MATCH(D1217,Classes!$E$2:$E$200,0)),""))</f>
        <v/>
      </c>
    </row>
    <row r="1218">
      <c r="J1218">
        <f>IF(OR(H1218="",I1218=""),"",ROUND(100*H1218/I1218,0))</f>
        <v/>
      </c>
      <c r="M1218">
        <f>IF(D1218="","",IFERROR(INDEX(Classes!$B$2:$B$200,MATCH(D1218,Classes!$E$2:$E$200,0)),""))</f>
        <v/>
      </c>
    </row>
    <row r="1219">
      <c r="J1219">
        <f>IF(OR(H1219="",I1219=""),"",ROUND(100*H1219/I1219,0))</f>
        <v/>
      </c>
      <c r="M1219">
        <f>IF(D1219="","",IFERROR(INDEX(Classes!$B$2:$B$200,MATCH(D1219,Classes!$E$2:$E$200,0)),""))</f>
        <v/>
      </c>
    </row>
    <row r="1220">
      <c r="J1220">
        <f>IF(OR(H1220="",I1220=""),"",ROUND(100*H1220/I1220,0))</f>
        <v/>
      </c>
      <c r="M1220">
        <f>IF(D1220="","",IFERROR(INDEX(Classes!$B$2:$B$200,MATCH(D1220,Classes!$E$2:$E$200,0)),""))</f>
        <v/>
      </c>
    </row>
    <row r="1221">
      <c r="J1221">
        <f>IF(OR(H1221="",I1221=""),"",ROUND(100*H1221/I1221,0))</f>
        <v/>
      </c>
      <c r="M1221">
        <f>IF(D1221="","",IFERROR(INDEX(Classes!$B$2:$B$200,MATCH(D1221,Classes!$E$2:$E$200,0)),""))</f>
        <v/>
      </c>
    </row>
    <row r="1222">
      <c r="J1222">
        <f>IF(OR(H1222="",I1222=""),"",ROUND(100*H1222/I1222,0))</f>
        <v/>
      </c>
      <c r="M1222">
        <f>IF(D1222="","",IFERROR(INDEX(Classes!$B$2:$B$200,MATCH(D1222,Classes!$E$2:$E$200,0)),""))</f>
        <v/>
      </c>
    </row>
    <row r="1223">
      <c r="J1223">
        <f>IF(OR(H1223="",I1223=""),"",ROUND(100*H1223/I1223,0))</f>
        <v/>
      </c>
      <c r="M1223">
        <f>IF(D1223="","",IFERROR(INDEX(Classes!$B$2:$B$200,MATCH(D1223,Classes!$E$2:$E$200,0)),""))</f>
        <v/>
      </c>
    </row>
    <row r="1224">
      <c r="J1224">
        <f>IF(OR(H1224="",I1224=""),"",ROUND(100*H1224/I1224,0))</f>
        <v/>
      </c>
      <c r="M1224">
        <f>IF(D1224="","",IFERROR(INDEX(Classes!$B$2:$B$200,MATCH(D1224,Classes!$E$2:$E$200,0)),""))</f>
        <v/>
      </c>
    </row>
    <row r="1225">
      <c r="J1225">
        <f>IF(OR(H1225="",I1225=""),"",ROUND(100*H1225/I1225,0))</f>
        <v/>
      </c>
      <c r="M1225">
        <f>IF(D1225="","",IFERROR(INDEX(Classes!$B$2:$B$200,MATCH(D1225,Classes!$E$2:$E$200,0)),""))</f>
        <v/>
      </c>
    </row>
    <row r="1226">
      <c r="J1226">
        <f>IF(OR(H1226="",I1226=""),"",ROUND(100*H1226/I1226,0))</f>
        <v/>
      </c>
      <c r="M1226">
        <f>IF(D1226="","",IFERROR(INDEX(Classes!$B$2:$B$200,MATCH(D1226,Classes!$E$2:$E$200,0)),""))</f>
        <v/>
      </c>
    </row>
    <row r="1227">
      <c r="J1227">
        <f>IF(OR(H1227="",I1227=""),"",ROUND(100*H1227/I1227,0))</f>
        <v/>
      </c>
      <c r="M1227">
        <f>IF(D1227="","",IFERROR(INDEX(Classes!$B$2:$B$200,MATCH(D1227,Classes!$E$2:$E$200,0)),""))</f>
        <v/>
      </c>
    </row>
    <row r="1228">
      <c r="J1228">
        <f>IF(OR(H1228="",I1228=""),"",ROUND(100*H1228/I1228,0))</f>
        <v/>
      </c>
      <c r="M1228">
        <f>IF(D1228="","",IFERROR(INDEX(Classes!$B$2:$B$200,MATCH(D1228,Classes!$E$2:$E$200,0)),""))</f>
        <v/>
      </c>
    </row>
    <row r="1229">
      <c r="J1229">
        <f>IF(OR(H1229="",I1229=""),"",ROUND(100*H1229/I1229,0))</f>
        <v/>
      </c>
      <c r="M1229">
        <f>IF(D1229="","",IFERROR(INDEX(Classes!$B$2:$B$200,MATCH(D1229,Classes!$E$2:$E$200,0)),""))</f>
        <v/>
      </c>
    </row>
    <row r="1230">
      <c r="J1230">
        <f>IF(OR(H1230="",I1230=""),"",ROUND(100*H1230/I1230,0))</f>
        <v/>
      </c>
      <c r="M1230">
        <f>IF(D1230="","",IFERROR(INDEX(Classes!$B$2:$B$200,MATCH(D1230,Classes!$E$2:$E$200,0)),""))</f>
        <v/>
      </c>
    </row>
    <row r="1231">
      <c r="J1231">
        <f>IF(OR(H1231="",I1231=""),"",ROUND(100*H1231/I1231,0))</f>
        <v/>
      </c>
      <c r="M1231">
        <f>IF(D1231="","",IFERROR(INDEX(Classes!$B$2:$B$200,MATCH(D1231,Classes!$E$2:$E$200,0)),""))</f>
        <v/>
      </c>
    </row>
    <row r="1232">
      <c r="J1232">
        <f>IF(OR(H1232="",I1232=""),"",ROUND(100*H1232/I1232,0))</f>
        <v/>
      </c>
      <c r="M1232">
        <f>IF(D1232="","",IFERROR(INDEX(Classes!$B$2:$B$200,MATCH(D1232,Classes!$E$2:$E$200,0)),""))</f>
        <v/>
      </c>
    </row>
    <row r="1233">
      <c r="J1233">
        <f>IF(OR(H1233="",I1233=""),"",ROUND(100*H1233/I1233,0))</f>
        <v/>
      </c>
      <c r="M1233">
        <f>IF(D1233="","",IFERROR(INDEX(Classes!$B$2:$B$200,MATCH(D1233,Classes!$E$2:$E$200,0)),""))</f>
        <v/>
      </c>
    </row>
    <row r="1234">
      <c r="J1234">
        <f>IF(OR(H1234="",I1234=""),"",ROUND(100*H1234/I1234,0))</f>
        <v/>
      </c>
      <c r="M1234">
        <f>IF(D1234="","",IFERROR(INDEX(Classes!$B$2:$B$200,MATCH(D1234,Classes!$E$2:$E$200,0)),""))</f>
        <v/>
      </c>
    </row>
    <row r="1235">
      <c r="J1235">
        <f>IF(OR(H1235="",I1235=""),"",ROUND(100*H1235/I1235,0))</f>
        <v/>
      </c>
      <c r="M1235">
        <f>IF(D1235="","",IFERROR(INDEX(Classes!$B$2:$B$200,MATCH(D1235,Classes!$E$2:$E$200,0)),""))</f>
        <v/>
      </c>
    </row>
    <row r="1236">
      <c r="J1236">
        <f>IF(OR(H1236="",I1236=""),"",ROUND(100*H1236/I1236,0))</f>
        <v/>
      </c>
      <c r="M1236">
        <f>IF(D1236="","",IFERROR(INDEX(Classes!$B$2:$B$200,MATCH(D1236,Classes!$E$2:$E$200,0)),""))</f>
        <v/>
      </c>
    </row>
    <row r="1237">
      <c r="J1237">
        <f>IF(OR(H1237="",I1237=""),"",ROUND(100*H1237/I1237,0))</f>
        <v/>
      </c>
      <c r="M1237">
        <f>IF(D1237="","",IFERROR(INDEX(Classes!$B$2:$B$200,MATCH(D1237,Classes!$E$2:$E$200,0)),""))</f>
        <v/>
      </c>
    </row>
    <row r="1238">
      <c r="J1238">
        <f>IF(OR(H1238="",I1238=""),"",ROUND(100*H1238/I1238,0))</f>
        <v/>
      </c>
      <c r="M1238">
        <f>IF(D1238="","",IFERROR(INDEX(Classes!$B$2:$B$200,MATCH(D1238,Classes!$E$2:$E$200,0)),""))</f>
        <v/>
      </c>
    </row>
    <row r="1239">
      <c r="J1239">
        <f>IF(OR(H1239="",I1239=""),"",ROUND(100*H1239/I1239,0))</f>
        <v/>
      </c>
      <c r="M1239">
        <f>IF(D1239="","",IFERROR(INDEX(Classes!$B$2:$B$200,MATCH(D1239,Classes!$E$2:$E$200,0)),""))</f>
        <v/>
      </c>
    </row>
    <row r="1240">
      <c r="J1240">
        <f>IF(OR(H1240="",I1240=""),"",ROUND(100*H1240/I1240,0))</f>
        <v/>
      </c>
      <c r="M1240">
        <f>IF(D1240="","",IFERROR(INDEX(Classes!$B$2:$B$200,MATCH(D1240,Classes!$E$2:$E$200,0)),""))</f>
        <v/>
      </c>
    </row>
    <row r="1241">
      <c r="J1241">
        <f>IF(OR(H1241="",I1241=""),"",ROUND(100*H1241/I1241,0))</f>
        <v/>
      </c>
      <c r="M1241">
        <f>IF(D1241="","",IFERROR(INDEX(Classes!$B$2:$B$200,MATCH(D1241,Classes!$E$2:$E$200,0)),""))</f>
        <v/>
      </c>
    </row>
    <row r="1242">
      <c r="J1242">
        <f>IF(OR(H1242="",I1242=""),"",ROUND(100*H1242/I1242,0))</f>
        <v/>
      </c>
      <c r="M1242">
        <f>IF(D1242="","",IFERROR(INDEX(Classes!$B$2:$B$200,MATCH(D1242,Classes!$E$2:$E$200,0)),""))</f>
        <v/>
      </c>
    </row>
    <row r="1243">
      <c r="J1243">
        <f>IF(OR(H1243="",I1243=""),"",ROUND(100*H1243/I1243,0))</f>
        <v/>
      </c>
      <c r="M1243">
        <f>IF(D1243="","",IFERROR(INDEX(Classes!$B$2:$B$200,MATCH(D1243,Classes!$E$2:$E$200,0)),""))</f>
        <v/>
      </c>
    </row>
    <row r="1244">
      <c r="J1244">
        <f>IF(OR(H1244="",I1244=""),"",ROUND(100*H1244/I1244,0))</f>
        <v/>
      </c>
      <c r="M1244">
        <f>IF(D1244="","",IFERROR(INDEX(Classes!$B$2:$B$200,MATCH(D1244,Classes!$E$2:$E$200,0)),""))</f>
        <v/>
      </c>
    </row>
    <row r="1245">
      <c r="J1245">
        <f>IF(OR(H1245="",I1245=""),"",ROUND(100*H1245/I1245,0))</f>
        <v/>
      </c>
      <c r="M1245">
        <f>IF(D1245="","",IFERROR(INDEX(Classes!$B$2:$B$200,MATCH(D1245,Classes!$E$2:$E$200,0)),""))</f>
        <v/>
      </c>
    </row>
    <row r="1246">
      <c r="J1246">
        <f>IF(OR(H1246="",I1246=""),"",ROUND(100*H1246/I1246,0))</f>
        <v/>
      </c>
      <c r="M1246">
        <f>IF(D1246="","",IFERROR(INDEX(Classes!$B$2:$B$200,MATCH(D1246,Classes!$E$2:$E$200,0)),""))</f>
        <v/>
      </c>
    </row>
    <row r="1247">
      <c r="J1247">
        <f>IF(OR(H1247="",I1247=""),"",ROUND(100*H1247/I1247,0))</f>
        <v/>
      </c>
      <c r="M1247">
        <f>IF(D1247="","",IFERROR(INDEX(Classes!$B$2:$B$200,MATCH(D1247,Classes!$E$2:$E$200,0)),""))</f>
        <v/>
      </c>
    </row>
    <row r="1248">
      <c r="J1248">
        <f>IF(OR(H1248="",I1248=""),"",ROUND(100*H1248/I1248,0))</f>
        <v/>
      </c>
      <c r="M1248">
        <f>IF(D1248="","",IFERROR(INDEX(Classes!$B$2:$B$200,MATCH(D1248,Classes!$E$2:$E$200,0)),""))</f>
        <v/>
      </c>
    </row>
    <row r="1249">
      <c r="J1249">
        <f>IF(OR(H1249="",I1249=""),"",ROUND(100*H1249/I1249,0))</f>
        <v/>
      </c>
      <c r="M1249">
        <f>IF(D1249="","",IFERROR(INDEX(Classes!$B$2:$B$200,MATCH(D1249,Classes!$E$2:$E$200,0)),""))</f>
        <v/>
      </c>
    </row>
    <row r="1250">
      <c r="J1250">
        <f>IF(OR(H1250="",I1250=""),"",ROUND(100*H1250/I1250,0))</f>
        <v/>
      </c>
      <c r="M1250">
        <f>IF(D1250="","",IFERROR(INDEX(Classes!$B$2:$B$200,MATCH(D1250,Classes!$E$2:$E$200,0)),""))</f>
        <v/>
      </c>
    </row>
    <row r="1251">
      <c r="J1251">
        <f>IF(OR(H1251="",I1251=""),"",ROUND(100*H1251/I1251,0))</f>
        <v/>
      </c>
      <c r="M1251">
        <f>IF(D1251="","",IFERROR(INDEX(Classes!$B$2:$B$200,MATCH(D1251,Classes!$E$2:$E$200,0)),""))</f>
        <v/>
      </c>
    </row>
    <row r="1252">
      <c r="J1252">
        <f>IF(OR(H1252="",I1252=""),"",ROUND(100*H1252/I1252,0))</f>
        <v/>
      </c>
      <c r="M1252">
        <f>IF(D1252="","",IFERROR(INDEX(Classes!$B$2:$B$200,MATCH(D1252,Classes!$E$2:$E$200,0)),""))</f>
        <v/>
      </c>
    </row>
    <row r="1253">
      <c r="J1253">
        <f>IF(OR(H1253="",I1253=""),"",ROUND(100*H1253/I1253,0))</f>
        <v/>
      </c>
      <c r="M1253">
        <f>IF(D1253="","",IFERROR(INDEX(Classes!$B$2:$B$200,MATCH(D1253,Classes!$E$2:$E$200,0)),""))</f>
        <v/>
      </c>
    </row>
    <row r="1254">
      <c r="J1254">
        <f>IF(OR(H1254="",I1254=""),"",ROUND(100*H1254/I1254,0))</f>
        <v/>
      </c>
      <c r="M1254">
        <f>IF(D1254="","",IFERROR(INDEX(Classes!$B$2:$B$200,MATCH(D1254,Classes!$E$2:$E$200,0)),""))</f>
        <v/>
      </c>
    </row>
    <row r="1255">
      <c r="J1255">
        <f>IF(OR(H1255="",I1255=""),"",ROUND(100*H1255/I1255,0))</f>
        <v/>
      </c>
      <c r="M1255">
        <f>IF(D1255="","",IFERROR(INDEX(Classes!$B$2:$B$200,MATCH(D1255,Classes!$E$2:$E$200,0)),""))</f>
        <v/>
      </c>
    </row>
    <row r="1256">
      <c r="J1256">
        <f>IF(OR(H1256="",I1256=""),"",ROUND(100*H1256/I1256,0))</f>
        <v/>
      </c>
      <c r="M1256">
        <f>IF(D1256="","",IFERROR(INDEX(Classes!$B$2:$B$200,MATCH(D1256,Classes!$E$2:$E$200,0)),""))</f>
        <v/>
      </c>
    </row>
    <row r="1257">
      <c r="J1257">
        <f>IF(OR(H1257="",I1257=""),"",ROUND(100*H1257/I1257,0))</f>
        <v/>
      </c>
      <c r="M1257">
        <f>IF(D1257="","",IFERROR(INDEX(Classes!$B$2:$B$200,MATCH(D1257,Classes!$E$2:$E$200,0)),""))</f>
        <v/>
      </c>
    </row>
    <row r="1258">
      <c r="J1258">
        <f>IF(OR(H1258="",I1258=""),"",ROUND(100*H1258/I1258,0))</f>
        <v/>
      </c>
      <c r="M1258">
        <f>IF(D1258="","",IFERROR(INDEX(Classes!$B$2:$B$200,MATCH(D1258,Classes!$E$2:$E$200,0)),""))</f>
        <v/>
      </c>
    </row>
    <row r="1259">
      <c r="J1259">
        <f>IF(OR(H1259="",I1259=""),"",ROUND(100*H1259/I1259,0))</f>
        <v/>
      </c>
      <c r="M1259">
        <f>IF(D1259="","",IFERROR(INDEX(Classes!$B$2:$B$200,MATCH(D1259,Classes!$E$2:$E$200,0)),""))</f>
        <v/>
      </c>
    </row>
    <row r="1260">
      <c r="J1260">
        <f>IF(OR(H1260="",I1260=""),"",ROUND(100*H1260/I1260,0))</f>
        <v/>
      </c>
      <c r="M1260">
        <f>IF(D1260="","",IFERROR(INDEX(Classes!$B$2:$B$200,MATCH(D1260,Classes!$E$2:$E$200,0)),""))</f>
        <v/>
      </c>
    </row>
    <row r="1261">
      <c r="J1261">
        <f>IF(OR(H1261="",I1261=""),"",ROUND(100*H1261/I1261,0))</f>
        <v/>
      </c>
      <c r="M1261">
        <f>IF(D1261="","",IFERROR(INDEX(Classes!$B$2:$B$200,MATCH(D1261,Classes!$E$2:$E$200,0)),""))</f>
        <v/>
      </c>
    </row>
    <row r="1262">
      <c r="J1262">
        <f>IF(OR(H1262="",I1262=""),"",ROUND(100*H1262/I1262,0))</f>
        <v/>
      </c>
      <c r="M1262">
        <f>IF(D1262="","",IFERROR(INDEX(Classes!$B$2:$B$200,MATCH(D1262,Classes!$E$2:$E$200,0)),""))</f>
        <v/>
      </c>
    </row>
    <row r="1263">
      <c r="J1263">
        <f>IF(OR(H1263="",I1263=""),"",ROUND(100*H1263/I1263,0))</f>
        <v/>
      </c>
      <c r="M1263">
        <f>IF(D1263="","",IFERROR(INDEX(Classes!$B$2:$B$200,MATCH(D1263,Classes!$E$2:$E$200,0)),""))</f>
        <v/>
      </c>
    </row>
    <row r="1264">
      <c r="J1264">
        <f>IF(OR(H1264="",I1264=""),"",ROUND(100*H1264/I1264,0))</f>
        <v/>
      </c>
      <c r="M1264">
        <f>IF(D1264="","",IFERROR(INDEX(Classes!$B$2:$B$200,MATCH(D1264,Classes!$E$2:$E$200,0)),""))</f>
        <v/>
      </c>
    </row>
    <row r="1265">
      <c r="J1265">
        <f>IF(OR(H1265="",I1265=""),"",ROUND(100*H1265/I1265,0))</f>
        <v/>
      </c>
      <c r="M1265">
        <f>IF(D1265="","",IFERROR(INDEX(Classes!$B$2:$B$200,MATCH(D1265,Classes!$E$2:$E$200,0)),""))</f>
        <v/>
      </c>
    </row>
    <row r="1266">
      <c r="J1266">
        <f>IF(OR(H1266="",I1266=""),"",ROUND(100*H1266/I1266,0))</f>
        <v/>
      </c>
      <c r="M1266">
        <f>IF(D1266="","",IFERROR(INDEX(Classes!$B$2:$B$200,MATCH(D1266,Classes!$E$2:$E$200,0)),""))</f>
        <v/>
      </c>
    </row>
    <row r="1267">
      <c r="J1267">
        <f>IF(OR(H1267="",I1267=""),"",ROUND(100*H1267/I1267,0))</f>
        <v/>
      </c>
      <c r="M1267">
        <f>IF(D1267="","",IFERROR(INDEX(Classes!$B$2:$B$200,MATCH(D1267,Classes!$E$2:$E$200,0)),""))</f>
        <v/>
      </c>
    </row>
    <row r="1268">
      <c r="J1268">
        <f>IF(OR(H1268="",I1268=""),"",ROUND(100*H1268/I1268,0))</f>
        <v/>
      </c>
      <c r="M1268">
        <f>IF(D1268="","",IFERROR(INDEX(Classes!$B$2:$B$200,MATCH(D1268,Classes!$E$2:$E$200,0)),""))</f>
        <v/>
      </c>
    </row>
    <row r="1269">
      <c r="J1269">
        <f>IF(OR(H1269="",I1269=""),"",ROUND(100*H1269/I1269,0))</f>
        <v/>
      </c>
      <c r="M1269">
        <f>IF(D1269="","",IFERROR(INDEX(Classes!$B$2:$B$200,MATCH(D1269,Classes!$E$2:$E$200,0)),""))</f>
        <v/>
      </c>
    </row>
    <row r="1270">
      <c r="J1270">
        <f>IF(OR(H1270="",I1270=""),"",ROUND(100*H1270/I1270,0))</f>
        <v/>
      </c>
      <c r="M1270">
        <f>IF(D1270="","",IFERROR(INDEX(Classes!$B$2:$B$200,MATCH(D1270,Classes!$E$2:$E$200,0)),""))</f>
        <v/>
      </c>
    </row>
    <row r="1271">
      <c r="J1271">
        <f>IF(OR(H1271="",I1271=""),"",ROUND(100*H1271/I1271,0))</f>
        <v/>
      </c>
      <c r="M1271">
        <f>IF(D1271="","",IFERROR(INDEX(Classes!$B$2:$B$200,MATCH(D1271,Classes!$E$2:$E$200,0)),""))</f>
        <v/>
      </c>
    </row>
    <row r="1272">
      <c r="J1272">
        <f>IF(OR(H1272="",I1272=""),"",ROUND(100*H1272/I1272,0))</f>
        <v/>
      </c>
      <c r="M1272">
        <f>IF(D1272="","",IFERROR(INDEX(Classes!$B$2:$B$200,MATCH(D1272,Classes!$E$2:$E$200,0)),""))</f>
        <v/>
      </c>
    </row>
    <row r="1273">
      <c r="J1273">
        <f>IF(OR(H1273="",I1273=""),"",ROUND(100*H1273/I1273,0))</f>
        <v/>
      </c>
      <c r="M1273">
        <f>IF(D1273="","",IFERROR(INDEX(Classes!$B$2:$B$200,MATCH(D1273,Classes!$E$2:$E$200,0)),""))</f>
        <v/>
      </c>
    </row>
    <row r="1274">
      <c r="J1274">
        <f>IF(OR(H1274="",I1274=""),"",ROUND(100*H1274/I1274,0))</f>
        <v/>
      </c>
      <c r="M1274">
        <f>IF(D1274="","",IFERROR(INDEX(Classes!$B$2:$B$200,MATCH(D1274,Classes!$E$2:$E$200,0)),""))</f>
        <v/>
      </c>
    </row>
    <row r="1275">
      <c r="J1275">
        <f>IF(OR(H1275="",I1275=""),"",ROUND(100*H1275/I1275,0))</f>
        <v/>
      </c>
      <c r="M1275">
        <f>IF(D1275="","",IFERROR(INDEX(Classes!$B$2:$B$200,MATCH(D1275,Classes!$E$2:$E$200,0)),""))</f>
        <v/>
      </c>
    </row>
    <row r="1276">
      <c r="J1276">
        <f>IF(OR(H1276="",I1276=""),"",ROUND(100*H1276/I1276,0))</f>
        <v/>
      </c>
      <c r="M1276">
        <f>IF(D1276="","",IFERROR(INDEX(Classes!$B$2:$B$200,MATCH(D1276,Classes!$E$2:$E$200,0)),""))</f>
        <v/>
      </c>
    </row>
    <row r="1277">
      <c r="J1277">
        <f>IF(OR(H1277="",I1277=""),"",ROUND(100*H1277/I1277,0))</f>
        <v/>
      </c>
      <c r="M1277">
        <f>IF(D1277="","",IFERROR(INDEX(Classes!$B$2:$B$200,MATCH(D1277,Classes!$E$2:$E$200,0)),""))</f>
        <v/>
      </c>
    </row>
    <row r="1278">
      <c r="J1278">
        <f>IF(OR(H1278="",I1278=""),"",ROUND(100*H1278/I1278,0))</f>
        <v/>
      </c>
      <c r="M1278">
        <f>IF(D1278="","",IFERROR(INDEX(Classes!$B$2:$B$200,MATCH(D1278,Classes!$E$2:$E$200,0)),""))</f>
        <v/>
      </c>
    </row>
    <row r="1279">
      <c r="J1279">
        <f>IF(OR(H1279="",I1279=""),"",ROUND(100*H1279/I1279,0))</f>
        <v/>
      </c>
      <c r="M1279">
        <f>IF(D1279="","",IFERROR(INDEX(Classes!$B$2:$B$200,MATCH(D1279,Classes!$E$2:$E$200,0)),""))</f>
        <v/>
      </c>
    </row>
    <row r="1280">
      <c r="J1280">
        <f>IF(OR(H1280="",I1280=""),"",ROUND(100*H1280/I1280,0))</f>
        <v/>
      </c>
      <c r="M1280">
        <f>IF(D1280="","",IFERROR(INDEX(Classes!$B$2:$B$200,MATCH(D1280,Classes!$E$2:$E$200,0)),""))</f>
        <v/>
      </c>
    </row>
    <row r="1281">
      <c r="J1281">
        <f>IF(OR(H1281="",I1281=""),"",ROUND(100*H1281/I1281,0))</f>
        <v/>
      </c>
      <c r="M1281">
        <f>IF(D1281="","",IFERROR(INDEX(Classes!$B$2:$B$200,MATCH(D1281,Classes!$E$2:$E$200,0)),""))</f>
        <v/>
      </c>
    </row>
    <row r="1282">
      <c r="J1282">
        <f>IF(OR(H1282="",I1282=""),"",ROUND(100*H1282/I1282,0))</f>
        <v/>
      </c>
      <c r="M1282">
        <f>IF(D1282="","",IFERROR(INDEX(Classes!$B$2:$B$200,MATCH(D1282,Classes!$E$2:$E$200,0)),""))</f>
        <v/>
      </c>
    </row>
    <row r="1283">
      <c r="J1283">
        <f>IF(OR(H1283="",I1283=""),"",ROUND(100*H1283/I1283,0))</f>
        <v/>
      </c>
      <c r="M1283">
        <f>IF(D1283="","",IFERROR(INDEX(Classes!$B$2:$B$200,MATCH(D1283,Classes!$E$2:$E$200,0)),""))</f>
        <v/>
      </c>
    </row>
    <row r="1284">
      <c r="J1284">
        <f>IF(OR(H1284="",I1284=""),"",ROUND(100*H1284/I1284,0))</f>
        <v/>
      </c>
      <c r="M1284">
        <f>IF(D1284="","",IFERROR(INDEX(Classes!$B$2:$B$200,MATCH(D1284,Classes!$E$2:$E$200,0)),""))</f>
        <v/>
      </c>
    </row>
    <row r="1285">
      <c r="J1285">
        <f>IF(OR(H1285="",I1285=""),"",ROUND(100*H1285/I1285,0))</f>
        <v/>
      </c>
      <c r="M1285">
        <f>IF(D1285="","",IFERROR(INDEX(Classes!$B$2:$B$200,MATCH(D1285,Classes!$E$2:$E$200,0)),""))</f>
        <v/>
      </c>
    </row>
    <row r="1286">
      <c r="J1286">
        <f>IF(OR(H1286="",I1286=""),"",ROUND(100*H1286/I1286,0))</f>
        <v/>
      </c>
      <c r="M1286">
        <f>IF(D1286="","",IFERROR(INDEX(Classes!$B$2:$B$200,MATCH(D1286,Classes!$E$2:$E$200,0)),""))</f>
        <v/>
      </c>
    </row>
    <row r="1287">
      <c r="J1287">
        <f>IF(OR(H1287="",I1287=""),"",ROUND(100*H1287/I1287,0))</f>
        <v/>
      </c>
      <c r="M1287">
        <f>IF(D1287="","",IFERROR(INDEX(Classes!$B$2:$B$200,MATCH(D1287,Classes!$E$2:$E$200,0)),""))</f>
        <v/>
      </c>
    </row>
    <row r="1288">
      <c r="J1288">
        <f>IF(OR(H1288="",I1288=""),"",ROUND(100*H1288/I1288,0))</f>
        <v/>
      </c>
      <c r="M1288">
        <f>IF(D1288="","",IFERROR(INDEX(Classes!$B$2:$B$200,MATCH(D1288,Classes!$E$2:$E$200,0)),""))</f>
        <v/>
      </c>
    </row>
    <row r="1289">
      <c r="J1289">
        <f>IF(OR(H1289="",I1289=""),"",ROUND(100*H1289/I1289,0))</f>
        <v/>
      </c>
      <c r="M1289">
        <f>IF(D1289="","",IFERROR(INDEX(Classes!$B$2:$B$200,MATCH(D1289,Classes!$E$2:$E$200,0)),""))</f>
        <v/>
      </c>
    </row>
    <row r="1290">
      <c r="J1290">
        <f>IF(OR(H1290="",I1290=""),"",ROUND(100*H1290/I1290,0))</f>
        <v/>
      </c>
      <c r="M1290">
        <f>IF(D1290="","",IFERROR(INDEX(Classes!$B$2:$B$200,MATCH(D1290,Classes!$E$2:$E$200,0)),""))</f>
        <v/>
      </c>
    </row>
    <row r="1291">
      <c r="J1291">
        <f>IF(OR(H1291="",I1291=""),"",ROUND(100*H1291/I1291,0))</f>
        <v/>
      </c>
      <c r="M1291">
        <f>IF(D1291="","",IFERROR(INDEX(Classes!$B$2:$B$200,MATCH(D1291,Classes!$E$2:$E$200,0)),""))</f>
        <v/>
      </c>
    </row>
    <row r="1292">
      <c r="J1292">
        <f>IF(OR(H1292="",I1292=""),"",ROUND(100*H1292/I1292,0))</f>
        <v/>
      </c>
      <c r="M1292">
        <f>IF(D1292="","",IFERROR(INDEX(Classes!$B$2:$B$200,MATCH(D1292,Classes!$E$2:$E$200,0)),""))</f>
        <v/>
      </c>
    </row>
    <row r="1293">
      <c r="J1293">
        <f>IF(OR(H1293="",I1293=""),"",ROUND(100*H1293/I1293,0))</f>
        <v/>
      </c>
      <c r="M1293">
        <f>IF(D1293="","",IFERROR(INDEX(Classes!$B$2:$B$200,MATCH(D1293,Classes!$E$2:$E$200,0)),""))</f>
        <v/>
      </c>
    </row>
    <row r="1294">
      <c r="J1294">
        <f>IF(OR(H1294="",I1294=""),"",ROUND(100*H1294/I1294,0))</f>
        <v/>
      </c>
      <c r="M1294">
        <f>IF(D1294="","",IFERROR(INDEX(Classes!$B$2:$B$200,MATCH(D1294,Classes!$E$2:$E$200,0)),""))</f>
        <v/>
      </c>
    </row>
    <row r="1295">
      <c r="J1295">
        <f>IF(OR(H1295="",I1295=""),"",ROUND(100*H1295/I1295,0))</f>
        <v/>
      </c>
      <c r="M1295">
        <f>IF(D1295="","",IFERROR(INDEX(Classes!$B$2:$B$200,MATCH(D1295,Classes!$E$2:$E$200,0)),""))</f>
        <v/>
      </c>
    </row>
    <row r="1296">
      <c r="J1296">
        <f>IF(OR(H1296="",I1296=""),"",ROUND(100*H1296/I1296,0))</f>
        <v/>
      </c>
      <c r="M1296">
        <f>IF(D1296="","",IFERROR(INDEX(Classes!$B$2:$B$200,MATCH(D1296,Classes!$E$2:$E$200,0)),""))</f>
        <v/>
      </c>
    </row>
    <row r="1297">
      <c r="J1297">
        <f>IF(OR(H1297="",I1297=""),"",ROUND(100*H1297/I1297,0))</f>
        <v/>
      </c>
      <c r="M1297">
        <f>IF(D1297="","",IFERROR(INDEX(Classes!$B$2:$B$200,MATCH(D1297,Classes!$E$2:$E$200,0)),""))</f>
        <v/>
      </c>
    </row>
    <row r="1298">
      <c r="J1298">
        <f>IF(OR(H1298="",I1298=""),"",ROUND(100*H1298/I1298,0))</f>
        <v/>
      </c>
      <c r="M1298">
        <f>IF(D1298="","",IFERROR(INDEX(Classes!$B$2:$B$200,MATCH(D1298,Classes!$E$2:$E$200,0)),""))</f>
        <v/>
      </c>
    </row>
    <row r="1299">
      <c r="J1299">
        <f>IF(OR(H1299="",I1299=""),"",ROUND(100*H1299/I1299,0))</f>
        <v/>
      </c>
      <c r="M1299">
        <f>IF(D1299="","",IFERROR(INDEX(Classes!$B$2:$B$200,MATCH(D1299,Classes!$E$2:$E$200,0)),""))</f>
        <v/>
      </c>
    </row>
    <row r="1300">
      <c r="J1300">
        <f>IF(OR(H1300="",I1300=""),"",ROUND(100*H1300/I1300,0))</f>
        <v/>
      </c>
      <c r="M1300">
        <f>IF(D1300="","",IFERROR(INDEX(Classes!$B$2:$B$200,MATCH(D1300,Classes!$E$2:$E$200,0)),""))</f>
        <v/>
      </c>
    </row>
    <row r="1301">
      <c r="J1301">
        <f>IF(OR(H1301="",I1301=""),"",ROUND(100*H1301/I1301,0))</f>
        <v/>
      </c>
      <c r="M1301">
        <f>IF(D1301="","",IFERROR(INDEX(Classes!$B$2:$B$200,MATCH(D1301,Classes!$E$2:$E$200,0)),""))</f>
        <v/>
      </c>
    </row>
    <row r="1302">
      <c r="J1302">
        <f>IF(OR(H1302="",I1302=""),"",ROUND(100*H1302/I1302,0))</f>
        <v/>
      </c>
      <c r="M1302">
        <f>IF(D1302="","",IFERROR(INDEX(Classes!$B$2:$B$200,MATCH(D1302,Classes!$E$2:$E$200,0)),""))</f>
        <v/>
      </c>
    </row>
    <row r="1303">
      <c r="J1303">
        <f>IF(OR(H1303="",I1303=""),"",ROUND(100*H1303/I1303,0))</f>
        <v/>
      </c>
      <c r="M1303">
        <f>IF(D1303="","",IFERROR(INDEX(Classes!$B$2:$B$200,MATCH(D1303,Classes!$E$2:$E$200,0)),""))</f>
        <v/>
      </c>
    </row>
    <row r="1304">
      <c r="J1304">
        <f>IF(OR(H1304="",I1304=""),"",ROUND(100*H1304/I1304,0))</f>
        <v/>
      </c>
      <c r="M1304">
        <f>IF(D1304="","",IFERROR(INDEX(Classes!$B$2:$B$200,MATCH(D1304,Classes!$E$2:$E$200,0)),""))</f>
        <v/>
      </c>
    </row>
    <row r="1305">
      <c r="J1305">
        <f>IF(OR(H1305="",I1305=""),"",ROUND(100*H1305/I1305,0))</f>
        <v/>
      </c>
      <c r="M1305">
        <f>IF(D1305="","",IFERROR(INDEX(Classes!$B$2:$B$200,MATCH(D1305,Classes!$E$2:$E$200,0)),""))</f>
        <v/>
      </c>
    </row>
    <row r="1306">
      <c r="J1306">
        <f>IF(OR(H1306="",I1306=""),"",ROUND(100*H1306/I1306,0))</f>
        <v/>
      </c>
      <c r="M1306">
        <f>IF(D1306="","",IFERROR(INDEX(Classes!$B$2:$B$200,MATCH(D1306,Classes!$E$2:$E$200,0)),""))</f>
        <v/>
      </c>
    </row>
    <row r="1307">
      <c r="J1307">
        <f>IF(OR(H1307="",I1307=""),"",ROUND(100*H1307/I1307,0))</f>
        <v/>
      </c>
      <c r="M1307">
        <f>IF(D1307="","",IFERROR(INDEX(Classes!$B$2:$B$200,MATCH(D1307,Classes!$E$2:$E$200,0)),""))</f>
        <v/>
      </c>
    </row>
    <row r="1308">
      <c r="J1308">
        <f>IF(OR(H1308="",I1308=""),"",ROUND(100*H1308/I1308,0))</f>
        <v/>
      </c>
      <c r="M1308">
        <f>IF(D1308="","",IFERROR(INDEX(Classes!$B$2:$B$200,MATCH(D1308,Classes!$E$2:$E$200,0)),""))</f>
        <v/>
      </c>
    </row>
    <row r="1309">
      <c r="J1309">
        <f>IF(OR(H1309="",I1309=""),"",ROUND(100*H1309/I1309,0))</f>
        <v/>
      </c>
      <c r="M1309">
        <f>IF(D1309="","",IFERROR(INDEX(Classes!$B$2:$B$200,MATCH(D1309,Classes!$E$2:$E$200,0)),""))</f>
        <v/>
      </c>
    </row>
    <row r="1310">
      <c r="J1310">
        <f>IF(OR(H1310="",I1310=""),"",ROUND(100*H1310/I1310,0))</f>
        <v/>
      </c>
      <c r="M1310">
        <f>IF(D1310="","",IFERROR(INDEX(Classes!$B$2:$B$200,MATCH(D1310,Classes!$E$2:$E$200,0)),""))</f>
        <v/>
      </c>
    </row>
    <row r="1311">
      <c r="J1311">
        <f>IF(OR(H1311="",I1311=""),"",ROUND(100*H1311/I1311,0))</f>
        <v/>
      </c>
      <c r="M1311">
        <f>IF(D1311="","",IFERROR(INDEX(Classes!$B$2:$B$200,MATCH(D1311,Classes!$E$2:$E$200,0)),""))</f>
        <v/>
      </c>
    </row>
    <row r="1312">
      <c r="J1312">
        <f>IF(OR(H1312="",I1312=""),"",ROUND(100*H1312/I1312,0))</f>
        <v/>
      </c>
      <c r="M1312">
        <f>IF(D1312="","",IFERROR(INDEX(Classes!$B$2:$B$200,MATCH(D1312,Classes!$E$2:$E$200,0)),""))</f>
        <v/>
      </c>
    </row>
    <row r="1313">
      <c r="J1313">
        <f>IF(OR(H1313="",I1313=""),"",ROUND(100*H1313/I1313,0))</f>
        <v/>
      </c>
      <c r="M1313">
        <f>IF(D1313="","",IFERROR(INDEX(Classes!$B$2:$B$200,MATCH(D1313,Classes!$E$2:$E$200,0)),""))</f>
        <v/>
      </c>
    </row>
    <row r="1314">
      <c r="J1314">
        <f>IF(OR(H1314="",I1314=""),"",ROUND(100*H1314/I1314,0))</f>
        <v/>
      </c>
      <c r="M1314">
        <f>IF(D1314="","",IFERROR(INDEX(Classes!$B$2:$B$200,MATCH(D1314,Classes!$E$2:$E$200,0)),""))</f>
        <v/>
      </c>
    </row>
    <row r="1315">
      <c r="J1315">
        <f>IF(OR(H1315="",I1315=""),"",ROUND(100*H1315/I1315,0))</f>
        <v/>
      </c>
      <c r="M1315">
        <f>IF(D1315="","",IFERROR(INDEX(Classes!$B$2:$B$200,MATCH(D1315,Classes!$E$2:$E$200,0)),""))</f>
        <v/>
      </c>
    </row>
    <row r="1316">
      <c r="J1316">
        <f>IF(OR(H1316="",I1316=""),"",ROUND(100*H1316/I1316,0))</f>
        <v/>
      </c>
      <c r="M1316">
        <f>IF(D1316="","",IFERROR(INDEX(Classes!$B$2:$B$200,MATCH(D1316,Classes!$E$2:$E$200,0)),""))</f>
        <v/>
      </c>
    </row>
    <row r="1317">
      <c r="J1317">
        <f>IF(OR(H1317="",I1317=""),"",ROUND(100*H1317/I1317,0))</f>
        <v/>
      </c>
      <c r="M1317">
        <f>IF(D1317="","",IFERROR(INDEX(Classes!$B$2:$B$200,MATCH(D1317,Classes!$E$2:$E$200,0)),""))</f>
        <v/>
      </c>
    </row>
    <row r="1318">
      <c r="J1318">
        <f>IF(OR(H1318="",I1318=""),"",ROUND(100*H1318/I1318,0))</f>
        <v/>
      </c>
      <c r="M1318">
        <f>IF(D1318="","",IFERROR(INDEX(Classes!$B$2:$B$200,MATCH(D1318,Classes!$E$2:$E$200,0)),""))</f>
        <v/>
      </c>
    </row>
    <row r="1319">
      <c r="J1319">
        <f>IF(OR(H1319="",I1319=""),"",ROUND(100*H1319/I1319,0))</f>
        <v/>
      </c>
      <c r="M1319">
        <f>IF(D1319="","",IFERROR(INDEX(Classes!$B$2:$B$200,MATCH(D1319,Classes!$E$2:$E$200,0)),""))</f>
        <v/>
      </c>
    </row>
    <row r="1320">
      <c r="J1320">
        <f>IF(OR(H1320="",I1320=""),"",ROUND(100*H1320/I1320,0))</f>
        <v/>
      </c>
      <c r="M1320">
        <f>IF(D1320="","",IFERROR(INDEX(Classes!$B$2:$B$200,MATCH(D1320,Classes!$E$2:$E$200,0)),""))</f>
        <v/>
      </c>
    </row>
    <row r="1321">
      <c r="J1321">
        <f>IF(OR(H1321="",I1321=""),"",ROUND(100*H1321/I1321,0))</f>
        <v/>
      </c>
      <c r="M1321">
        <f>IF(D1321="","",IFERROR(INDEX(Classes!$B$2:$B$200,MATCH(D1321,Classes!$E$2:$E$200,0)),""))</f>
        <v/>
      </c>
    </row>
    <row r="1322">
      <c r="J1322">
        <f>IF(OR(H1322="",I1322=""),"",ROUND(100*H1322/I1322,0))</f>
        <v/>
      </c>
      <c r="M1322">
        <f>IF(D1322="","",IFERROR(INDEX(Classes!$B$2:$B$200,MATCH(D1322,Classes!$E$2:$E$200,0)),""))</f>
        <v/>
      </c>
    </row>
    <row r="1323">
      <c r="J1323">
        <f>IF(OR(H1323="",I1323=""),"",ROUND(100*H1323/I1323,0))</f>
        <v/>
      </c>
      <c r="M1323">
        <f>IF(D1323="","",IFERROR(INDEX(Classes!$B$2:$B$200,MATCH(D1323,Classes!$E$2:$E$200,0)),""))</f>
        <v/>
      </c>
    </row>
    <row r="1324">
      <c r="J1324">
        <f>IF(OR(H1324="",I1324=""),"",ROUND(100*H1324/I1324,0))</f>
        <v/>
      </c>
      <c r="M1324">
        <f>IF(D1324="","",IFERROR(INDEX(Classes!$B$2:$B$200,MATCH(D1324,Classes!$E$2:$E$200,0)),""))</f>
        <v/>
      </c>
    </row>
    <row r="1325">
      <c r="J1325">
        <f>IF(OR(H1325="",I1325=""),"",ROUND(100*H1325/I1325,0))</f>
        <v/>
      </c>
      <c r="M1325">
        <f>IF(D1325="","",IFERROR(INDEX(Classes!$B$2:$B$200,MATCH(D1325,Classes!$E$2:$E$200,0)),""))</f>
        <v/>
      </c>
    </row>
    <row r="1326">
      <c r="J1326">
        <f>IF(OR(H1326="",I1326=""),"",ROUND(100*H1326/I1326,0))</f>
        <v/>
      </c>
      <c r="M1326">
        <f>IF(D1326="","",IFERROR(INDEX(Classes!$B$2:$B$200,MATCH(D1326,Classes!$E$2:$E$200,0)),""))</f>
        <v/>
      </c>
    </row>
    <row r="1327">
      <c r="J1327">
        <f>IF(OR(H1327="",I1327=""),"",ROUND(100*H1327/I1327,0))</f>
        <v/>
      </c>
      <c r="M1327">
        <f>IF(D1327="","",IFERROR(INDEX(Classes!$B$2:$B$200,MATCH(D1327,Classes!$E$2:$E$200,0)),""))</f>
        <v/>
      </c>
    </row>
    <row r="1328">
      <c r="J1328">
        <f>IF(OR(H1328="",I1328=""),"",ROUND(100*H1328/I1328,0))</f>
        <v/>
      </c>
      <c r="M1328">
        <f>IF(D1328="","",IFERROR(INDEX(Classes!$B$2:$B$200,MATCH(D1328,Classes!$E$2:$E$200,0)),""))</f>
        <v/>
      </c>
    </row>
    <row r="1329">
      <c r="J1329">
        <f>IF(OR(H1329="",I1329=""),"",ROUND(100*H1329/I1329,0))</f>
        <v/>
      </c>
      <c r="M1329">
        <f>IF(D1329="","",IFERROR(INDEX(Classes!$B$2:$B$200,MATCH(D1329,Classes!$E$2:$E$200,0)),""))</f>
        <v/>
      </c>
    </row>
    <row r="1330">
      <c r="J1330">
        <f>IF(OR(H1330="",I1330=""),"",ROUND(100*H1330/I1330,0))</f>
        <v/>
      </c>
      <c r="M1330">
        <f>IF(D1330="","",IFERROR(INDEX(Classes!$B$2:$B$200,MATCH(D1330,Classes!$E$2:$E$200,0)),""))</f>
        <v/>
      </c>
    </row>
    <row r="1331">
      <c r="J1331">
        <f>IF(OR(H1331="",I1331=""),"",ROUND(100*H1331/I1331,0))</f>
        <v/>
      </c>
      <c r="M1331">
        <f>IF(D1331="","",IFERROR(INDEX(Classes!$B$2:$B$200,MATCH(D1331,Classes!$E$2:$E$200,0)),""))</f>
        <v/>
      </c>
    </row>
    <row r="1332">
      <c r="J1332">
        <f>IF(OR(H1332="",I1332=""),"",ROUND(100*H1332/I1332,0))</f>
        <v/>
      </c>
      <c r="M1332">
        <f>IF(D1332="","",IFERROR(INDEX(Classes!$B$2:$B$200,MATCH(D1332,Classes!$E$2:$E$200,0)),""))</f>
        <v/>
      </c>
    </row>
    <row r="1333">
      <c r="J1333">
        <f>IF(OR(H1333="",I1333=""),"",ROUND(100*H1333/I1333,0))</f>
        <v/>
      </c>
      <c r="M1333">
        <f>IF(D1333="","",IFERROR(INDEX(Classes!$B$2:$B$200,MATCH(D1333,Classes!$E$2:$E$200,0)),""))</f>
        <v/>
      </c>
    </row>
    <row r="1334">
      <c r="J1334">
        <f>IF(OR(H1334="",I1334=""),"",ROUND(100*H1334/I1334,0))</f>
        <v/>
      </c>
      <c r="M1334">
        <f>IF(D1334="","",IFERROR(INDEX(Classes!$B$2:$B$200,MATCH(D1334,Classes!$E$2:$E$200,0)),""))</f>
        <v/>
      </c>
    </row>
    <row r="1335">
      <c r="J1335">
        <f>IF(OR(H1335="",I1335=""),"",ROUND(100*H1335/I1335,0))</f>
        <v/>
      </c>
      <c r="M1335">
        <f>IF(D1335="","",IFERROR(INDEX(Classes!$B$2:$B$200,MATCH(D1335,Classes!$E$2:$E$200,0)),""))</f>
        <v/>
      </c>
    </row>
    <row r="1336">
      <c r="J1336">
        <f>IF(OR(H1336="",I1336=""),"",ROUND(100*H1336/I1336,0))</f>
        <v/>
      </c>
      <c r="M1336">
        <f>IF(D1336="","",IFERROR(INDEX(Classes!$B$2:$B$200,MATCH(D1336,Classes!$E$2:$E$200,0)),""))</f>
        <v/>
      </c>
    </row>
    <row r="1337">
      <c r="J1337">
        <f>IF(OR(H1337="",I1337=""),"",ROUND(100*H1337/I1337,0))</f>
        <v/>
      </c>
      <c r="M1337">
        <f>IF(D1337="","",IFERROR(INDEX(Classes!$B$2:$B$200,MATCH(D1337,Classes!$E$2:$E$200,0)),""))</f>
        <v/>
      </c>
    </row>
    <row r="1338">
      <c r="J1338">
        <f>IF(OR(H1338="",I1338=""),"",ROUND(100*H1338/I1338,0))</f>
        <v/>
      </c>
      <c r="M1338">
        <f>IF(D1338="","",IFERROR(INDEX(Classes!$B$2:$B$200,MATCH(D1338,Classes!$E$2:$E$200,0)),""))</f>
        <v/>
      </c>
    </row>
    <row r="1339">
      <c r="J1339">
        <f>IF(OR(H1339="",I1339=""),"",ROUND(100*H1339/I1339,0))</f>
        <v/>
      </c>
      <c r="M1339">
        <f>IF(D1339="","",IFERROR(INDEX(Classes!$B$2:$B$200,MATCH(D1339,Classes!$E$2:$E$200,0)),""))</f>
        <v/>
      </c>
    </row>
    <row r="1340">
      <c r="J1340">
        <f>IF(OR(H1340="",I1340=""),"",ROUND(100*H1340/I1340,0))</f>
        <v/>
      </c>
      <c r="M1340">
        <f>IF(D1340="","",IFERROR(INDEX(Classes!$B$2:$B$200,MATCH(D1340,Classes!$E$2:$E$200,0)),""))</f>
        <v/>
      </c>
    </row>
    <row r="1341">
      <c r="J1341">
        <f>IF(OR(H1341="",I1341=""),"",ROUND(100*H1341/I1341,0))</f>
        <v/>
      </c>
      <c r="M1341">
        <f>IF(D1341="","",IFERROR(INDEX(Classes!$B$2:$B$200,MATCH(D1341,Classes!$E$2:$E$200,0)),""))</f>
        <v/>
      </c>
    </row>
    <row r="1342">
      <c r="J1342">
        <f>IF(OR(H1342="",I1342=""),"",ROUND(100*H1342/I1342,0))</f>
        <v/>
      </c>
      <c r="M1342">
        <f>IF(D1342="","",IFERROR(INDEX(Classes!$B$2:$B$200,MATCH(D1342,Classes!$E$2:$E$200,0)),""))</f>
        <v/>
      </c>
    </row>
    <row r="1343">
      <c r="J1343">
        <f>IF(OR(H1343="",I1343=""),"",ROUND(100*H1343/I1343,0))</f>
        <v/>
      </c>
      <c r="M1343">
        <f>IF(D1343="","",IFERROR(INDEX(Classes!$B$2:$B$200,MATCH(D1343,Classes!$E$2:$E$200,0)),""))</f>
        <v/>
      </c>
    </row>
    <row r="1344">
      <c r="J1344">
        <f>IF(OR(H1344="",I1344=""),"",ROUND(100*H1344/I1344,0))</f>
        <v/>
      </c>
      <c r="M1344">
        <f>IF(D1344="","",IFERROR(INDEX(Classes!$B$2:$B$200,MATCH(D1344,Classes!$E$2:$E$200,0)),""))</f>
        <v/>
      </c>
    </row>
    <row r="1345">
      <c r="J1345">
        <f>IF(OR(H1345="",I1345=""),"",ROUND(100*H1345/I1345,0))</f>
        <v/>
      </c>
      <c r="M1345">
        <f>IF(D1345="","",IFERROR(INDEX(Classes!$B$2:$B$200,MATCH(D1345,Classes!$E$2:$E$200,0)),""))</f>
        <v/>
      </c>
    </row>
    <row r="1346">
      <c r="J1346">
        <f>IF(OR(H1346="",I1346=""),"",ROUND(100*H1346/I1346,0))</f>
        <v/>
      </c>
      <c r="M1346">
        <f>IF(D1346="","",IFERROR(INDEX(Classes!$B$2:$B$200,MATCH(D1346,Classes!$E$2:$E$200,0)),""))</f>
        <v/>
      </c>
    </row>
    <row r="1347">
      <c r="J1347">
        <f>IF(OR(H1347="",I1347=""),"",ROUND(100*H1347/I1347,0))</f>
        <v/>
      </c>
      <c r="M1347">
        <f>IF(D1347="","",IFERROR(INDEX(Classes!$B$2:$B$200,MATCH(D1347,Classes!$E$2:$E$200,0)),""))</f>
        <v/>
      </c>
    </row>
    <row r="1348">
      <c r="J1348">
        <f>IF(OR(H1348="",I1348=""),"",ROUND(100*H1348/I1348,0))</f>
        <v/>
      </c>
      <c r="M1348">
        <f>IF(D1348="","",IFERROR(INDEX(Classes!$B$2:$B$200,MATCH(D1348,Classes!$E$2:$E$200,0)),""))</f>
        <v/>
      </c>
    </row>
    <row r="1349">
      <c r="J1349">
        <f>IF(OR(H1349="",I1349=""),"",ROUND(100*H1349/I1349,0))</f>
        <v/>
      </c>
      <c r="M1349">
        <f>IF(D1349="","",IFERROR(INDEX(Classes!$B$2:$B$200,MATCH(D1349,Classes!$E$2:$E$200,0)),""))</f>
        <v/>
      </c>
    </row>
    <row r="1350">
      <c r="J1350">
        <f>IF(OR(H1350="",I1350=""),"",ROUND(100*H1350/I1350,0))</f>
        <v/>
      </c>
      <c r="M1350">
        <f>IF(D1350="","",IFERROR(INDEX(Classes!$B$2:$B$200,MATCH(D1350,Classes!$E$2:$E$200,0)),""))</f>
        <v/>
      </c>
    </row>
    <row r="1351">
      <c r="J1351">
        <f>IF(OR(H1351="",I1351=""),"",ROUND(100*H1351/I1351,0))</f>
        <v/>
      </c>
      <c r="M1351">
        <f>IF(D1351="","",IFERROR(INDEX(Classes!$B$2:$B$200,MATCH(D1351,Classes!$E$2:$E$200,0)),""))</f>
        <v/>
      </c>
    </row>
    <row r="1352">
      <c r="J1352">
        <f>IF(OR(H1352="",I1352=""),"",ROUND(100*H1352/I1352,0))</f>
        <v/>
      </c>
      <c r="M1352">
        <f>IF(D1352="","",IFERROR(INDEX(Classes!$B$2:$B$200,MATCH(D1352,Classes!$E$2:$E$200,0)),""))</f>
        <v/>
      </c>
    </row>
    <row r="1353">
      <c r="J1353">
        <f>IF(OR(H1353="",I1353=""),"",ROUND(100*H1353/I1353,0))</f>
        <v/>
      </c>
      <c r="M1353">
        <f>IF(D1353="","",IFERROR(INDEX(Classes!$B$2:$B$200,MATCH(D1353,Classes!$E$2:$E$200,0)),""))</f>
        <v/>
      </c>
    </row>
    <row r="1354">
      <c r="J1354">
        <f>IF(OR(H1354="",I1354=""),"",ROUND(100*H1354/I1354,0))</f>
        <v/>
      </c>
      <c r="M1354">
        <f>IF(D1354="","",IFERROR(INDEX(Classes!$B$2:$B$200,MATCH(D1354,Classes!$E$2:$E$200,0)),""))</f>
        <v/>
      </c>
    </row>
    <row r="1355">
      <c r="J1355">
        <f>IF(OR(H1355="",I1355=""),"",ROUND(100*H1355/I1355,0))</f>
        <v/>
      </c>
      <c r="M1355">
        <f>IF(D1355="","",IFERROR(INDEX(Classes!$B$2:$B$200,MATCH(D1355,Classes!$E$2:$E$200,0)),""))</f>
        <v/>
      </c>
    </row>
    <row r="1356">
      <c r="J1356">
        <f>IF(OR(H1356="",I1356=""),"",ROUND(100*H1356/I1356,0))</f>
        <v/>
      </c>
      <c r="M1356">
        <f>IF(D1356="","",IFERROR(INDEX(Classes!$B$2:$B$200,MATCH(D1356,Classes!$E$2:$E$200,0)),""))</f>
        <v/>
      </c>
    </row>
    <row r="1357">
      <c r="J1357">
        <f>IF(OR(H1357="",I1357=""),"",ROUND(100*H1357/I1357,0))</f>
        <v/>
      </c>
      <c r="M1357">
        <f>IF(D1357="","",IFERROR(INDEX(Classes!$B$2:$B$200,MATCH(D1357,Classes!$E$2:$E$200,0)),""))</f>
        <v/>
      </c>
    </row>
    <row r="1358">
      <c r="J1358">
        <f>IF(OR(H1358="",I1358=""),"",ROUND(100*H1358/I1358,0))</f>
        <v/>
      </c>
      <c r="M1358">
        <f>IF(D1358="","",IFERROR(INDEX(Classes!$B$2:$B$200,MATCH(D1358,Classes!$E$2:$E$200,0)),""))</f>
        <v/>
      </c>
    </row>
    <row r="1359">
      <c r="J1359">
        <f>IF(OR(H1359="",I1359=""),"",ROUND(100*H1359/I1359,0))</f>
        <v/>
      </c>
      <c r="M1359">
        <f>IF(D1359="","",IFERROR(INDEX(Classes!$B$2:$B$200,MATCH(D1359,Classes!$E$2:$E$200,0)),""))</f>
        <v/>
      </c>
    </row>
    <row r="1360">
      <c r="J1360">
        <f>IF(OR(H1360="",I1360=""),"",ROUND(100*H1360/I1360,0))</f>
        <v/>
      </c>
      <c r="M1360">
        <f>IF(D1360="","",IFERROR(INDEX(Classes!$B$2:$B$200,MATCH(D1360,Classes!$E$2:$E$200,0)),""))</f>
        <v/>
      </c>
    </row>
    <row r="1361">
      <c r="J1361">
        <f>IF(OR(H1361="",I1361=""),"",ROUND(100*H1361/I1361,0))</f>
        <v/>
      </c>
      <c r="M1361">
        <f>IF(D1361="","",IFERROR(INDEX(Classes!$B$2:$B$200,MATCH(D1361,Classes!$E$2:$E$200,0)),""))</f>
        <v/>
      </c>
    </row>
    <row r="1362">
      <c r="J1362">
        <f>IF(OR(H1362="",I1362=""),"",ROUND(100*H1362/I1362,0))</f>
        <v/>
      </c>
      <c r="M1362">
        <f>IF(D1362="","",IFERROR(INDEX(Classes!$B$2:$B$200,MATCH(D1362,Classes!$E$2:$E$200,0)),""))</f>
        <v/>
      </c>
    </row>
    <row r="1363">
      <c r="J1363">
        <f>IF(OR(H1363="",I1363=""),"",ROUND(100*H1363/I1363,0))</f>
        <v/>
      </c>
      <c r="M1363">
        <f>IF(D1363="","",IFERROR(INDEX(Classes!$B$2:$B$200,MATCH(D1363,Classes!$E$2:$E$200,0)),""))</f>
        <v/>
      </c>
    </row>
    <row r="1364">
      <c r="J1364">
        <f>IF(OR(H1364="",I1364=""),"",ROUND(100*H1364/I1364,0))</f>
        <v/>
      </c>
      <c r="M1364">
        <f>IF(D1364="","",IFERROR(INDEX(Classes!$B$2:$B$200,MATCH(D1364,Classes!$E$2:$E$200,0)),""))</f>
        <v/>
      </c>
    </row>
    <row r="1365">
      <c r="J1365">
        <f>IF(OR(H1365="",I1365=""),"",ROUND(100*H1365/I1365,0))</f>
        <v/>
      </c>
      <c r="M1365">
        <f>IF(D1365="","",IFERROR(INDEX(Classes!$B$2:$B$200,MATCH(D1365,Classes!$E$2:$E$200,0)),""))</f>
        <v/>
      </c>
    </row>
    <row r="1366">
      <c r="J1366">
        <f>IF(OR(H1366="",I1366=""),"",ROUND(100*H1366/I1366,0))</f>
        <v/>
      </c>
      <c r="M1366">
        <f>IF(D1366="","",IFERROR(INDEX(Classes!$B$2:$B$200,MATCH(D1366,Classes!$E$2:$E$200,0)),""))</f>
        <v/>
      </c>
    </row>
    <row r="1367">
      <c r="J1367">
        <f>IF(OR(H1367="",I1367=""),"",ROUND(100*H1367/I1367,0))</f>
        <v/>
      </c>
      <c r="M1367">
        <f>IF(D1367="","",IFERROR(INDEX(Classes!$B$2:$B$200,MATCH(D1367,Classes!$E$2:$E$200,0)),""))</f>
        <v/>
      </c>
    </row>
    <row r="1368">
      <c r="J1368">
        <f>IF(OR(H1368="",I1368=""),"",ROUND(100*H1368/I1368,0))</f>
        <v/>
      </c>
      <c r="M1368">
        <f>IF(D1368="","",IFERROR(INDEX(Classes!$B$2:$B$200,MATCH(D1368,Classes!$E$2:$E$200,0)),""))</f>
        <v/>
      </c>
    </row>
    <row r="1369">
      <c r="J1369">
        <f>IF(OR(H1369="",I1369=""),"",ROUND(100*H1369/I1369,0))</f>
        <v/>
      </c>
      <c r="M1369">
        <f>IF(D1369="","",IFERROR(INDEX(Classes!$B$2:$B$200,MATCH(D1369,Classes!$E$2:$E$200,0)),""))</f>
        <v/>
      </c>
    </row>
    <row r="1370">
      <c r="J1370">
        <f>IF(OR(H1370="",I1370=""),"",ROUND(100*H1370/I1370,0))</f>
        <v/>
      </c>
      <c r="M1370">
        <f>IF(D1370="","",IFERROR(INDEX(Classes!$B$2:$B$200,MATCH(D1370,Classes!$E$2:$E$200,0)),""))</f>
        <v/>
      </c>
    </row>
    <row r="1371">
      <c r="J1371">
        <f>IF(OR(H1371="",I1371=""),"",ROUND(100*H1371/I1371,0))</f>
        <v/>
      </c>
      <c r="M1371">
        <f>IF(D1371="","",IFERROR(INDEX(Classes!$B$2:$B$200,MATCH(D1371,Classes!$E$2:$E$200,0)),""))</f>
        <v/>
      </c>
    </row>
    <row r="1372">
      <c r="J1372">
        <f>IF(OR(H1372="",I1372=""),"",ROUND(100*H1372/I1372,0))</f>
        <v/>
      </c>
      <c r="M1372">
        <f>IF(D1372="","",IFERROR(INDEX(Classes!$B$2:$B$200,MATCH(D1372,Classes!$E$2:$E$200,0)),""))</f>
        <v/>
      </c>
    </row>
    <row r="1373">
      <c r="J1373">
        <f>IF(OR(H1373="",I1373=""),"",ROUND(100*H1373/I1373,0))</f>
        <v/>
      </c>
      <c r="M1373">
        <f>IF(D1373="","",IFERROR(INDEX(Classes!$B$2:$B$200,MATCH(D1373,Classes!$E$2:$E$200,0)),""))</f>
        <v/>
      </c>
    </row>
    <row r="1374">
      <c r="J1374">
        <f>IF(OR(H1374="",I1374=""),"",ROUND(100*H1374/I1374,0))</f>
        <v/>
      </c>
      <c r="M1374">
        <f>IF(D1374="","",IFERROR(INDEX(Classes!$B$2:$B$200,MATCH(D1374,Classes!$E$2:$E$200,0)),""))</f>
        <v/>
      </c>
    </row>
    <row r="1375">
      <c r="J1375">
        <f>IF(OR(H1375="",I1375=""),"",ROUND(100*H1375/I1375,0))</f>
        <v/>
      </c>
      <c r="M1375">
        <f>IF(D1375="","",IFERROR(INDEX(Classes!$B$2:$B$200,MATCH(D1375,Classes!$E$2:$E$200,0)),""))</f>
        <v/>
      </c>
    </row>
    <row r="1376">
      <c r="J1376">
        <f>IF(OR(H1376="",I1376=""),"",ROUND(100*H1376/I1376,0))</f>
        <v/>
      </c>
      <c r="M1376">
        <f>IF(D1376="","",IFERROR(INDEX(Classes!$B$2:$B$200,MATCH(D1376,Classes!$E$2:$E$200,0)),""))</f>
        <v/>
      </c>
    </row>
    <row r="1377">
      <c r="J1377">
        <f>IF(OR(H1377="",I1377=""),"",ROUND(100*H1377/I1377,0))</f>
        <v/>
      </c>
      <c r="M1377">
        <f>IF(D1377="","",IFERROR(INDEX(Classes!$B$2:$B$200,MATCH(D1377,Classes!$E$2:$E$200,0)),""))</f>
        <v/>
      </c>
    </row>
    <row r="1378">
      <c r="J1378">
        <f>IF(OR(H1378="",I1378=""),"",ROUND(100*H1378/I1378,0))</f>
        <v/>
      </c>
      <c r="M1378">
        <f>IF(D1378="","",IFERROR(INDEX(Classes!$B$2:$B$200,MATCH(D1378,Classes!$E$2:$E$200,0)),""))</f>
        <v/>
      </c>
    </row>
    <row r="1379">
      <c r="J1379">
        <f>IF(OR(H1379="",I1379=""),"",ROUND(100*H1379/I1379,0))</f>
        <v/>
      </c>
      <c r="M1379">
        <f>IF(D1379="","",IFERROR(INDEX(Classes!$B$2:$B$200,MATCH(D1379,Classes!$E$2:$E$200,0)),""))</f>
        <v/>
      </c>
    </row>
    <row r="1380">
      <c r="J1380">
        <f>IF(OR(H1380="",I1380=""),"",ROUND(100*H1380/I1380,0))</f>
        <v/>
      </c>
      <c r="M1380">
        <f>IF(D1380="","",IFERROR(INDEX(Classes!$B$2:$B$200,MATCH(D1380,Classes!$E$2:$E$200,0)),""))</f>
        <v/>
      </c>
    </row>
    <row r="1381">
      <c r="J1381">
        <f>IF(OR(H1381="",I1381=""),"",ROUND(100*H1381/I1381,0))</f>
        <v/>
      </c>
      <c r="M1381">
        <f>IF(D1381="","",IFERROR(INDEX(Classes!$B$2:$B$200,MATCH(D1381,Classes!$E$2:$E$200,0)),""))</f>
        <v/>
      </c>
    </row>
    <row r="1382">
      <c r="J1382">
        <f>IF(OR(H1382="",I1382=""),"",ROUND(100*H1382/I1382,0))</f>
        <v/>
      </c>
      <c r="M1382">
        <f>IF(D1382="","",IFERROR(INDEX(Classes!$B$2:$B$200,MATCH(D1382,Classes!$E$2:$E$200,0)),""))</f>
        <v/>
      </c>
    </row>
    <row r="1383">
      <c r="J1383">
        <f>IF(OR(H1383="",I1383=""),"",ROUND(100*H1383/I1383,0))</f>
        <v/>
      </c>
      <c r="M1383">
        <f>IF(D1383="","",IFERROR(INDEX(Classes!$B$2:$B$200,MATCH(D1383,Classes!$E$2:$E$200,0)),""))</f>
        <v/>
      </c>
    </row>
    <row r="1384">
      <c r="J1384">
        <f>IF(OR(H1384="",I1384=""),"",ROUND(100*H1384/I1384,0))</f>
        <v/>
      </c>
      <c r="M1384">
        <f>IF(D1384="","",IFERROR(INDEX(Classes!$B$2:$B$200,MATCH(D1384,Classes!$E$2:$E$200,0)),""))</f>
        <v/>
      </c>
    </row>
    <row r="1385">
      <c r="J1385">
        <f>IF(OR(H1385="",I1385=""),"",ROUND(100*H1385/I1385,0))</f>
        <v/>
      </c>
      <c r="M1385">
        <f>IF(D1385="","",IFERROR(INDEX(Classes!$B$2:$B$200,MATCH(D1385,Classes!$E$2:$E$200,0)),""))</f>
        <v/>
      </c>
    </row>
    <row r="1386">
      <c r="J1386">
        <f>IF(OR(H1386="",I1386=""),"",ROUND(100*H1386/I1386,0))</f>
        <v/>
      </c>
      <c r="M1386">
        <f>IF(D1386="","",IFERROR(INDEX(Classes!$B$2:$B$200,MATCH(D1386,Classes!$E$2:$E$200,0)),""))</f>
        <v/>
      </c>
    </row>
    <row r="1387">
      <c r="J1387">
        <f>IF(OR(H1387="",I1387=""),"",ROUND(100*H1387/I1387,0))</f>
        <v/>
      </c>
      <c r="M1387">
        <f>IF(D1387="","",IFERROR(INDEX(Classes!$B$2:$B$200,MATCH(D1387,Classes!$E$2:$E$200,0)),""))</f>
        <v/>
      </c>
    </row>
    <row r="1388">
      <c r="J1388">
        <f>IF(OR(H1388="",I1388=""),"",ROUND(100*H1388/I1388,0))</f>
        <v/>
      </c>
      <c r="M1388">
        <f>IF(D1388="","",IFERROR(INDEX(Classes!$B$2:$B$200,MATCH(D1388,Classes!$E$2:$E$200,0)),""))</f>
        <v/>
      </c>
    </row>
    <row r="1389">
      <c r="J1389">
        <f>IF(OR(H1389="",I1389=""),"",ROUND(100*H1389/I1389,0))</f>
        <v/>
      </c>
      <c r="M1389">
        <f>IF(D1389="","",IFERROR(INDEX(Classes!$B$2:$B$200,MATCH(D1389,Classes!$E$2:$E$200,0)),""))</f>
        <v/>
      </c>
    </row>
    <row r="1390">
      <c r="J1390">
        <f>IF(OR(H1390="",I1390=""),"",ROUND(100*H1390/I1390,0))</f>
        <v/>
      </c>
      <c r="M1390">
        <f>IF(D1390="","",IFERROR(INDEX(Classes!$B$2:$B$200,MATCH(D1390,Classes!$E$2:$E$200,0)),""))</f>
        <v/>
      </c>
    </row>
    <row r="1391">
      <c r="J1391">
        <f>IF(OR(H1391="",I1391=""),"",ROUND(100*H1391/I1391,0))</f>
        <v/>
      </c>
      <c r="M1391">
        <f>IF(D1391="","",IFERROR(INDEX(Classes!$B$2:$B$200,MATCH(D1391,Classes!$E$2:$E$200,0)),""))</f>
        <v/>
      </c>
    </row>
    <row r="1392">
      <c r="J1392">
        <f>IF(OR(H1392="",I1392=""),"",ROUND(100*H1392/I1392,0))</f>
        <v/>
      </c>
      <c r="M1392">
        <f>IF(D1392="","",IFERROR(INDEX(Classes!$B$2:$B$200,MATCH(D1392,Classes!$E$2:$E$200,0)),""))</f>
        <v/>
      </c>
    </row>
    <row r="1393">
      <c r="J1393">
        <f>IF(OR(H1393="",I1393=""),"",ROUND(100*H1393/I1393,0))</f>
        <v/>
      </c>
      <c r="M1393">
        <f>IF(D1393="","",IFERROR(INDEX(Classes!$B$2:$B$200,MATCH(D1393,Classes!$E$2:$E$200,0)),""))</f>
        <v/>
      </c>
    </row>
    <row r="1394">
      <c r="J1394">
        <f>IF(OR(H1394="",I1394=""),"",ROUND(100*H1394/I1394,0))</f>
        <v/>
      </c>
      <c r="M1394">
        <f>IF(D1394="","",IFERROR(INDEX(Classes!$B$2:$B$200,MATCH(D1394,Classes!$E$2:$E$200,0)),""))</f>
        <v/>
      </c>
    </row>
    <row r="1395">
      <c r="J1395">
        <f>IF(OR(H1395="",I1395=""),"",ROUND(100*H1395/I1395,0))</f>
        <v/>
      </c>
      <c r="M1395">
        <f>IF(D1395="","",IFERROR(INDEX(Classes!$B$2:$B$200,MATCH(D1395,Classes!$E$2:$E$200,0)),""))</f>
        <v/>
      </c>
    </row>
    <row r="1396">
      <c r="J1396">
        <f>IF(OR(H1396="",I1396=""),"",ROUND(100*H1396/I1396,0))</f>
        <v/>
      </c>
      <c r="M1396">
        <f>IF(D1396="","",IFERROR(INDEX(Classes!$B$2:$B$200,MATCH(D1396,Classes!$E$2:$E$200,0)),""))</f>
        <v/>
      </c>
    </row>
    <row r="1397">
      <c r="J1397">
        <f>IF(OR(H1397="",I1397=""),"",ROUND(100*H1397/I1397,0))</f>
        <v/>
      </c>
      <c r="M1397">
        <f>IF(D1397="","",IFERROR(INDEX(Classes!$B$2:$B$200,MATCH(D1397,Classes!$E$2:$E$200,0)),""))</f>
        <v/>
      </c>
    </row>
    <row r="1398">
      <c r="J1398">
        <f>IF(OR(H1398="",I1398=""),"",ROUND(100*H1398/I1398,0))</f>
        <v/>
      </c>
      <c r="M1398">
        <f>IF(D1398="","",IFERROR(INDEX(Classes!$B$2:$B$200,MATCH(D1398,Classes!$E$2:$E$200,0)),""))</f>
        <v/>
      </c>
    </row>
    <row r="1399">
      <c r="J1399">
        <f>IF(OR(H1399="",I1399=""),"",ROUND(100*H1399/I1399,0))</f>
        <v/>
      </c>
      <c r="M1399">
        <f>IF(D1399="","",IFERROR(INDEX(Classes!$B$2:$B$200,MATCH(D1399,Classes!$E$2:$E$200,0)),""))</f>
        <v/>
      </c>
    </row>
    <row r="1400">
      <c r="J1400">
        <f>IF(OR(H1400="",I1400=""),"",ROUND(100*H1400/I1400,0))</f>
        <v/>
      </c>
      <c r="M1400">
        <f>IF(D1400="","",IFERROR(INDEX(Classes!$B$2:$B$200,MATCH(D1400,Classes!$E$2:$E$200,0)),""))</f>
        <v/>
      </c>
    </row>
    <row r="1401">
      <c r="J1401">
        <f>IF(OR(H1401="",I1401=""),"",ROUND(100*H1401/I1401,0))</f>
        <v/>
      </c>
      <c r="M1401">
        <f>IF(D1401="","",IFERROR(INDEX(Classes!$B$2:$B$200,MATCH(D1401,Classes!$E$2:$E$200,0)),""))</f>
        <v/>
      </c>
    </row>
    <row r="1402">
      <c r="J1402">
        <f>IF(OR(H1402="",I1402=""),"",ROUND(100*H1402/I1402,0))</f>
        <v/>
      </c>
      <c r="M1402">
        <f>IF(D1402="","",IFERROR(INDEX(Classes!$B$2:$B$200,MATCH(D1402,Classes!$E$2:$E$200,0)),""))</f>
        <v/>
      </c>
    </row>
    <row r="1403">
      <c r="J1403">
        <f>IF(OR(H1403="",I1403=""),"",ROUND(100*H1403/I1403,0))</f>
        <v/>
      </c>
      <c r="M1403">
        <f>IF(D1403="","",IFERROR(INDEX(Classes!$B$2:$B$200,MATCH(D1403,Classes!$E$2:$E$200,0)),""))</f>
        <v/>
      </c>
    </row>
    <row r="1404">
      <c r="J1404">
        <f>IF(OR(H1404="",I1404=""),"",ROUND(100*H1404/I1404,0))</f>
        <v/>
      </c>
      <c r="M1404">
        <f>IF(D1404="","",IFERROR(INDEX(Classes!$B$2:$B$200,MATCH(D1404,Classes!$E$2:$E$200,0)),""))</f>
        <v/>
      </c>
    </row>
    <row r="1405">
      <c r="J1405">
        <f>IF(OR(H1405="",I1405=""),"",ROUND(100*H1405/I1405,0))</f>
        <v/>
      </c>
      <c r="M1405">
        <f>IF(D1405="","",IFERROR(INDEX(Classes!$B$2:$B$200,MATCH(D1405,Classes!$E$2:$E$200,0)),""))</f>
        <v/>
      </c>
    </row>
    <row r="1406">
      <c r="J1406">
        <f>IF(OR(H1406="",I1406=""),"",ROUND(100*H1406/I1406,0))</f>
        <v/>
      </c>
      <c r="M1406">
        <f>IF(D1406="","",IFERROR(INDEX(Classes!$B$2:$B$200,MATCH(D1406,Classes!$E$2:$E$200,0)),""))</f>
        <v/>
      </c>
    </row>
    <row r="1407">
      <c r="J1407">
        <f>IF(OR(H1407="",I1407=""),"",ROUND(100*H1407/I1407,0))</f>
        <v/>
      </c>
      <c r="M1407">
        <f>IF(D1407="","",IFERROR(INDEX(Classes!$B$2:$B$200,MATCH(D1407,Classes!$E$2:$E$200,0)),""))</f>
        <v/>
      </c>
    </row>
    <row r="1408">
      <c r="J1408">
        <f>IF(OR(H1408="",I1408=""),"",ROUND(100*H1408/I1408,0))</f>
        <v/>
      </c>
      <c r="M1408">
        <f>IF(D1408="","",IFERROR(INDEX(Classes!$B$2:$B$200,MATCH(D1408,Classes!$E$2:$E$200,0)),""))</f>
        <v/>
      </c>
    </row>
    <row r="1409">
      <c r="J1409">
        <f>IF(OR(H1409="",I1409=""),"",ROUND(100*H1409/I1409,0))</f>
        <v/>
      </c>
      <c r="M1409">
        <f>IF(D1409="","",IFERROR(INDEX(Classes!$B$2:$B$200,MATCH(D1409,Classes!$E$2:$E$200,0)),""))</f>
        <v/>
      </c>
    </row>
    <row r="1410">
      <c r="J1410">
        <f>IF(OR(H1410="",I1410=""),"",ROUND(100*H1410/I1410,0))</f>
        <v/>
      </c>
      <c r="M1410">
        <f>IF(D1410="","",IFERROR(INDEX(Classes!$B$2:$B$200,MATCH(D1410,Classes!$E$2:$E$200,0)),""))</f>
        <v/>
      </c>
    </row>
    <row r="1411">
      <c r="J1411">
        <f>IF(OR(H1411="",I1411=""),"",ROUND(100*H1411/I1411,0))</f>
        <v/>
      </c>
      <c r="M1411">
        <f>IF(D1411="","",IFERROR(INDEX(Classes!$B$2:$B$200,MATCH(D1411,Classes!$E$2:$E$200,0)),""))</f>
        <v/>
      </c>
    </row>
    <row r="1412">
      <c r="J1412">
        <f>IF(OR(H1412="",I1412=""),"",ROUND(100*H1412/I1412,0))</f>
        <v/>
      </c>
      <c r="M1412">
        <f>IF(D1412="","",IFERROR(INDEX(Classes!$B$2:$B$200,MATCH(D1412,Classes!$E$2:$E$200,0)),""))</f>
        <v/>
      </c>
    </row>
    <row r="1413">
      <c r="J1413">
        <f>IF(OR(H1413="",I1413=""),"",ROUND(100*H1413/I1413,0))</f>
        <v/>
      </c>
      <c r="M1413">
        <f>IF(D1413="","",IFERROR(INDEX(Classes!$B$2:$B$200,MATCH(D1413,Classes!$E$2:$E$200,0)),""))</f>
        <v/>
      </c>
    </row>
    <row r="1414">
      <c r="J1414">
        <f>IF(OR(H1414="",I1414=""),"",ROUND(100*H1414/I1414,0))</f>
        <v/>
      </c>
      <c r="M1414">
        <f>IF(D1414="","",IFERROR(INDEX(Classes!$B$2:$B$200,MATCH(D1414,Classes!$E$2:$E$200,0)),""))</f>
        <v/>
      </c>
    </row>
    <row r="1415">
      <c r="J1415">
        <f>IF(OR(H1415="",I1415=""),"",ROUND(100*H1415/I1415,0))</f>
        <v/>
      </c>
      <c r="M1415">
        <f>IF(D1415="","",IFERROR(INDEX(Classes!$B$2:$B$200,MATCH(D1415,Classes!$E$2:$E$200,0)),""))</f>
        <v/>
      </c>
    </row>
    <row r="1416">
      <c r="J1416">
        <f>IF(OR(H1416="",I1416=""),"",ROUND(100*H1416/I1416,0))</f>
        <v/>
      </c>
      <c r="M1416">
        <f>IF(D1416="","",IFERROR(INDEX(Classes!$B$2:$B$200,MATCH(D1416,Classes!$E$2:$E$200,0)),""))</f>
        <v/>
      </c>
    </row>
    <row r="1417">
      <c r="J1417">
        <f>IF(OR(H1417="",I1417=""),"",ROUND(100*H1417/I1417,0))</f>
        <v/>
      </c>
      <c r="M1417">
        <f>IF(D1417="","",IFERROR(INDEX(Classes!$B$2:$B$200,MATCH(D1417,Classes!$E$2:$E$200,0)),""))</f>
        <v/>
      </c>
    </row>
    <row r="1418">
      <c r="J1418">
        <f>IF(OR(H1418="",I1418=""),"",ROUND(100*H1418/I1418,0))</f>
        <v/>
      </c>
      <c r="M1418">
        <f>IF(D1418="","",IFERROR(INDEX(Classes!$B$2:$B$200,MATCH(D1418,Classes!$E$2:$E$200,0)),""))</f>
        <v/>
      </c>
    </row>
    <row r="1419">
      <c r="J1419">
        <f>IF(OR(H1419="",I1419=""),"",ROUND(100*H1419/I1419,0))</f>
        <v/>
      </c>
      <c r="M1419">
        <f>IF(D1419="","",IFERROR(INDEX(Classes!$B$2:$B$200,MATCH(D1419,Classes!$E$2:$E$200,0)),""))</f>
        <v/>
      </c>
    </row>
    <row r="1420">
      <c r="J1420">
        <f>IF(OR(H1420="",I1420=""),"",ROUND(100*H1420/I1420,0))</f>
        <v/>
      </c>
      <c r="M1420">
        <f>IF(D1420="","",IFERROR(INDEX(Classes!$B$2:$B$200,MATCH(D1420,Classes!$E$2:$E$200,0)),""))</f>
        <v/>
      </c>
    </row>
    <row r="1421">
      <c r="J1421">
        <f>IF(OR(H1421="",I1421=""),"",ROUND(100*H1421/I1421,0))</f>
        <v/>
      </c>
      <c r="M1421">
        <f>IF(D1421="","",IFERROR(INDEX(Classes!$B$2:$B$200,MATCH(D1421,Classes!$E$2:$E$200,0)),""))</f>
        <v/>
      </c>
    </row>
    <row r="1422">
      <c r="J1422">
        <f>IF(OR(H1422="",I1422=""),"",ROUND(100*H1422/I1422,0))</f>
        <v/>
      </c>
      <c r="M1422">
        <f>IF(D1422="","",IFERROR(INDEX(Classes!$B$2:$B$200,MATCH(D1422,Classes!$E$2:$E$200,0)),""))</f>
        <v/>
      </c>
    </row>
    <row r="1423">
      <c r="J1423">
        <f>IF(OR(H1423="",I1423=""),"",ROUND(100*H1423/I1423,0))</f>
        <v/>
      </c>
      <c r="M1423">
        <f>IF(D1423="","",IFERROR(INDEX(Classes!$B$2:$B$200,MATCH(D1423,Classes!$E$2:$E$200,0)),""))</f>
        <v/>
      </c>
    </row>
    <row r="1424">
      <c r="J1424">
        <f>IF(OR(H1424="",I1424=""),"",ROUND(100*H1424/I1424,0))</f>
        <v/>
      </c>
      <c r="M1424">
        <f>IF(D1424="","",IFERROR(INDEX(Classes!$B$2:$B$200,MATCH(D1424,Classes!$E$2:$E$200,0)),""))</f>
        <v/>
      </c>
    </row>
    <row r="1425">
      <c r="J1425">
        <f>IF(OR(H1425="",I1425=""),"",ROUND(100*H1425/I1425,0))</f>
        <v/>
      </c>
      <c r="M1425">
        <f>IF(D1425="","",IFERROR(INDEX(Classes!$B$2:$B$200,MATCH(D1425,Classes!$E$2:$E$200,0)),""))</f>
        <v/>
      </c>
    </row>
    <row r="1426">
      <c r="J1426">
        <f>IF(OR(H1426="",I1426=""),"",ROUND(100*H1426/I1426,0))</f>
        <v/>
      </c>
      <c r="M1426">
        <f>IF(D1426="","",IFERROR(INDEX(Classes!$B$2:$B$200,MATCH(D1426,Classes!$E$2:$E$200,0)),""))</f>
        <v/>
      </c>
    </row>
    <row r="1427">
      <c r="J1427">
        <f>IF(OR(H1427="",I1427=""),"",ROUND(100*H1427/I1427,0))</f>
        <v/>
      </c>
      <c r="M1427">
        <f>IF(D1427="","",IFERROR(INDEX(Classes!$B$2:$B$200,MATCH(D1427,Classes!$E$2:$E$200,0)),""))</f>
        <v/>
      </c>
    </row>
    <row r="1428">
      <c r="J1428">
        <f>IF(OR(H1428="",I1428=""),"",ROUND(100*H1428/I1428,0))</f>
        <v/>
      </c>
      <c r="M1428">
        <f>IF(D1428="","",IFERROR(INDEX(Classes!$B$2:$B$200,MATCH(D1428,Classes!$E$2:$E$200,0)),""))</f>
        <v/>
      </c>
    </row>
    <row r="1429">
      <c r="J1429">
        <f>IF(OR(H1429="",I1429=""),"",ROUND(100*H1429/I1429,0))</f>
        <v/>
      </c>
      <c r="M1429">
        <f>IF(D1429="","",IFERROR(INDEX(Classes!$B$2:$B$200,MATCH(D1429,Classes!$E$2:$E$200,0)),""))</f>
        <v/>
      </c>
    </row>
    <row r="1430">
      <c r="J1430">
        <f>IF(OR(H1430="",I1430=""),"",ROUND(100*H1430/I1430,0))</f>
        <v/>
      </c>
      <c r="M1430">
        <f>IF(D1430="","",IFERROR(INDEX(Classes!$B$2:$B$200,MATCH(D1430,Classes!$E$2:$E$200,0)),""))</f>
        <v/>
      </c>
    </row>
    <row r="1431">
      <c r="J1431">
        <f>IF(OR(H1431="",I1431=""),"",ROUND(100*H1431/I1431,0))</f>
        <v/>
      </c>
      <c r="M1431">
        <f>IF(D1431="","",IFERROR(INDEX(Classes!$B$2:$B$200,MATCH(D1431,Classes!$E$2:$E$200,0)),""))</f>
        <v/>
      </c>
    </row>
    <row r="1432">
      <c r="J1432">
        <f>IF(OR(H1432="",I1432=""),"",ROUND(100*H1432/I1432,0))</f>
        <v/>
      </c>
      <c r="M1432">
        <f>IF(D1432="","",IFERROR(INDEX(Classes!$B$2:$B$200,MATCH(D1432,Classes!$E$2:$E$200,0)),""))</f>
        <v/>
      </c>
    </row>
    <row r="1433">
      <c r="J1433">
        <f>IF(OR(H1433="",I1433=""),"",ROUND(100*H1433/I1433,0))</f>
        <v/>
      </c>
      <c r="M1433">
        <f>IF(D1433="","",IFERROR(INDEX(Classes!$B$2:$B$200,MATCH(D1433,Classes!$E$2:$E$200,0)),""))</f>
        <v/>
      </c>
    </row>
    <row r="1434">
      <c r="J1434">
        <f>IF(OR(H1434="",I1434=""),"",ROUND(100*H1434/I1434,0))</f>
        <v/>
      </c>
      <c r="M1434">
        <f>IF(D1434="","",IFERROR(INDEX(Classes!$B$2:$B$200,MATCH(D1434,Classes!$E$2:$E$200,0)),""))</f>
        <v/>
      </c>
    </row>
    <row r="1435">
      <c r="J1435">
        <f>IF(OR(H1435="",I1435=""),"",ROUND(100*H1435/I1435,0))</f>
        <v/>
      </c>
      <c r="M1435">
        <f>IF(D1435="","",IFERROR(INDEX(Classes!$B$2:$B$200,MATCH(D1435,Classes!$E$2:$E$200,0)),""))</f>
        <v/>
      </c>
    </row>
    <row r="1436">
      <c r="J1436">
        <f>IF(OR(H1436="",I1436=""),"",ROUND(100*H1436/I1436,0))</f>
        <v/>
      </c>
      <c r="M1436">
        <f>IF(D1436="","",IFERROR(INDEX(Classes!$B$2:$B$200,MATCH(D1436,Classes!$E$2:$E$200,0)),""))</f>
        <v/>
      </c>
    </row>
    <row r="1437">
      <c r="J1437">
        <f>IF(OR(H1437="",I1437=""),"",ROUND(100*H1437/I1437,0))</f>
        <v/>
      </c>
      <c r="M1437">
        <f>IF(D1437="","",IFERROR(INDEX(Classes!$B$2:$B$200,MATCH(D1437,Classes!$E$2:$E$200,0)),""))</f>
        <v/>
      </c>
    </row>
    <row r="1438">
      <c r="J1438">
        <f>IF(OR(H1438="",I1438=""),"",ROUND(100*H1438/I1438,0))</f>
        <v/>
      </c>
      <c r="M1438">
        <f>IF(D1438="","",IFERROR(INDEX(Classes!$B$2:$B$200,MATCH(D1438,Classes!$E$2:$E$200,0)),""))</f>
        <v/>
      </c>
    </row>
    <row r="1439">
      <c r="J1439">
        <f>IF(OR(H1439="",I1439=""),"",ROUND(100*H1439/I1439,0))</f>
        <v/>
      </c>
      <c r="M1439">
        <f>IF(D1439="","",IFERROR(INDEX(Classes!$B$2:$B$200,MATCH(D1439,Classes!$E$2:$E$200,0)),""))</f>
        <v/>
      </c>
    </row>
    <row r="1440">
      <c r="J1440">
        <f>IF(OR(H1440="",I1440=""),"",ROUND(100*H1440/I1440,0))</f>
        <v/>
      </c>
      <c r="M1440">
        <f>IF(D1440="","",IFERROR(INDEX(Classes!$B$2:$B$200,MATCH(D1440,Classes!$E$2:$E$200,0)),""))</f>
        <v/>
      </c>
    </row>
    <row r="1441">
      <c r="J1441">
        <f>IF(OR(H1441="",I1441=""),"",ROUND(100*H1441/I1441,0))</f>
        <v/>
      </c>
      <c r="M1441">
        <f>IF(D1441="","",IFERROR(INDEX(Classes!$B$2:$B$200,MATCH(D1441,Classes!$E$2:$E$200,0)),""))</f>
        <v/>
      </c>
    </row>
    <row r="1442">
      <c r="J1442">
        <f>IF(OR(H1442="",I1442=""),"",ROUND(100*H1442/I1442,0))</f>
        <v/>
      </c>
      <c r="M1442">
        <f>IF(D1442="","",IFERROR(INDEX(Classes!$B$2:$B$200,MATCH(D1442,Classes!$E$2:$E$200,0)),""))</f>
        <v/>
      </c>
    </row>
    <row r="1443">
      <c r="J1443">
        <f>IF(OR(H1443="",I1443=""),"",ROUND(100*H1443/I1443,0))</f>
        <v/>
      </c>
      <c r="M1443">
        <f>IF(D1443="","",IFERROR(INDEX(Classes!$B$2:$B$200,MATCH(D1443,Classes!$E$2:$E$200,0)),""))</f>
        <v/>
      </c>
    </row>
    <row r="1444">
      <c r="J1444">
        <f>IF(OR(H1444="",I1444=""),"",ROUND(100*H1444/I1444,0))</f>
        <v/>
      </c>
      <c r="M1444">
        <f>IF(D1444="","",IFERROR(INDEX(Classes!$B$2:$B$200,MATCH(D1444,Classes!$E$2:$E$200,0)),""))</f>
        <v/>
      </c>
    </row>
    <row r="1445">
      <c r="J1445">
        <f>IF(OR(H1445="",I1445=""),"",ROUND(100*H1445/I1445,0))</f>
        <v/>
      </c>
      <c r="M1445">
        <f>IF(D1445="","",IFERROR(INDEX(Classes!$B$2:$B$200,MATCH(D1445,Classes!$E$2:$E$200,0)),""))</f>
        <v/>
      </c>
    </row>
    <row r="1446">
      <c r="J1446">
        <f>IF(OR(H1446="",I1446=""),"",ROUND(100*H1446/I1446,0))</f>
        <v/>
      </c>
      <c r="M1446">
        <f>IF(D1446="","",IFERROR(INDEX(Classes!$B$2:$B$200,MATCH(D1446,Classes!$E$2:$E$200,0)),""))</f>
        <v/>
      </c>
    </row>
    <row r="1447">
      <c r="J1447">
        <f>IF(OR(H1447="",I1447=""),"",ROUND(100*H1447/I1447,0))</f>
        <v/>
      </c>
      <c r="M1447">
        <f>IF(D1447="","",IFERROR(INDEX(Classes!$B$2:$B$200,MATCH(D1447,Classes!$E$2:$E$200,0)),""))</f>
        <v/>
      </c>
    </row>
    <row r="1448">
      <c r="J1448">
        <f>IF(OR(H1448="",I1448=""),"",ROUND(100*H1448/I1448,0))</f>
        <v/>
      </c>
      <c r="M1448">
        <f>IF(D1448="","",IFERROR(INDEX(Classes!$B$2:$B$200,MATCH(D1448,Classes!$E$2:$E$200,0)),""))</f>
        <v/>
      </c>
    </row>
    <row r="1449">
      <c r="J1449">
        <f>IF(OR(H1449="",I1449=""),"",ROUND(100*H1449/I1449,0))</f>
        <v/>
      </c>
      <c r="M1449">
        <f>IF(D1449="","",IFERROR(INDEX(Classes!$B$2:$B$200,MATCH(D1449,Classes!$E$2:$E$200,0)),""))</f>
        <v/>
      </c>
    </row>
    <row r="1450">
      <c r="J1450">
        <f>IF(OR(H1450="",I1450=""),"",ROUND(100*H1450/I1450,0))</f>
        <v/>
      </c>
      <c r="M1450">
        <f>IF(D1450="","",IFERROR(INDEX(Classes!$B$2:$B$200,MATCH(D1450,Classes!$E$2:$E$200,0)),""))</f>
        <v/>
      </c>
    </row>
    <row r="1451">
      <c r="J1451">
        <f>IF(OR(H1451="",I1451=""),"",ROUND(100*H1451/I1451,0))</f>
        <v/>
      </c>
      <c r="M1451">
        <f>IF(D1451="","",IFERROR(INDEX(Classes!$B$2:$B$200,MATCH(D1451,Classes!$E$2:$E$200,0)),""))</f>
        <v/>
      </c>
    </row>
    <row r="1452">
      <c r="J1452">
        <f>IF(OR(H1452="",I1452=""),"",ROUND(100*H1452/I1452,0))</f>
        <v/>
      </c>
      <c r="M1452">
        <f>IF(D1452="","",IFERROR(INDEX(Classes!$B$2:$B$200,MATCH(D1452,Classes!$E$2:$E$200,0)),""))</f>
        <v/>
      </c>
    </row>
    <row r="1453">
      <c r="J1453">
        <f>IF(OR(H1453="",I1453=""),"",ROUND(100*H1453/I1453,0))</f>
        <v/>
      </c>
      <c r="M1453">
        <f>IF(D1453="","",IFERROR(INDEX(Classes!$B$2:$B$200,MATCH(D1453,Classes!$E$2:$E$200,0)),""))</f>
        <v/>
      </c>
    </row>
    <row r="1454">
      <c r="J1454">
        <f>IF(OR(H1454="",I1454=""),"",ROUND(100*H1454/I1454,0))</f>
        <v/>
      </c>
      <c r="M1454">
        <f>IF(D1454="","",IFERROR(INDEX(Classes!$B$2:$B$200,MATCH(D1454,Classes!$E$2:$E$200,0)),""))</f>
        <v/>
      </c>
    </row>
    <row r="1455">
      <c r="J1455">
        <f>IF(OR(H1455="",I1455=""),"",ROUND(100*H1455/I1455,0))</f>
        <v/>
      </c>
      <c r="M1455">
        <f>IF(D1455="","",IFERROR(INDEX(Classes!$B$2:$B$200,MATCH(D1455,Classes!$E$2:$E$200,0)),""))</f>
        <v/>
      </c>
    </row>
    <row r="1456">
      <c r="J1456">
        <f>IF(OR(H1456="",I1456=""),"",ROUND(100*H1456/I1456,0))</f>
        <v/>
      </c>
      <c r="M1456">
        <f>IF(D1456="","",IFERROR(INDEX(Classes!$B$2:$B$200,MATCH(D1456,Classes!$E$2:$E$200,0)),""))</f>
        <v/>
      </c>
    </row>
    <row r="1457">
      <c r="J1457">
        <f>IF(OR(H1457="",I1457=""),"",ROUND(100*H1457/I1457,0))</f>
        <v/>
      </c>
      <c r="M1457">
        <f>IF(D1457="","",IFERROR(INDEX(Classes!$B$2:$B$200,MATCH(D1457,Classes!$E$2:$E$200,0)),""))</f>
        <v/>
      </c>
    </row>
    <row r="1458">
      <c r="J1458">
        <f>IF(OR(H1458="",I1458=""),"",ROUND(100*H1458/I1458,0))</f>
        <v/>
      </c>
      <c r="M1458">
        <f>IF(D1458="","",IFERROR(INDEX(Classes!$B$2:$B$200,MATCH(D1458,Classes!$E$2:$E$200,0)),""))</f>
        <v/>
      </c>
    </row>
    <row r="1459">
      <c r="J1459">
        <f>IF(OR(H1459="",I1459=""),"",ROUND(100*H1459/I1459,0))</f>
        <v/>
      </c>
      <c r="M1459">
        <f>IF(D1459="","",IFERROR(INDEX(Classes!$B$2:$B$200,MATCH(D1459,Classes!$E$2:$E$200,0)),""))</f>
        <v/>
      </c>
    </row>
    <row r="1460">
      <c r="J1460">
        <f>IF(OR(H1460="",I1460=""),"",ROUND(100*H1460/I1460,0))</f>
        <v/>
      </c>
      <c r="M1460">
        <f>IF(D1460="","",IFERROR(INDEX(Classes!$B$2:$B$200,MATCH(D1460,Classes!$E$2:$E$200,0)),""))</f>
        <v/>
      </c>
    </row>
    <row r="1461">
      <c r="J1461">
        <f>IF(OR(H1461="",I1461=""),"",ROUND(100*H1461/I1461,0))</f>
        <v/>
      </c>
      <c r="M1461">
        <f>IF(D1461="","",IFERROR(INDEX(Classes!$B$2:$B$200,MATCH(D1461,Classes!$E$2:$E$200,0)),""))</f>
        <v/>
      </c>
    </row>
    <row r="1462">
      <c r="J1462">
        <f>IF(OR(H1462="",I1462=""),"",ROUND(100*H1462/I1462,0))</f>
        <v/>
      </c>
      <c r="M1462">
        <f>IF(D1462="","",IFERROR(INDEX(Classes!$B$2:$B$200,MATCH(D1462,Classes!$E$2:$E$200,0)),""))</f>
        <v/>
      </c>
    </row>
    <row r="1463">
      <c r="J1463">
        <f>IF(OR(H1463="",I1463=""),"",ROUND(100*H1463/I1463,0))</f>
        <v/>
      </c>
      <c r="M1463">
        <f>IF(D1463="","",IFERROR(INDEX(Classes!$B$2:$B$200,MATCH(D1463,Classes!$E$2:$E$200,0)),""))</f>
        <v/>
      </c>
    </row>
    <row r="1464">
      <c r="J1464">
        <f>IF(OR(H1464="",I1464=""),"",ROUND(100*H1464/I1464,0))</f>
        <v/>
      </c>
      <c r="M1464">
        <f>IF(D1464="","",IFERROR(INDEX(Classes!$B$2:$B$200,MATCH(D1464,Classes!$E$2:$E$200,0)),""))</f>
        <v/>
      </c>
    </row>
    <row r="1465">
      <c r="J1465">
        <f>IF(OR(H1465="",I1465=""),"",ROUND(100*H1465/I1465,0))</f>
        <v/>
      </c>
      <c r="M1465">
        <f>IF(D1465="","",IFERROR(INDEX(Classes!$B$2:$B$200,MATCH(D1465,Classes!$E$2:$E$200,0)),""))</f>
        <v/>
      </c>
    </row>
    <row r="1466">
      <c r="J1466">
        <f>IF(OR(H1466="",I1466=""),"",ROUND(100*H1466/I1466,0))</f>
        <v/>
      </c>
      <c r="M1466">
        <f>IF(D1466="","",IFERROR(INDEX(Classes!$B$2:$B$200,MATCH(D1466,Classes!$E$2:$E$200,0)),""))</f>
        <v/>
      </c>
    </row>
    <row r="1467">
      <c r="J1467">
        <f>IF(OR(H1467="",I1467=""),"",ROUND(100*H1467/I1467,0))</f>
        <v/>
      </c>
      <c r="M1467">
        <f>IF(D1467="","",IFERROR(INDEX(Classes!$B$2:$B$200,MATCH(D1467,Classes!$E$2:$E$200,0)),""))</f>
        <v/>
      </c>
    </row>
    <row r="1468">
      <c r="J1468">
        <f>IF(OR(H1468="",I1468=""),"",ROUND(100*H1468/I1468,0))</f>
        <v/>
      </c>
      <c r="M1468">
        <f>IF(D1468="","",IFERROR(INDEX(Classes!$B$2:$B$200,MATCH(D1468,Classes!$E$2:$E$200,0)),""))</f>
        <v/>
      </c>
    </row>
    <row r="1469">
      <c r="J1469">
        <f>IF(OR(H1469="",I1469=""),"",ROUND(100*H1469/I1469,0))</f>
        <v/>
      </c>
      <c r="M1469">
        <f>IF(D1469="","",IFERROR(INDEX(Classes!$B$2:$B$200,MATCH(D1469,Classes!$E$2:$E$200,0)),""))</f>
        <v/>
      </c>
    </row>
    <row r="1470">
      <c r="J1470">
        <f>IF(OR(H1470="",I1470=""),"",ROUND(100*H1470/I1470,0))</f>
        <v/>
      </c>
      <c r="M1470">
        <f>IF(D1470="","",IFERROR(INDEX(Classes!$B$2:$B$200,MATCH(D1470,Classes!$E$2:$E$200,0)),""))</f>
        <v/>
      </c>
    </row>
    <row r="1471">
      <c r="J1471">
        <f>IF(OR(H1471="",I1471=""),"",ROUND(100*H1471/I1471,0))</f>
        <v/>
      </c>
      <c r="M1471">
        <f>IF(D1471="","",IFERROR(INDEX(Classes!$B$2:$B$200,MATCH(D1471,Classes!$E$2:$E$200,0)),""))</f>
        <v/>
      </c>
    </row>
    <row r="1472">
      <c r="J1472">
        <f>IF(OR(H1472="",I1472=""),"",ROUND(100*H1472/I1472,0))</f>
        <v/>
      </c>
      <c r="M1472">
        <f>IF(D1472="","",IFERROR(INDEX(Classes!$B$2:$B$200,MATCH(D1472,Classes!$E$2:$E$200,0)),""))</f>
        <v/>
      </c>
    </row>
    <row r="1473">
      <c r="J1473">
        <f>IF(OR(H1473="",I1473=""),"",ROUND(100*H1473/I1473,0))</f>
        <v/>
      </c>
      <c r="M1473">
        <f>IF(D1473="","",IFERROR(INDEX(Classes!$B$2:$B$200,MATCH(D1473,Classes!$E$2:$E$200,0)),""))</f>
        <v/>
      </c>
    </row>
    <row r="1474">
      <c r="J1474">
        <f>IF(OR(H1474="",I1474=""),"",ROUND(100*H1474/I1474,0))</f>
        <v/>
      </c>
      <c r="M1474">
        <f>IF(D1474="","",IFERROR(INDEX(Classes!$B$2:$B$200,MATCH(D1474,Classes!$E$2:$E$200,0)),""))</f>
        <v/>
      </c>
    </row>
    <row r="1475">
      <c r="J1475">
        <f>IF(OR(H1475="",I1475=""),"",ROUND(100*H1475/I1475,0))</f>
        <v/>
      </c>
      <c r="M1475">
        <f>IF(D1475="","",IFERROR(INDEX(Classes!$B$2:$B$200,MATCH(D1475,Classes!$E$2:$E$200,0)),""))</f>
        <v/>
      </c>
    </row>
    <row r="1476">
      <c r="J1476">
        <f>IF(OR(H1476="",I1476=""),"",ROUND(100*H1476/I1476,0))</f>
        <v/>
      </c>
      <c r="M1476">
        <f>IF(D1476="","",IFERROR(INDEX(Classes!$B$2:$B$200,MATCH(D1476,Classes!$E$2:$E$200,0)),""))</f>
        <v/>
      </c>
    </row>
    <row r="1477">
      <c r="J1477">
        <f>IF(OR(H1477="",I1477=""),"",ROUND(100*H1477/I1477,0))</f>
        <v/>
      </c>
      <c r="M1477">
        <f>IF(D1477="","",IFERROR(INDEX(Classes!$B$2:$B$200,MATCH(D1477,Classes!$E$2:$E$200,0)),""))</f>
        <v/>
      </c>
    </row>
    <row r="1478">
      <c r="J1478">
        <f>IF(OR(H1478="",I1478=""),"",ROUND(100*H1478/I1478,0))</f>
        <v/>
      </c>
      <c r="M1478">
        <f>IF(D1478="","",IFERROR(INDEX(Classes!$B$2:$B$200,MATCH(D1478,Classes!$E$2:$E$200,0)),""))</f>
        <v/>
      </c>
    </row>
    <row r="1479">
      <c r="J1479">
        <f>IF(OR(H1479="",I1479=""),"",ROUND(100*H1479/I1479,0))</f>
        <v/>
      </c>
      <c r="M1479">
        <f>IF(D1479="","",IFERROR(INDEX(Classes!$B$2:$B$200,MATCH(D1479,Classes!$E$2:$E$200,0)),""))</f>
        <v/>
      </c>
    </row>
    <row r="1480">
      <c r="J1480">
        <f>IF(OR(H1480="",I1480=""),"",ROUND(100*H1480/I1480,0))</f>
        <v/>
      </c>
      <c r="M1480">
        <f>IF(D1480="","",IFERROR(INDEX(Classes!$B$2:$B$200,MATCH(D1480,Classes!$E$2:$E$200,0)),""))</f>
        <v/>
      </c>
    </row>
    <row r="1481">
      <c r="J1481">
        <f>IF(OR(H1481="",I1481=""),"",ROUND(100*H1481/I1481,0))</f>
        <v/>
      </c>
      <c r="M1481">
        <f>IF(D1481="","",IFERROR(INDEX(Classes!$B$2:$B$200,MATCH(D1481,Classes!$E$2:$E$200,0)),""))</f>
        <v/>
      </c>
    </row>
    <row r="1482">
      <c r="J1482">
        <f>IF(OR(H1482="",I1482=""),"",ROUND(100*H1482/I1482,0))</f>
        <v/>
      </c>
      <c r="M1482">
        <f>IF(D1482="","",IFERROR(INDEX(Classes!$B$2:$B$200,MATCH(D1482,Classes!$E$2:$E$200,0)),""))</f>
        <v/>
      </c>
    </row>
    <row r="1483">
      <c r="J1483">
        <f>IF(OR(H1483="",I1483=""),"",ROUND(100*H1483/I1483,0))</f>
        <v/>
      </c>
      <c r="M1483">
        <f>IF(D1483="","",IFERROR(INDEX(Classes!$B$2:$B$200,MATCH(D1483,Classes!$E$2:$E$200,0)),""))</f>
        <v/>
      </c>
    </row>
    <row r="1484">
      <c r="J1484">
        <f>IF(OR(H1484="",I1484=""),"",ROUND(100*H1484/I1484,0))</f>
        <v/>
      </c>
      <c r="M1484">
        <f>IF(D1484="","",IFERROR(INDEX(Classes!$B$2:$B$200,MATCH(D1484,Classes!$E$2:$E$200,0)),""))</f>
        <v/>
      </c>
    </row>
    <row r="1485">
      <c r="J1485">
        <f>IF(OR(H1485="",I1485=""),"",ROUND(100*H1485/I1485,0))</f>
        <v/>
      </c>
      <c r="M1485">
        <f>IF(D1485="","",IFERROR(INDEX(Classes!$B$2:$B$200,MATCH(D1485,Classes!$E$2:$E$200,0)),""))</f>
        <v/>
      </c>
    </row>
    <row r="1486">
      <c r="J1486">
        <f>IF(OR(H1486="",I1486=""),"",ROUND(100*H1486/I1486,0))</f>
        <v/>
      </c>
      <c r="M1486">
        <f>IF(D1486="","",IFERROR(INDEX(Classes!$B$2:$B$200,MATCH(D1486,Classes!$E$2:$E$200,0)),""))</f>
        <v/>
      </c>
    </row>
    <row r="1487">
      <c r="J1487">
        <f>IF(OR(H1487="",I1487=""),"",ROUND(100*H1487/I1487,0))</f>
        <v/>
      </c>
      <c r="M1487">
        <f>IF(D1487="","",IFERROR(INDEX(Classes!$B$2:$B$200,MATCH(D1487,Classes!$E$2:$E$200,0)),""))</f>
        <v/>
      </c>
    </row>
    <row r="1488">
      <c r="J1488">
        <f>IF(OR(H1488="",I1488=""),"",ROUND(100*H1488/I1488,0))</f>
        <v/>
      </c>
      <c r="M1488">
        <f>IF(D1488="","",IFERROR(INDEX(Classes!$B$2:$B$200,MATCH(D1488,Classes!$E$2:$E$200,0)),""))</f>
        <v/>
      </c>
    </row>
    <row r="1489">
      <c r="J1489">
        <f>IF(OR(H1489="",I1489=""),"",ROUND(100*H1489/I1489,0))</f>
        <v/>
      </c>
      <c r="M1489">
        <f>IF(D1489="","",IFERROR(INDEX(Classes!$B$2:$B$200,MATCH(D1489,Classes!$E$2:$E$200,0)),""))</f>
        <v/>
      </c>
    </row>
    <row r="1490">
      <c r="J1490">
        <f>IF(OR(H1490="",I1490=""),"",ROUND(100*H1490/I1490,0))</f>
        <v/>
      </c>
      <c r="M1490">
        <f>IF(D1490="","",IFERROR(INDEX(Classes!$B$2:$B$200,MATCH(D1490,Classes!$E$2:$E$200,0)),""))</f>
        <v/>
      </c>
    </row>
    <row r="1491">
      <c r="J1491">
        <f>IF(OR(H1491="",I1491=""),"",ROUND(100*H1491/I1491,0))</f>
        <v/>
      </c>
      <c r="M1491">
        <f>IF(D1491="","",IFERROR(INDEX(Classes!$B$2:$B$200,MATCH(D1491,Classes!$E$2:$E$200,0)),""))</f>
        <v/>
      </c>
    </row>
    <row r="1492">
      <c r="J1492">
        <f>IF(OR(H1492="",I1492=""),"",ROUND(100*H1492/I1492,0))</f>
        <v/>
      </c>
      <c r="M1492">
        <f>IF(D1492="","",IFERROR(INDEX(Classes!$B$2:$B$200,MATCH(D1492,Classes!$E$2:$E$200,0)),""))</f>
        <v/>
      </c>
    </row>
    <row r="1493">
      <c r="J1493">
        <f>IF(OR(H1493="",I1493=""),"",ROUND(100*H1493/I1493,0))</f>
        <v/>
      </c>
      <c r="M1493">
        <f>IF(D1493="","",IFERROR(INDEX(Classes!$B$2:$B$200,MATCH(D1493,Classes!$E$2:$E$200,0)),""))</f>
        <v/>
      </c>
    </row>
    <row r="1494">
      <c r="J1494">
        <f>IF(OR(H1494="",I1494=""),"",ROUND(100*H1494/I1494,0))</f>
        <v/>
      </c>
      <c r="M1494">
        <f>IF(D1494="","",IFERROR(INDEX(Classes!$B$2:$B$200,MATCH(D1494,Classes!$E$2:$E$200,0)),""))</f>
        <v/>
      </c>
    </row>
    <row r="1495">
      <c r="J1495">
        <f>IF(OR(H1495="",I1495=""),"",ROUND(100*H1495/I1495,0))</f>
        <v/>
      </c>
      <c r="M1495">
        <f>IF(D1495="","",IFERROR(INDEX(Classes!$B$2:$B$200,MATCH(D1495,Classes!$E$2:$E$200,0)),""))</f>
        <v/>
      </c>
    </row>
    <row r="1496">
      <c r="J1496">
        <f>IF(OR(H1496="",I1496=""),"",ROUND(100*H1496/I1496,0))</f>
        <v/>
      </c>
      <c r="M1496">
        <f>IF(D1496="","",IFERROR(INDEX(Classes!$B$2:$B$200,MATCH(D1496,Classes!$E$2:$E$200,0)),""))</f>
        <v/>
      </c>
    </row>
    <row r="1497">
      <c r="J1497">
        <f>IF(OR(H1497="",I1497=""),"",ROUND(100*H1497/I1497,0))</f>
        <v/>
      </c>
      <c r="M1497">
        <f>IF(D1497="","",IFERROR(INDEX(Classes!$B$2:$B$200,MATCH(D1497,Classes!$E$2:$E$200,0)),""))</f>
        <v/>
      </c>
    </row>
    <row r="1498">
      <c r="J1498">
        <f>IF(OR(H1498="",I1498=""),"",ROUND(100*H1498/I1498,0))</f>
        <v/>
      </c>
      <c r="M1498">
        <f>IF(D1498="","",IFERROR(INDEX(Classes!$B$2:$B$200,MATCH(D1498,Classes!$E$2:$E$200,0)),""))</f>
        <v/>
      </c>
    </row>
    <row r="1499">
      <c r="J1499">
        <f>IF(OR(H1499="",I1499=""),"",ROUND(100*H1499/I1499,0))</f>
        <v/>
      </c>
      <c r="M1499">
        <f>IF(D1499="","",IFERROR(INDEX(Classes!$B$2:$B$200,MATCH(D1499,Classes!$E$2:$E$200,0)),""))</f>
        <v/>
      </c>
    </row>
    <row r="1500">
      <c r="J1500">
        <f>IF(OR(H1500="",I1500=""),"",ROUND(100*H1500/I1500,0))</f>
        <v/>
      </c>
      <c r="M1500">
        <f>IF(D1500="","",IFERROR(INDEX(Classes!$B$2:$B$200,MATCH(D1500,Classes!$E$2:$E$200,0)),""))</f>
        <v/>
      </c>
    </row>
    <row r="1501">
      <c r="J1501">
        <f>IF(OR(H1501="",I1501=""),"",ROUND(100*H1501/I1501,0))</f>
        <v/>
      </c>
      <c r="M1501">
        <f>IF(D1501="","",IFERROR(INDEX(Classes!$B$2:$B$200,MATCH(D1501,Classes!$E$2:$E$200,0)),""))</f>
        <v/>
      </c>
    </row>
    <row r="1502">
      <c r="J1502">
        <f>IF(OR(H1502="",I1502=""),"",ROUND(100*H1502/I1502,0))</f>
        <v/>
      </c>
      <c r="M1502">
        <f>IF(D1502="","",IFERROR(INDEX(Classes!$B$2:$B$200,MATCH(D1502,Classes!$E$2:$E$200,0)),""))</f>
        <v/>
      </c>
    </row>
    <row r="1503">
      <c r="J1503">
        <f>IF(OR(H1503="",I1503=""),"",ROUND(100*H1503/I1503,0))</f>
        <v/>
      </c>
      <c r="M1503">
        <f>IF(D1503="","",IFERROR(INDEX(Classes!$B$2:$B$200,MATCH(D1503,Classes!$E$2:$E$200,0)),""))</f>
        <v/>
      </c>
    </row>
    <row r="1504">
      <c r="J1504">
        <f>IF(OR(H1504="",I1504=""),"",ROUND(100*H1504/I1504,0))</f>
        <v/>
      </c>
      <c r="M1504">
        <f>IF(D1504="","",IFERROR(INDEX(Classes!$B$2:$B$200,MATCH(D1504,Classes!$E$2:$E$200,0)),""))</f>
        <v/>
      </c>
    </row>
    <row r="1505">
      <c r="J1505">
        <f>IF(OR(H1505="",I1505=""),"",ROUND(100*H1505/I1505,0))</f>
        <v/>
      </c>
      <c r="M1505">
        <f>IF(D1505="","",IFERROR(INDEX(Classes!$B$2:$B$200,MATCH(D1505,Classes!$E$2:$E$200,0)),""))</f>
        <v/>
      </c>
    </row>
    <row r="1506">
      <c r="J1506">
        <f>IF(OR(H1506="",I1506=""),"",ROUND(100*H1506/I1506,0))</f>
        <v/>
      </c>
      <c r="M1506">
        <f>IF(D1506="","",IFERROR(INDEX(Classes!$B$2:$B$200,MATCH(D1506,Classes!$E$2:$E$200,0)),""))</f>
        <v/>
      </c>
    </row>
    <row r="1507">
      <c r="J1507">
        <f>IF(OR(H1507="",I1507=""),"",ROUND(100*H1507/I1507,0))</f>
        <v/>
      </c>
      <c r="M1507">
        <f>IF(D1507="","",IFERROR(INDEX(Classes!$B$2:$B$200,MATCH(D1507,Classes!$E$2:$E$200,0)),""))</f>
        <v/>
      </c>
    </row>
    <row r="1508">
      <c r="J1508">
        <f>IF(OR(H1508="",I1508=""),"",ROUND(100*H1508/I1508,0))</f>
        <v/>
      </c>
      <c r="M1508">
        <f>IF(D1508="","",IFERROR(INDEX(Classes!$B$2:$B$200,MATCH(D1508,Classes!$E$2:$E$200,0)),""))</f>
        <v/>
      </c>
    </row>
    <row r="1509">
      <c r="J1509">
        <f>IF(OR(H1509="",I1509=""),"",ROUND(100*H1509/I1509,0))</f>
        <v/>
      </c>
      <c r="M1509">
        <f>IF(D1509="","",IFERROR(INDEX(Classes!$B$2:$B$200,MATCH(D1509,Classes!$E$2:$E$200,0)),""))</f>
        <v/>
      </c>
    </row>
    <row r="1510">
      <c r="J1510">
        <f>IF(OR(H1510="",I1510=""),"",ROUND(100*H1510/I1510,0))</f>
        <v/>
      </c>
      <c r="M1510">
        <f>IF(D1510="","",IFERROR(INDEX(Classes!$B$2:$B$200,MATCH(D1510,Classes!$E$2:$E$200,0)),""))</f>
        <v/>
      </c>
    </row>
    <row r="1511">
      <c r="J1511">
        <f>IF(OR(H1511="",I1511=""),"",ROUND(100*H1511/I1511,0))</f>
        <v/>
      </c>
      <c r="M1511">
        <f>IF(D1511="","",IFERROR(INDEX(Classes!$B$2:$B$200,MATCH(D1511,Classes!$E$2:$E$200,0)),""))</f>
        <v/>
      </c>
    </row>
    <row r="1512">
      <c r="J1512">
        <f>IF(OR(H1512="",I1512=""),"",ROUND(100*H1512/I1512,0))</f>
        <v/>
      </c>
      <c r="M1512">
        <f>IF(D1512="","",IFERROR(INDEX(Classes!$B$2:$B$200,MATCH(D1512,Classes!$E$2:$E$200,0)),""))</f>
        <v/>
      </c>
    </row>
    <row r="1513">
      <c r="J1513">
        <f>IF(OR(H1513="",I1513=""),"",ROUND(100*H1513/I1513,0))</f>
        <v/>
      </c>
      <c r="M1513">
        <f>IF(D1513="","",IFERROR(INDEX(Classes!$B$2:$B$200,MATCH(D1513,Classes!$E$2:$E$200,0)),""))</f>
        <v/>
      </c>
    </row>
    <row r="1514">
      <c r="J1514">
        <f>IF(OR(H1514="",I1514=""),"",ROUND(100*H1514/I1514,0))</f>
        <v/>
      </c>
      <c r="M1514">
        <f>IF(D1514="","",IFERROR(INDEX(Classes!$B$2:$B$200,MATCH(D1514,Classes!$E$2:$E$200,0)),""))</f>
        <v/>
      </c>
    </row>
    <row r="1515">
      <c r="J1515">
        <f>IF(OR(H1515="",I1515=""),"",ROUND(100*H1515/I1515,0))</f>
        <v/>
      </c>
      <c r="M1515">
        <f>IF(D1515="","",IFERROR(INDEX(Classes!$B$2:$B$200,MATCH(D1515,Classes!$E$2:$E$200,0)),""))</f>
        <v/>
      </c>
    </row>
    <row r="1516">
      <c r="J1516">
        <f>IF(OR(H1516="",I1516=""),"",ROUND(100*H1516/I1516,0))</f>
        <v/>
      </c>
      <c r="M1516">
        <f>IF(D1516="","",IFERROR(INDEX(Classes!$B$2:$B$200,MATCH(D1516,Classes!$E$2:$E$200,0)),""))</f>
        <v/>
      </c>
    </row>
    <row r="1517">
      <c r="J1517">
        <f>IF(OR(H1517="",I1517=""),"",ROUND(100*H1517/I1517,0))</f>
        <v/>
      </c>
      <c r="M1517">
        <f>IF(D1517="","",IFERROR(INDEX(Classes!$B$2:$B$200,MATCH(D1517,Classes!$E$2:$E$200,0)),""))</f>
        <v/>
      </c>
    </row>
    <row r="1518">
      <c r="J1518">
        <f>IF(OR(H1518="",I1518=""),"",ROUND(100*H1518/I1518,0))</f>
        <v/>
      </c>
      <c r="M1518">
        <f>IF(D1518="","",IFERROR(INDEX(Classes!$B$2:$B$200,MATCH(D1518,Classes!$E$2:$E$200,0)),""))</f>
        <v/>
      </c>
    </row>
    <row r="1519">
      <c r="J1519">
        <f>IF(OR(H1519="",I1519=""),"",ROUND(100*H1519/I1519,0))</f>
        <v/>
      </c>
      <c r="M1519">
        <f>IF(D1519="","",IFERROR(INDEX(Classes!$B$2:$B$200,MATCH(D1519,Classes!$E$2:$E$200,0)),""))</f>
        <v/>
      </c>
    </row>
    <row r="1520">
      <c r="J1520">
        <f>IF(OR(H1520="",I1520=""),"",ROUND(100*H1520/I1520,0))</f>
        <v/>
      </c>
      <c r="M1520">
        <f>IF(D1520="","",IFERROR(INDEX(Classes!$B$2:$B$200,MATCH(D1520,Classes!$E$2:$E$200,0)),""))</f>
        <v/>
      </c>
    </row>
    <row r="1521">
      <c r="J1521">
        <f>IF(OR(H1521="",I1521=""),"",ROUND(100*H1521/I1521,0))</f>
        <v/>
      </c>
      <c r="M1521">
        <f>IF(D1521="","",IFERROR(INDEX(Classes!$B$2:$B$200,MATCH(D1521,Classes!$E$2:$E$200,0)),""))</f>
        <v/>
      </c>
    </row>
    <row r="1522">
      <c r="J1522">
        <f>IF(OR(H1522="",I1522=""),"",ROUND(100*H1522/I1522,0))</f>
        <v/>
      </c>
      <c r="M1522">
        <f>IF(D1522="","",IFERROR(INDEX(Classes!$B$2:$B$200,MATCH(D1522,Classes!$E$2:$E$200,0)),""))</f>
        <v/>
      </c>
    </row>
    <row r="1523">
      <c r="J1523">
        <f>IF(OR(H1523="",I1523=""),"",ROUND(100*H1523/I1523,0))</f>
        <v/>
      </c>
      <c r="M1523">
        <f>IF(D1523="","",IFERROR(INDEX(Classes!$B$2:$B$200,MATCH(D1523,Classes!$E$2:$E$200,0)),""))</f>
        <v/>
      </c>
    </row>
    <row r="1524">
      <c r="J1524">
        <f>IF(OR(H1524="",I1524=""),"",ROUND(100*H1524/I1524,0))</f>
        <v/>
      </c>
      <c r="M1524">
        <f>IF(D1524="","",IFERROR(INDEX(Classes!$B$2:$B$200,MATCH(D1524,Classes!$E$2:$E$200,0)),""))</f>
        <v/>
      </c>
    </row>
    <row r="1525">
      <c r="J1525">
        <f>IF(OR(H1525="",I1525=""),"",ROUND(100*H1525/I1525,0))</f>
        <v/>
      </c>
      <c r="M1525">
        <f>IF(D1525="","",IFERROR(INDEX(Classes!$B$2:$B$200,MATCH(D1525,Classes!$E$2:$E$200,0)),""))</f>
        <v/>
      </c>
    </row>
    <row r="1526">
      <c r="J1526">
        <f>IF(OR(H1526="",I1526=""),"",ROUND(100*H1526/I1526,0))</f>
        <v/>
      </c>
      <c r="M1526">
        <f>IF(D1526="","",IFERROR(INDEX(Classes!$B$2:$B$200,MATCH(D1526,Classes!$E$2:$E$200,0)),""))</f>
        <v/>
      </c>
    </row>
    <row r="1527">
      <c r="J1527">
        <f>IF(OR(H1527="",I1527=""),"",ROUND(100*H1527/I1527,0))</f>
        <v/>
      </c>
      <c r="M1527">
        <f>IF(D1527="","",IFERROR(INDEX(Classes!$B$2:$B$200,MATCH(D1527,Classes!$E$2:$E$200,0)),""))</f>
        <v/>
      </c>
    </row>
    <row r="1528">
      <c r="J1528">
        <f>IF(OR(H1528="",I1528=""),"",ROUND(100*H1528/I1528,0))</f>
        <v/>
      </c>
      <c r="M1528">
        <f>IF(D1528="","",IFERROR(INDEX(Classes!$B$2:$B$200,MATCH(D1528,Classes!$E$2:$E$200,0)),""))</f>
        <v/>
      </c>
    </row>
    <row r="1529">
      <c r="J1529">
        <f>IF(OR(H1529="",I1529=""),"",ROUND(100*H1529/I1529,0))</f>
        <v/>
      </c>
      <c r="M1529">
        <f>IF(D1529="","",IFERROR(INDEX(Classes!$B$2:$B$200,MATCH(D1529,Classes!$E$2:$E$200,0)),""))</f>
        <v/>
      </c>
    </row>
    <row r="1530">
      <c r="J1530">
        <f>IF(OR(H1530="",I1530=""),"",ROUND(100*H1530/I1530,0))</f>
        <v/>
      </c>
      <c r="M1530">
        <f>IF(D1530="","",IFERROR(INDEX(Classes!$B$2:$B$200,MATCH(D1530,Classes!$E$2:$E$200,0)),""))</f>
        <v/>
      </c>
    </row>
    <row r="1531">
      <c r="J1531">
        <f>IF(OR(H1531="",I1531=""),"",ROUND(100*H1531/I1531,0))</f>
        <v/>
      </c>
      <c r="M1531">
        <f>IF(D1531="","",IFERROR(INDEX(Classes!$B$2:$B$200,MATCH(D1531,Classes!$E$2:$E$200,0)),""))</f>
        <v/>
      </c>
    </row>
    <row r="1532">
      <c r="J1532">
        <f>IF(OR(H1532="",I1532=""),"",ROUND(100*H1532/I1532,0))</f>
        <v/>
      </c>
      <c r="M1532">
        <f>IF(D1532="","",IFERROR(INDEX(Classes!$B$2:$B$200,MATCH(D1532,Classes!$E$2:$E$200,0)),""))</f>
        <v/>
      </c>
    </row>
    <row r="1533">
      <c r="J1533">
        <f>IF(OR(H1533="",I1533=""),"",ROUND(100*H1533/I1533,0))</f>
        <v/>
      </c>
      <c r="M1533">
        <f>IF(D1533="","",IFERROR(INDEX(Classes!$B$2:$B$200,MATCH(D1533,Classes!$E$2:$E$200,0)),""))</f>
        <v/>
      </c>
    </row>
    <row r="1534">
      <c r="J1534">
        <f>IF(OR(H1534="",I1534=""),"",ROUND(100*H1534/I1534,0))</f>
        <v/>
      </c>
      <c r="M1534">
        <f>IF(D1534="","",IFERROR(INDEX(Classes!$B$2:$B$200,MATCH(D1534,Classes!$E$2:$E$200,0)),""))</f>
        <v/>
      </c>
    </row>
    <row r="1535">
      <c r="J1535">
        <f>IF(OR(H1535="",I1535=""),"",ROUND(100*H1535/I1535,0))</f>
        <v/>
      </c>
      <c r="M1535">
        <f>IF(D1535="","",IFERROR(INDEX(Classes!$B$2:$B$200,MATCH(D1535,Classes!$E$2:$E$200,0)),""))</f>
        <v/>
      </c>
    </row>
    <row r="1536">
      <c r="J1536">
        <f>IF(OR(H1536="",I1536=""),"",ROUND(100*H1536/I1536,0))</f>
        <v/>
      </c>
      <c r="M1536">
        <f>IF(D1536="","",IFERROR(INDEX(Classes!$B$2:$B$200,MATCH(D1536,Classes!$E$2:$E$200,0)),""))</f>
        <v/>
      </c>
    </row>
    <row r="1537">
      <c r="J1537">
        <f>IF(OR(H1537="",I1537=""),"",ROUND(100*H1537/I1537,0))</f>
        <v/>
      </c>
      <c r="M1537">
        <f>IF(D1537="","",IFERROR(INDEX(Classes!$B$2:$B$200,MATCH(D1537,Classes!$E$2:$E$200,0)),""))</f>
        <v/>
      </c>
    </row>
    <row r="1538">
      <c r="J1538">
        <f>IF(OR(H1538="",I1538=""),"",ROUND(100*H1538/I1538,0))</f>
        <v/>
      </c>
      <c r="M1538">
        <f>IF(D1538="","",IFERROR(INDEX(Classes!$B$2:$B$200,MATCH(D1538,Classes!$E$2:$E$200,0)),""))</f>
        <v/>
      </c>
    </row>
    <row r="1539">
      <c r="J1539">
        <f>IF(OR(H1539="",I1539=""),"",ROUND(100*H1539/I1539,0))</f>
        <v/>
      </c>
      <c r="M1539">
        <f>IF(D1539="","",IFERROR(INDEX(Classes!$B$2:$B$200,MATCH(D1539,Classes!$E$2:$E$200,0)),""))</f>
        <v/>
      </c>
    </row>
    <row r="1540">
      <c r="J1540">
        <f>IF(OR(H1540="",I1540=""),"",ROUND(100*H1540/I1540,0))</f>
        <v/>
      </c>
      <c r="M1540">
        <f>IF(D1540="","",IFERROR(INDEX(Classes!$B$2:$B$200,MATCH(D1540,Classes!$E$2:$E$200,0)),""))</f>
        <v/>
      </c>
    </row>
    <row r="1541">
      <c r="J1541">
        <f>IF(OR(H1541="",I1541=""),"",ROUND(100*H1541/I1541,0))</f>
        <v/>
      </c>
      <c r="M1541">
        <f>IF(D1541="","",IFERROR(INDEX(Classes!$B$2:$B$200,MATCH(D1541,Classes!$E$2:$E$200,0)),""))</f>
        <v/>
      </c>
    </row>
    <row r="1542">
      <c r="J1542">
        <f>IF(OR(H1542="",I1542=""),"",ROUND(100*H1542/I1542,0))</f>
        <v/>
      </c>
      <c r="M1542">
        <f>IF(D1542="","",IFERROR(INDEX(Classes!$B$2:$B$200,MATCH(D1542,Classes!$E$2:$E$200,0)),""))</f>
        <v/>
      </c>
    </row>
    <row r="1543">
      <c r="J1543">
        <f>IF(OR(H1543="",I1543=""),"",ROUND(100*H1543/I1543,0))</f>
        <v/>
      </c>
      <c r="M1543">
        <f>IF(D1543="","",IFERROR(INDEX(Classes!$B$2:$B$200,MATCH(D1543,Classes!$E$2:$E$200,0)),""))</f>
        <v/>
      </c>
    </row>
    <row r="1544">
      <c r="J1544">
        <f>IF(OR(H1544="",I1544=""),"",ROUND(100*H1544/I1544,0))</f>
        <v/>
      </c>
      <c r="M1544">
        <f>IF(D1544="","",IFERROR(INDEX(Classes!$B$2:$B$200,MATCH(D1544,Classes!$E$2:$E$200,0)),""))</f>
        <v/>
      </c>
    </row>
    <row r="1545">
      <c r="J1545">
        <f>IF(OR(H1545="",I1545=""),"",ROUND(100*H1545/I1545,0))</f>
        <v/>
      </c>
      <c r="M1545">
        <f>IF(D1545="","",IFERROR(INDEX(Classes!$B$2:$B$200,MATCH(D1545,Classes!$E$2:$E$200,0)),""))</f>
        <v/>
      </c>
    </row>
    <row r="1546">
      <c r="J1546">
        <f>IF(OR(H1546="",I1546=""),"",ROUND(100*H1546/I1546,0))</f>
        <v/>
      </c>
      <c r="M1546">
        <f>IF(D1546="","",IFERROR(INDEX(Classes!$B$2:$B$200,MATCH(D1546,Classes!$E$2:$E$200,0)),""))</f>
        <v/>
      </c>
    </row>
    <row r="1547">
      <c r="J1547">
        <f>IF(OR(H1547="",I1547=""),"",ROUND(100*H1547/I1547,0))</f>
        <v/>
      </c>
      <c r="M1547">
        <f>IF(D1547="","",IFERROR(INDEX(Classes!$B$2:$B$200,MATCH(D1547,Classes!$E$2:$E$200,0)),""))</f>
        <v/>
      </c>
    </row>
    <row r="1548">
      <c r="J1548">
        <f>IF(OR(H1548="",I1548=""),"",ROUND(100*H1548/I1548,0))</f>
        <v/>
      </c>
      <c r="M1548">
        <f>IF(D1548="","",IFERROR(INDEX(Classes!$B$2:$B$200,MATCH(D1548,Classes!$E$2:$E$200,0)),""))</f>
        <v/>
      </c>
    </row>
    <row r="1549">
      <c r="J1549">
        <f>IF(OR(H1549="",I1549=""),"",ROUND(100*H1549/I1549,0))</f>
        <v/>
      </c>
      <c r="M1549">
        <f>IF(D1549="","",IFERROR(INDEX(Classes!$B$2:$B$200,MATCH(D1549,Classes!$E$2:$E$200,0)),""))</f>
        <v/>
      </c>
    </row>
    <row r="1550">
      <c r="J1550">
        <f>IF(OR(H1550="",I1550=""),"",ROUND(100*H1550/I1550,0))</f>
        <v/>
      </c>
      <c r="M1550">
        <f>IF(D1550="","",IFERROR(INDEX(Classes!$B$2:$B$200,MATCH(D1550,Classes!$E$2:$E$200,0)),""))</f>
        <v/>
      </c>
    </row>
    <row r="1551">
      <c r="J1551">
        <f>IF(OR(H1551="",I1551=""),"",ROUND(100*H1551/I1551,0))</f>
        <v/>
      </c>
      <c r="M1551">
        <f>IF(D1551="","",IFERROR(INDEX(Classes!$B$2:$B$200,MATCH(D1551,Classes!$E$2:$E$200,0)),""))</f>
        <v/>
      </c>
    </row>
    <row r="1552">
      <c r="J1552">
        <f>IF(OR(H1552="",I1552=""),"",ROUND(100*H1552/I1552,0))</f>
        <v/>
      </c>
      <c r="M1552">
        <f>IF(D1552="","",IFERROR(INDEX(Classes!$B$2:$B$200,MATCH(D1552,Classes!$E$2:$E$200,0)),""))</f>
        <v/>
      </c>
    </row>
    <row r="1553">
      <c r="J1553">
        <f>IF(OR(H1553="",I1553=""),"",ROUND(100*H1553/I1553,0))</f>
        <v/>
      </c>
      <c r="M1553">
        <f>IF(D1553="","",IFERROR(INDEX(Classes!$B$2:$B$200,MATCH(D1553,Classes!$E$2:$E$200,0)),""))</f>
        <v/>
      </c>
    </row>
    <row r="1554">
      <c r="J1554">
        <f>IF(OR(H1554="",I1554=""),"",ROUND(100*H1554/I1554,0))</f>
        <v/>
      </c>
      <c r="M1554">
        <f>IF(D1554="","",IFERROR(INDEX(Classes!$B$2:$B$200,MATCH(D1554,Classes!$E$2:$E$200,0)),""))</f>
        <v/>
      </c>
    </row>
    <row r="1555">
      <c r="J1555">
        <f>IF(OR(H1555="",I1555=""),"",ROUND(100*H1555/I1555,0))</f>
        <v/>
      </c>
      <c r="M1555">
        <f>IF(D1555="","",IFERROR(INDEX(Classes!$B$2:$B$200,MATCH(D1555,Classes!$E$2:$E$200,0)),""))</f>
        <v/>
      </c>
    </row>
    <row r="1556">
      <c r="J1556">
        <f>IF(OR(H1556="",I1556=""),"",ROUND(100*H1556/I1556,0))</f>
        <v/>
      </c>
      <c r="M1556">
        <f>IF(D1556="","",IFERROR(INDEX(Classes!$B$2:$B$200,MATCH(D1556,Classes!$E$2:$E$200,0)),""))</f>
        <v/>
      </c>
    </row>
    <row r="1557">
      <c r="J1557">
        <f>IF(OR(H1557="",I1557=""),"",ROUND(100*H1557/I1557,0))</f>
        <v/>
      </c>
      <c r="M1557">
        <f>IF(D1557="","",IFERROR(INDEX(Classes!$B$2:$B$200,MATCH(D1557,Classes!$E$2:$E$200,0)),""))</f>
        <v/>
      </c>
    </row>
    <row r="1558">
      <c r="J1558">
        <f>IF(OR(H1558="",I1558=""),"",ROUND(100*H1558/I1558,0))</f>
        <v/>
      </c>
      <c r="M1558">
        <f>IF(D1558="","",IFERROR(INDEX(Classes!$B$2:$B$200,MATCH(D1558,Classes!$E$2:$E$200,0)),""))</f>
        <v/>
      </c>
    </row>
    <row r="1559">
      <c r="J1559">
        <f>IF(OR(H1559="",I1559=""),"",ROUND(100*H1559/I1559,0))</f>
        <v/>
      </c>
      <c r="M1559">
        <f>IF(D1559="","",IFERROR(INDEX(Classes!$B$2:$B$200,MATCH(D1559,Classes!$E$2:$E$200,0)),""))</f>
        <v/>
      </c>
    </row>
    <row r="1560">
      <c r="J1560">
        <f>IF(OR(H1560="",I1560=""),"",ROUND(100*H1560/I1560,0))</f>
        <v/>
      </c>
      <c r="M1560">
        <f>IF(D1560="","",IFERROR(INDEX(Classes!$B$2:$B$200,MATCH(D1560,Classes!$E$2:$E$200,0)),""))</f>
        <v/>
      </c>
    </row>
    <row r="1561">
      <c r="J1561">
        <f>IF(OR(H1561="",I1561=""),"",ROUND(100*H1561/I1561,0))</f>
        <v/>
      </c>
      <c r="M1561">
        <f>IF(D1561="","",IFERROR(INDEX(Classes!$B$2:$B$200,MATCH(D1561,Classes!$E$2:$E$200,0)),""))</f>
        <v/>
      </c>
    </row>
    <row r="1562">
      <c r="J1562">
        <f>IF(OR(H1562="",I1562=""),"",ROUND(100*H1562/I1562,0))</f>
        <v/>
      </c>
      <c r="M1562">
        <f>IF(D1562="","",IFERROR(INDEX(Classes!$B$2:$B$200,MATCH(D1562,Classes!$E$2:$E$200,0)),""))</f>
        <v/>
      </c>
    </row>
    <row r="1563">
      <c r="J1563">
        <f>IF(OR(H1563="",I1563=""),"",ROUND(100*H1563/I1563,0))</f>
        <v/>
      </c>
      <c r="M1563">
        <f>IF(D1563="","",IFERROR(INDEX(Classes!$B$2:$B$200,MATCH(D1563,Classes!$E$2:$E$200,0)),""))</f>
        <v/>
      </c>
    </row>
    <row r="1564">
      <c r="J1564">
        <f>IF(OR(H1564="",I1564=""),"",ROUND(100*H1564/I1564,0))</f>
        <v/>
      </c>
      <c r="M1564">
        <f>IF(D1564="","",IFERROR(INDEX(Classes!$B$2:$B$200,MATCH(D1564,Classes!$E$2:$E$200,0)),""))</f>
        <v/>
      </c>
    </row>
    <row r="1565">
      <c r="J1565">
        <f>IF(OR(H1565="",I1565=""),"",ROUND(100*H1565/I1565,0))</f>
        <v/>
      </c>
      <c r="M1565">
        <f>IF(D1565="","",IFERROR(INDEX(Classes!$B$2:$B$200,MATCH(D1565,Classes!$E$2:$E$200,0)),""))</f>
        <v/>
      </c>
    </row>
    <row r="1566">
      <c r="J1566">
        <f>IF(OR(H1566="",I1566=""),"",ROUND(100*H1566/I1566,0))</f>
        <v/>
      </c>
      <c r="M1566">
        <f>IF(D1566="","",IFERROR(INDEX(Classes!$B$2:$B$200,MATCH(D1566,Classes!$E$2:$E$200,0)),""))</f>
        <v/>
      </c>
    </row>
    <row r="1567">
      <c r="J1567">
        <f>IF(OR(H1567="",I1567=""),"",ROUND(100*H1567/I1567,0))</f>
        <v/>
      </c>
      <c r="M1567">
        <f>IF(D1567="","",IFERROR(INDEX(Classes!$B$2:$B$200,MATCH(D1567,Classes!$E$2:$E$200,0)),""))</f>
        <v/>
      </c>
    </row>
    <row r="1568">
      <c r="J1568">
        <f>IF(OR(H1568="",I1568=""),"",ROUND(100*H1568/I1568,0))</f>
        <v/>
      </c>
      <c r="M1568">
        <f>IF(D1568="","",IFERROR(INDEX(Classes!$B$2:$B$200,MATCH(D1568,Classes!$E$2:$E$200,0)),""))</f>
        <v/>
      </c>
    </row>
    <row r="1569">
      <c r="J1569">
        <f>IF(OR(H1569="",I1569=""),"",ROUND(100*H1569/I1569,0))</f>
        <v/>
      </c>
      <c r="M1569">
        <f>IF(D1569="","",IFERROR(INDEX(Classes!$B$2:$B$200,MATCH(D1569,Classes!$E$2:$E$200,0)),""))</f>
        <v/>
      </c>
    </row>
    <row r="1570">
      <c r="J1570">
        <f>IF(OR(H1570="",I1570=""),"",ROUND(100*H1570/I1570,0))</f>
        <v/>
      </c>
      <c r="M1570">
        <f>IF(D1570="","",IFERROR(INDEX(Classes!$B$2:$B$200,MATCH(D1570,Classes!$E$2:$E$200,0)),""))</f>
        <v/>
      </c>
    </row>
    <row r="1571">
      <c r="J1571">
        <f>IF(OR(H1571="",I1571=""),"",ROUND(100*H1571/I1571,0))</f>
        <v/>
      </c>
      <c r="M1571">
        <f>IF(D1571="","",IFERROR(INDEX(Classes!$B$2:$B$200,MATCH(D1571,Classes!$E$2:$E$200,0)),""))</f>
        <v/>
      </c>
    </row>
    <row r="1572">
      <c r="J1572">
        <f>IF(OR(H1572="",I1572=""),"",ROUND(100*H1572/I1572,0))</f>
        <v/>
      </c>
      <c r="M1572">
        <f>IF(D1572="","",IFERROR(INDEX(Classes!$B$2:$B$200,MATCH(D1572,Classes!$E$2:$E$200,0)),""))</f>
        <v/>
      </c>
    </row>
    <row r="1573">
      <c r="J1573">
        <f>IF(OR(H1573="",I1573=""),"",ROUND(100*H1573/I1573,0))</f>
        <v/>
      </c>
      <c r="M1573">
        <f>IF(D1573="","",IFERROR(INDEX(Classes!$B$2:$B$200,MATCH(D1573,Classes!$E$2:$E$200,0)),""))</f>
        <v/>
      </c>
    </row>
    <row r="1574">
      <c r="J1574">
        <f>IF(OR(H1574="",I1574=""),"",ROUND(100*H1574/I1574,0))</f>
        <v/>
      </c>
      <c r="M1574">
        <f>IF(D1574="","",IFERROR(INDEX(Classes!$B$2:$B$200,MATCH(D1574,Classes!$E$2:$E$200,0)),""))</f>
        <v/>
      </c>
    </row>
    <row r="1575">
      <c r="J1575">
        <f>IF(OR(H1575="",I1575=""),"",ROUND(100*H1575/I1575,0))</f>
        <v/>
      </c>
      <c r="M1575">
        <f>IF(D1575="","",IFERROR(INDEX(Classes!$B$2:$B$200,MATCH(D1575,Classes!$E$2:$E$200,0)),""))</f>
        <v/>
      </c>
    </row>
    <row r="1576">
      <c r="J1576">
        <f>IF(OR(H1576="",I1576=""),"",ROUND(100*H1576/I1576,0))</f>
        <v/>
      </c>
      <c r="M1576">
        <f>IF(D1576="","",IFERROR(INDEX(Classes!$B$2:$B$200,MATCH(D1576,Classes!$E$2:$E$200,0)),""))</f>
        <v/>
      </c>
    </row>
    <row r="1577">
      <c r="J1577">
        <f>IF(OR(H1577="",I1577=""),"",ROUND(100*H1577/I1577,0))</f>
        <v/>
      </c>
      <c r="M1577">
        <f>IF(D1577="","",IFERROR(INDEX(Classes!$B$2:$B$200,MATCH(D1577,Classes!$E$2:$E$200,0)),""))</f>
        <v/>
      </c>
    </row>
    <row r="1578">
      <c r="J1578">
        <f>IF(OR(H1578="",I1578=""),"",ROUND(100*H1578/I1578,0))</f>
        <v/>
      </c>
      <c r="M1578">
        <f>IF(D1578="","",IFERROR(INDEX(Classes!$B$2:$B$200,MATCH(D1578,Classes!$E$2:$E$200,0)),""))</f>
        <v/>
      </c>
    </row>
    <row r="1579">
      <c r="J1579">
        <f>IF(OR(H1579="",I1579=""),"",ROUND(100*H1579/I1579,0))</f>
        <v/>
      </c>
      <c r="M1579">
        <f>IF(D1579="","",IFERROR(INDEX(Classes!$B$2:$B$200,MATCH(D1579,Classes!$E$2:$E$200,0)),""))</f>
        <v/>
      </c>
    </row>
    <row r="1580">
      <c r="J1580">
        <f>IF(OR(H1580="",I1580=""),"",ROUND(100*H1580/I1580,0))</f>
        <v/>
      </c>
      <c r="M1580">
        <f>IF(D1580="","",IFERROR(INDEX(Classes!$B$2:$B$200,MATCH(D1580,Classes!$E$2:$E$200,0)),""))</f>
        <v/>
      </c>
    </row>
    <row r="1581">
      <c r="J1581">
        <f>IF(OR(H1581="",I1581=""),"",ROUND(100*H1581/I1581,0))</f>
        <v/>
      </c>
      <c r="M1581">
        <f>IF(D1581="","",IFERROR(INDEX(Classes!$B$2:$B$200,MATCH(D1581,Classes!$E$2:$E$200,0)),""))</f>
        <v/>
      </c>
    </row>
    <row r="1582">
      <c r="J1582">
        <f>IF(OR(H1582="",I1582=""),"",ROUND(100*H1582/I1582,0))</f>
        <v/>
      </c>
      <c r="M1582">
        <f>IF(D1582="","",IFERROR(INDEX(Classes!$B$2:$B$200,MATCH(D1582,Classes!$E$2:$E$200,0)),""))</f>
        <v/>
      </c>
    </row>
    <row r="1583">
      <c r="J1583">
        <f>IF(OR(H1583="",I1583=""),"",ROUND(100*H1583/I1583,0))</f>
        <v/>
      </c>
      <c r="M1583">
        <f>IF(D1583="","",IFERROR(INDEX(Classes!$B$2:$B$200,MATCH(D1583,Classes!$E$2:$E$200,0)),""))</f>
        <v/>
      </c>
    </row>
    <row r="1584">
      <c r="J1584">
        <f>IF(OR(H1584="",I1584=""),"",ROUND(100*H1584/I1584,0))</f>
        <v/>
      </c>
      <c r="M1584">
        <f>IF(D1584="","",IFERROR(INDEX(Classes!$B$2:$B$200,MATCH(D1584,Classes!$E$2:$E$200,0)),""))</f>
        <v/>
      </c>
    </row>
    <row r="1585">
      <c r="J1585">
        <f>IF(OR(H1585="",I1585=""),"",ROUND(100*H1585/I1585,0))</f>
        <v/>
      </c>
      <c r="M1585">
        <f>IF(D1585="","",IFERROR(INDEX(Classes!$B$2:$B$200,MATCH(D1585,Classes!$E$2:$E$200,0)),""))</f>
        <v/>
      </c>
    </row>
    <row r="1586">
      <c r="J1586">
        <f>IF(OR(H1586="",I1586=""),"",ROUND(100*H1586/I1586,0))</f>
        <v/>
      </c>
      <c r="M1586">
        <f>IF(D1586="","",IFERROR(INDEX(Classes!$B$2:$B$200,MATCH(D1586,Classes!$E$2:$E$200,0)),""))</f>
        <v/>
      </c>
    </row>
    <row r="1587">
      <c r="J1587">
        <f>IF(OR(H1587="",I1587=""),"",ROUND(100*H1587/I1587,0))</f>
        <v/>
      </c>
      <c r="M1587">
        <f>IF(D1587="","",IFERROR(INDEX(Classes!$B$2:$B$200,MATCH(D1587,Classes!$E$2:$E$200,0)),""))</f>
        <v/>
      </c>
    </row>
    <row r="1588">
      <c r="J1588">
        <f>IF(OR(H1588="",I1588=""),"",ROUND(100*H1588/I1588,0))</f>
        <v/>
      </c>
      <c r="M1588">
        <f>IF(D1588="","",IFERROR(INDEX(Classes!$B$2:$B$200,MATCH(D1588,Classes!$E$2:$E$200,0)),""))</f>
        <v/>
      </c>
    </row>
    <row r="1589">
      <c r="J1589">
        <f>IF(OR(H1589="",I1589=""),"",ROUND(100*H1589/I1589,0))</f>
        <v/>
      </c>
      <c r="M1589">
        <f>IF(D1589="","",IFERROR(INDEX(Classes!$B$2:$B$200,MATCH(D1589,Classes!$E$2:$E$200,0)),""))</f>
        <v/>
      </c>
    </row>
    <row r="1590">
      <c r="J1590">
        <f>IF(OR(H1590="",I1590=""),"",ROUND(100*H1590/I1590,0))</f>
        <v/>
      </c>
      <c r="M1590">
        <f>IF(D1590="","",IFERROR(INDEX(Classes!$B$2:$B$200,MATCH(D1590,Classes!$E$2:$E$200,0)),""))</f>
        <v/>
      </c>
    </row>
    <row r="1591">
      <c r="J1591">
        <f>IF(OR(H1591="",I1591=""),"",ROUND(100*H1591/I1591,0))</f>
        <v/>
      </c>
      <c r="M1591">
        <f>IF(D1591="","",IFERROR(INDEX(Classes!$B$2:$B$200,MATCH(D1591,Classes!$E$2:$E$200,0)),""))</f>
        <v/>
      </c>
    </row>
    <row r="1592">
      <c r="J1592">
        <f>IF(OR(H1592="",I1592=""),"",ROUND(100*H1592/I1592,0))</f>
        <v/>
      </c>
      <c r="M1592">
        <f>IF(D1592="","",IFERROR(INDEX(Classes!$B$2:$B$200,MATCH(D1592,Classes!$E$2:$E$200,0)),""))</f>
        <v/>
      </c>
    </row>
    <row r="1593">
      <c r="J1593">
        <f>IF(OR(H1593="",I1593=""),"",ROUND(100*H1593/I1593,0))</f>
        <v/>
      </c>
      <c r="M1593">
        <f>IF(D1593="","",IFERROR(INDEX(Classes!$B$2:$B$200,MATCH(D1593,Classes!$E$2:$E$200,0)),""))</f>
        <v/>
      </c>
    </row>
    <row r="1594">
      <c r="J1594">
        <f>IF(OR(H1594="",I1594=""),"",ROUND(100*H1594/I1594,0))</f>
        <v/>
      </c>
      <c r="M1594">
        <f>IF(D1594="","",IFERROR(INDEX(Classes!$B$2:$B$200,MATCH(D1594,Classes!$E$2:$E$200,0)),""))</f>
        <v/>
      </c>
    </row>
    <row r="1595">
      <c r="J1595">
        <f>IF(OR(H1595="",I1595=""),"",ROUND(100*H1595/I1595,0))</f>
        <v/>
      </c>
      <c r="M1595">
        <f>IF(D1595="","",IFERROR(INDEX(Classes!$B$2:$B$200,MATCH(D1595,Classes!$E$2:$E$200,0)),""))</f>
        <v/>
      </c>
    </row>
    <row r="1596">
      <c r="J1596">
        <f>IF(OR(H1596="",I1596=""),"",ROUND(100*H1596/I1596,0))</f>
        <v/>
      </c>
      <c r="M1596">
        <f>IF(D1596="","",IFERROR(INDEX(Classes!$B$2:$B$200,MATCH(D1596,Classes!$E$2:$E$200,0)),""))</f>
        <v/>
      </c>
    </row>
    <row r="1597">
      <c r="J1597">
        <f>IF(OR(H1597="",I1597=""),"",ROUND(100*H1597/I1597,0))</f>
        <v/>
      </c>
      <c r="M1597">
        <f>IF(D1597="","",IFERROR(INDEX(Classes!$B$2:$B$200,MATCH(D1597,Classes!$E$2:$E$200,0)),""))</f>
        <v/>
      </c>
    </row>
    <row r="1598">
      <c r="J1598">
        <f>IF(OR(H1598="",I1598=""),"",ROUND(100*H1598/I1598,0))</f>
        <v/>
      </c>
      <c r="M1598">
        <f>IF(D1598="","",IFERROR(INDEX(Classes!$B$2:$B$200,MATCH(D1598,Classes!$E$2:$E$200,0)),""))</f>
        <v/>
      </c>
    </row>
    <row r="1599">
      <c r="J1599">
        <f>IF(OR(H1599="",I1599=""),"",ROUND(100*H1599/I1599,0))</f>
        <v/>
      </c>
      <c r="M1599">
        <f>IF(D1599="","",IFERROR(INDEX(Classes!$B$2:$B$200,MATCH(D1599,Classes!$E$2:$E$200,0)),""))</f>
        <v/>
      </c>
    </row>
    <row r="1600">
      <c r="J1600">
        <f>IF(OR(H1600="",I1600=""),"",ROUND(100*H1600/I1600,0))</f>
        <v/>
      </c>
      <c r="M1600">
        <f>IF(D1600="","",IFERROR(INDEX(Classes!$B$2:$B$200,MATCH(D1600,Classes!$E$2:$E$200,0)),""))</f>
        <v/>
      </c>
    </row>
    <row r="1601">
      <c r="J1601">
        <f>IF(OR(H1601="",I1601=""),"",ROUND(100*H1601/I1601,0))</f>
        <v/>
      </c>
      <c r="M1601">
        <f>IF(D1601="","",IFERROR(INDEX(Classes!$B$2:$B$200,MATCH(D1601,Classes!$E$2:$E$200,0)),""))</f>
        <v/>
      </c>
    </row>
    <row r="1602">
      <c r="J1602">
        <f>IF(OR(H1602="",I1602=""),"",ROUND(100*H1602/I1602,0))</f>
        <v/>
      </c>
      <c r="M1602">
        <f>IF(D1602="","",IFERROR(INDEX(Classes!$B$2:$B$200,MATCH(D1602,Classes!$E$2:$E$200,0)),""))</f>
        <v/>
      </c>
    </row>
    <row r="1603">
      <c r="J1603">
        <f>IF(OR(H1603="",I1603=""),"",ROUND(100*H1603/I1603,0))</f>
        <v/>
      </c>
      <c r="M1603">
        <f>IF(D1603="","",IFERROR(INDEX(Classes!$B$2:$B$200,MATCH(D1603,Classes!$E$2:$E$200,0)),""))</f>
        <v/>
      </c>
    </row>
    <row r="1604">
      <c r="J1604">
        <f>IF(OR(H1604="",I1604=""),"",ROUND(100*H1604/I1604,0))</f>
        <v/>
      </c>
      <c r="M1604">
        <f>IF(D1604="","",IFERROR(INDEX(Classes!$B$2:$B$200,MATCH(D1604,Classes!$E$2:$E$200,0)),""))</f>
        <v/>
      </c>
    </row>
    <row r="1605">
      <c r="J1605">
        <f>IF(OR(H1605="",I1605=""),"",ROUND(100*H1605/I1605,0))</f>
        <v/>
      </c>
      <c r="M1605">
        <f>IF(D1605="","",IFERROR(INDEX(Classes!$B$2:$B$200,MATCH(D1605,Classes!$E$2:$E$200,0)),""))</f>
        <v/>
      </c>
    </row>
    <row r="1606">
      <c r="J1606">
        <f>IF(OR(H1606="",I1606=""),"",ROUND(100*H1606/I1606,0))</f>
        <v/>
      </c>
      <c r="M1606">
        <f>IF(D1606="","",IFERROR(INDEX(Classes!$B$2:$B$200,MATCH(D1606,Classes!$E$2:$E$200,0)),""))</f>
        <v/>
      </c>
    </row>
    <row r="1607">
      <c r="J1607">
        <f>IF(OR(H1607="",I1607=""),"",ROUND(100*H1607/I1607,0))</f>
        <v/>
      </c>
      <c r="M1607">
        <f>IF(D1607="","",IFERROR(INDEX(Classes!$B$2:$B$200,MATCH(D1607,Classes!$E$2:$E$200,0)),""))</f>
        <v/>
      </c>
    </row>
    <row r="1608">
      <c r="J1608">
        <f>IF(OR(H1608="",I1608=""),"",ROUND(100*H1608/I1608,0))</f>
        <v/>
      </c>
      <c r="M1608">
        <f>IF(D1608="","",IFERROR(INDEX(Classes!$B$2:$B$200,MATCH(D1608,Classes!$E$2:$E$200,0)),""))</f>
        <v/>
      </c>
    </row>
    <row r="1609">
      <c r="J1609">
        <f>IF(OR(H1609="",I1609=""),"",ROUND(100*H1609/I1609,0))</f>
        <v/>
      </c>
      <c r="M1609">
        <f>IF(D1609="","",IFERROR(INDEX(Classes!$B$2:$B$200,MATCH(D1609,Classes!$E$2:$E$200,0)),""))</f>
        <v/>
      </c>
    </row>
    <row r="1610">
      <c r="J1610">
        <f>IF(OR(H1610="",I1610=""),"",ROUND(100*H1610/I1610,0))</f>
        <v/>
      </c>
      <c r="M1610">
        <f>IF(D1610="","",IFERROR(INDEX(Classes!$B$2:$B$200,MATCH(D1610,Classes!$E$2:$E$200,0)),""))</f>
        <v/>
      </c>
    </row>
    <row r="1611">
      <c r="J1611">
        <f>IF(OR(H1611="",I1611=""),"",ROUND(100*H1611/I1611,0))</f>
        <v/>
      </c>
      <c r="M1611">
        <f>IF(D1611="","",IFERROR(INDEX(Classes!$B$2:$B$200,MATCH(D1611,Classes!$E$2:$E$200,0)),""))</f>
        <v/>
      </c>
    </row>
    <row r="1612">
      <c r="J1612">
        <f>IF(OR(H1612="",I1612=""),"",ROUND(100*H1612/I1612,0))</f>
        <v/>
      </c>
      <c r="M1612">
        <f>IF(D1612="","",IFERROR(INDEX(Classes!$B$2:$B$200,MATCH(D1612,Classes!$E$2:$E$200,0)),""))</f>
        <v/>
      </c>
    </row>
    <row r="1613">
      <c r="J1613">
        <f>IF(OR(H1613="",I1613=""),"",ROUND(100*H1613/I1613,0))</f>
        <v/>
      </c>
      <c r="M1613">
        <f>IF(D1613="","",IFERROR(INDEX(Classes!$B$2:$B$200,MATCH(D1613,Classes!$E$2:$E$200,0)),""))</f>
        <v/>
      </c>
    </row>
    <row r="1614">
      <c r="J1614">
        <f>IF(OR(H1614="",I1614=""),"",ROUND(100*H1614/I1614,0))</f>
        <v/>
      </c>
      <c r="M1614">
        <f>IF(D1614="","",IFERROR(INDEX(Classes!$B$2:$B$200,MATCH(D1614,Classes!$E$2:$E$200,0)),""))</f>
        <v/>
      </c>
    </row>
    <row r="1615">
      <c r="J1615">
        <f>IF(OR(H1615="",I1615=""),"",ROUND(100*H1615/I1615,0))</f>
        <v/>
      </c>
      <c r="M1615">
        <f>IF(D1615="","",IFERROR(INDEX(Classes!$B$2:$B$200,MATCH(D1615,Classes!$E$2:$E$200,0)),""))</f>
        <v/>
      </c>
    </row>
    <row r="1616">
      <c r="J1616">
        <f>IF(OR(H1616="",I1616=""),"",ROUND(100*H1616/I1616,0))</f>
        <v/>
      </c>
      <c r="M1616">
        <f>IF(D1616="","",IFERROR(INDEX(Classes!$B$2:$B$200,MATCH(D1616,Classes!$E$2:$E$200,0)),""))</f>
        <v/>
      </c>
    </row>
    <row r="1617">
      <c r="J1617">
        <f>IF(OR(H1617="",I1617=""),"",ROUND(100*H1617/I1617,0))</f>
        <v/>
      </c>
      <c r="M1617">
        <f>IF(D1617="","",IFERROR(INDEX(Classes!$B$2:$B$200,MATCH(D1617,Classes!$E$2:$E$200,0)),""))</f>
        <v/>
      </c>
    </row>
    <row r="1618">
      <c r="J1618">
        <f>IF(OR(H1618="",I1618=""),"",ROUND(100*H1618/I1618,0))</f>
        <v/>
      </c>
      <c r="M1618">
        <f>IF(D1618="","",IFERROR(INDEX(Classes!$B$2:$B$200,MATCH(D1618,Classes!$E$2:$E$200,0)),""))</f>
        <v/>
      </c>
    </row>
    <row r="1619">
      <c r="J1619">
        <f>IF(OR(H1619="",I1619=""),"",ROUND(100*H1619/I1619,0))</f>
        <v/>
      </c>
      <c r="M1619">
        <f>IF(D1619="","",IFERROR(INDEX(Classes!$B$2:$B$200,MATCH(D1619,Classes!$E$2:$E$200,0)),""))</f>
        <v/>
      </c>
    </row>
    <row r="1620">
      <c r="J1620">
        <f>IF(OR(H1620="",I1620=""),"",ROUND(100*H1620/I1620,0))</f>
        <v/>
      </c>
      <c r="M1620">
        <f>IF(D1620="","",IFERROR(INDEX(Classes!$B$2:$B$200,MATCH(D1620,Classes!$E$2:$E$200,0)),""))</f>
        <v/>
      </c>
    </row>
    <row r="1621">
      <c r="J1621">
        <f>IF(OR(H1621="",I1621=""),"",ROUND(100*H1621/I1621,0))</f>
        <v/>
      </c>
      <c r="M1621">
        <f>IF(D1621="","",IFERROR(INDEX(Classes!$B$2:$B$200,MATCH(D1621,Classes!$E$2:$E$200,0)),""))</f>
        <v/>
      </c>
    </row>
    <row r="1622">
      <c r="J1622">
        <f>IF(OR(H1622="",I1622=""),"",ROUND(100*H1622/I1622,0))</f>
        <v/>
      </c>
      <c r="M1622">
        <f>IF(D1622="","",IFERROR(INDEX(Classes!$B$2:$B$200,MATCH(D1622,Classes!$E$2:$E$200,0)),""))</f>
        <v/>
      </c>
    </row>
    <row r="1623">
      <c r="J1623">
        <f>IF(OR(H1623="",I1623=""),"",ROUND(100*H1623/I1623,0))</f>
        <v/>
      </c>
      <c r="M1623">
        <f>IF(D1623="","",IFERROR(INDEX(Classes!$B$2:$B$200,MATCH(D1623,Classes!$E$2:$E$200,0)),""))</f>
        <v/>
      </c>
    </row>
    <row r="1624">
      <c r="J1624">
        <f>IF(OR(H1624="",I1624=""),"",ROUND(100*H1624/I1624,0))</f>
        <v/>
      </c>
      <c r="M1624">
        <f>IF(D1624="","",IFERROR(INDEX(Classes!$B$2:$B$200,MATCH(D1624,Classes!$E$2:$E$200,0)),""))</f>
        <v/>
      </c>
    </row>
    <row r="1625">
      <c r="J1625">
        <f>IF(OR(H1625="",I1625=""),"",ROUND(100*H1625/I1625,0))</f>
        <v/>
      </c>
      <c r="M1625">
        <f>IF(D1625="","",IFERROR(INDEX(Classes!$B$2:$B$200,MATCH(D1625,Classes!$E$2:$E$200,0)),""))</f>
        <v/>
      </c>
    </row>
    <row r="1626">
      <c r="J1626">
        <f>IF(OR(H1626="",I1626=""),"",ROUND(100*H1626/I1626,0))</f>
        <v/>
      </c>
      <c r="M1626">
        <f>IF(D1626="","",IFERROR(INDEX(Classes!$B$2:$B$200,MATCH(D1626,Classes!$E$2:$E$200,0)),""))</f>
        <v/>
      </c>
    </row>
    <row r="1627">
      <c r="J1627">
        <f>IF(OR(H1627="",I1627=""),"",ROUND(100*H1627/I1627,0))</f>
        <v/>
      </c>
      <c r="M1627">
        <f>IF(D1627="","",IFERROR(INDEX(Classes!$B$2:$B$200,MATCH(D1627,Classes!$E$2:$E$200,0)),""))</f>
        <v/>
      </c>
    </row>
    <row r="1628">
      <c r="J1628">
        <f>IF(OR(H1628="",I1628=""),"",ROUND(100*H1628/I1628,0))</f>
        <v/>
      </c>
      <c r="M1628">
        <f>IF(D1628="","",IFERROR(INDEX(Classes!$B$2:$B$200,MATCH(D1628,Classes!$E$2:$E$200,0)),""))</f>
        <v/>
      </c>
    </row>
    <row r="1629">
      <c r="J1629">
        <f>IF(OR(H1629="",I1629=""),"",ROUND(100*H1629/I1629,0))</f>
        <v/>
      </c>
      <c r="M1629">
        <f>IF(D1629="","",IFERROR(INDEX(Classes!$B$2:$B$200,MATCH(D1629,Classes!$E$2:$E$200,0)),""))</f>
        <v/>
      </c>
    </row>
    <row r="1630">
      <c r="J1630">
        <f>IF(OR(H1630="",I1630=""),"",ROUND(100*H1630/I1630,0))</f>
        <v/>
      </c>
      <c r="M1630">
        <f>IF(D1630="","",IFERROR(INDEX(Classes!$B$2:$B$200,MATCH(D1630,Classes!$E$2:$E$200,0)),""))</f>
        <v/>
      </c>
    </row>
    <row r="1631">
      <c r="J1631">
        <f>IF(OR(H1631="",I1631=""),"",ROUND(100*H1631/I1631,0))</f>
        <v/>
      </c>
      <c r="M1631">
        <f>IF(D1631="","",IFERROR(INDEX(Classes!$B$2:$B$200,MATCH(D1631,Classes!$E$2:$E$200,0)),""))</f>
        <v/>
      </c>
    </row>
    <row r="1632">
      <c r="J1632">
        <f>IF(OR(H1632="",I1632=""),"",ROUND(100*H1632/I1632,0))</f>
        <v/>
      </c>
      <c r="M1632">
        <f>IF(D1632="","",IFERROR(INDEX(Classes!$B$2:$B$200,MATCH(D1632,Classes!$E$2:$E$200,0)),""))</f>
        <v/>
      </c>
    </row>
    <row r="1633">
      <c r="J1633">
        <f>IF(OR(H1633="",I1633=""),"",ROUND(100*H1633/I1633,0))</f>
        <v/>
      </c>
      <c r="M1633">
        <f>IF(D1633="","",IFERROR(INDEX(Classes!$B$2:$B$200,MATCH(D1633,Classes!$E$2:$E$200,0)),""))</f>
        <v/>
      </c>
    </row>
    <row r="1634">
      <c r="J1634">
        <f>IF(OR(H1634="",I1634=""),"",ROUND(100*H1634/I1634,0))</f>
        <v/>
      </c>
      <c r="M1634">
        <f>IF(D1634="","",IFERROR(INDEX(Classes!$B$2:$B$200,MATCH(D1634,Classes!$E$2:$E$200,0)),""))</f>
        <v/>
      </c>
    </row>
    <row r="1635">
      <c r="J1635">
        <f>IF(OR(H1635="",I1635=""),"",ROUND(100*H1635/I1635,0))</f>
        <v/>
      </c>
      <c r="M1635">
        <f>IF(D1635="","",IFERROR(INDEX(Classes!$B$2:$B$200,MATCH(D1635,Classes!$E$2:$E$200,0)),""))</f>
        <v/>
      </c>
    </row>
    <row r="1636">
      <c r="J1636">
        <f>IF(OR(H1636="",I1636=""),"",ROUND(100*H1636/I1636,0))</f>
        <v/>
      </c>
      <c r="M1636">
        <f>IF(D1636="","",IFERROR(INDEX(Classes!$B$2:$B$200,MATCH(D1636,Classes!$E$2:$E$200,0)),""))</f>
        <v/>
      </c>
    </row>
    <row r="1637">
      <c r="J1637">
        <f>IF(OR(H1637="",I1637=""),"",ROUND(100*H1637/I1637,0))</f>
        <v/>
      </c>
      <c r="M1637">
        <f>IF(D1637="","",IFERROR(INDEX(Classes!$B$2:$B$200,MATCH(D1637,Classes!$E$2:$E$200,0)),""))</f>
        <v/>
      </c>
    </row>
    <row r="1638">
      <c r="J1638">
        <f>IF(OR(H1638="",I1638=""),"",ROUND(100*H1638/I1638,0))</f>
        <v/>
      </c>
      <c r="M1638">
        <f>IF(D1638="","",IFERROR(INDEX(Classes!$B$2:$B$200,MATCH(D1638,Classes!$E$2:$E$200,0)),""))</f>
        <v/>
      </c>
    </row>
    <row r="1639">
      <c r="J1639">
        <f>IF(OR(H1639="",I1639=""),"",ROUND(100*H1639/I1639,0))</f>
        <v/>
      </c>
      <c r="M1639">
        <f>IF(D1639="","",IFERROR(INDEX(Classes!$B$2:$B$200,MATCH(D1639,Classes!$E$2:$E$200,0)),""))</f>
        <v/>
      </c>
    </row>
    <row r="1640">
      <c r="J1640">
        <f>IF(OR(H1640="",I1640=""),"",ROUND(100*H1640/I1640,0))</f>
        <v/>
      </c>
      <c r="M1640">
        <f>IF(D1640="","",IFERROR(INDEX(Classes!$B$2:$B$200,MATCH(D1640,Classes!$E$2:$E$200,0)),""))</f>
        <v/>
      </c>
    </row>
    <row r="1641">
      <c r="J1641">
        <f>IF(OR(H1641="",I1641=""),"",ROUND(100*H1641/I1641,0))</f>
        <v/>
      </c>
      <c r="M1641">
        <f>IF(D1641="","",IFERROR(INDEX(Classes!$B$2:$B$200,MATCH(D1641,Classes!$E$2:$E$200,0)),""))</f>
        <v/>
      </c>
    </row>
    <row r="1642">
      <c r="J1642">
        <f>IF(OR(H1642="",I1642=""),"",ROUND(100*H1642/I1642,0))</f>
        <v/>
      </c>
      <c r="M1642">
        <f>IF(D1642="","",IFERROR(INDEX(Classes!$B$2:$B$200,MATCH(D1642,Classes!$E$2:$E$200,0)),""))</f>
        <v/>
      </c>
    </row>
    <row r="1643">
      <c r="J1643">
        <f>IF(OR(H1643="",I1643=""),"",ROUND(100*H1643/I1643,0))</f>
        <v/>
      </c>
      <c r="M1643">
        <f>IF(D1643="","",IFERROR(INDEX(Classes!$B$2:$B$200,MATCH(D1643,Classes!$E$2:$E$200,0)),""))</f>
        <v/>
      </c>
    </row>
    <row r="1644">
      <c r="J1644">
        <f>IF(OR(H1644="",I1644=""),"",ROUND(100*H1644/I1644,0))</f>
        <v/>
      </c>
      <c r="M1644">
        <f>IF(D1644="","",IFERROR(INDEX(Classes!$B$2:$B$200,MATCH(D1644,Classes!$E$2:$E$200,0)),""))</f>
        <v/>
      </c>
    </row>
    <row r="1645">
      <c r="J1645">
        <f>IF(OR(H1645="",I1645=""),"",ROUND(100*H1645/I1645,0))</f>
        <v/>
      </c>
      <c r="M1645">
        <f>IF(D1645="","",IFERROR(INDEX(Classes!$B$2:$B$200,MATCH(D1645,Classes!$E$2:$E$200,0)),""))</f>
        <v/>
      </c>
    </row>
    <row r="1646">
      <c r="J1646">
        <f>IF(OR(H1646="",I1646=""),"",ROUND(100*H1646/I1646,0))</f>
        <v/>
      </c>
      <c r="M1646">
        <f>IF(D1646="","",IFERROR(INDEX(Classes!$B$2:$B$200,MATCH(D1646,Classes!$E$2:$E$200,0)),""))</f>
        <v/>
      </c>
    </row>
    <row r="1647">
      <c r="J1647">
        <f>IF(OR(H1647="",I1647=""),"",ROUND(100*H1647/I1647,0))</f>
        <v/>
      </c>
      <c r="M1647">
        <f>IF(D1647="","",IFERROR(INDEX(Classes!$B$2:$B$200,MATCH(D1647,Classes!$E$2:$E$200,0)),""))</f>
        <v/>
      </c>
    </row>
    <row r="1648">
      <c r="J1648">
        <f>IF(OR(H1648="",I1648=""),"",ROUND(100*H1648/I1648,0))</f>
        <v/>
      </c>
      <c r="M1648">
        <f>IF(D1648="","",IFERROR(INDEX(Classes!$B$2:$B$200,MATCH(D1648,Classes!$E$2:$E$200,0)),""))</f>
        <v/>
      </c>
    </row>
    <row r="1649">
      <c r="J1649">
        <f>IF(OR(H1649="",I1649=""),"",ROUND(100*H1649/I1649,0))</f>
        <v/>
      </c>
      <c r="M1649">
        <f>IF(D1649="","",IFERROR(INDEX(Classes!$B$2:$B$200,MATCH(D1649,Classes!$E$2:$E$200,0)),""))</f>
        <v/>
      </c>
    </row>
    <row r="1650">
      <c r="J1650">
        <f>IF(OR(H1650="",I1650=""),"",ROUND(100*H1650/I1650,0))</f>
        <v/>
      </c>
      <c r="M1650">
        <f>IF(D1650="","",IFERROR(INDEX(Classes!$B$2:$B$200,MATCH(D1650,Classes!$E$2:$E$200,0)),""))</f>
        <v/>
      </c>
    </row>
    <row r="1651">
      <c r="J1651">
        <f>IF(OR(H1651="",I1651=""),"",ROUND(100*H1651/I1651,0))</f>
        <v/>
      </c>
      <c r="M1651">
        <f>IF(D1651="","",IFERROR(INDEX(Classes!$B$2:$B$200,MATCH(D1651,Classes!$E$2:$E$200,0)),""))</f>
        <v/>
      </c>
    </row>
    <row r="1652">
      <c r="J1652">
        <f>IF(OR(H1652="",I1652=""),"",ROUND(100*H1652/I1652,0))</f>
        <v/>
      </c>
      <c r="M1652">
        <f>IF(D1652="","",IFERROR(INDEX(Classes!$B$2:$B$200,MATCH(D1652,Classes!$E$2:$E$200,0)),""))</f>
        <v/>
      </c>
    </row>
    <row r="1653">
      <c r="J1653">
        <f>IF(OR(H1653="",I1653=""),"",ROUND(100*H1653/I1653,0))</f>
        <v/>
      </c>
      <c r="M1653">
        <f>IF(D1653="","",IFERROR(INDEX(Classes!$B$2:$B$200,MATCH(D1653,Classes!$E$2:$E$200,0)),""))</f>
        <v/>
      </c>
    </row>
    <row r="1654">
      <c r="J1654">
        <f>IF(OR(H1654="",I1654=""),"",ROUND(100*H1654/I1654,0))</f>
        <v/>
      </c>
      <c r="M1654">
        <f>IF(D1654="","",IFERROR(INDEX(Classes!$B$2:$B$200,MATCH(D1654,Classes!$E$2:$E$200,0)),""))</f>
        <v/>
      </c>
    </row>
    <row r="1655">
      <c r="J1655">
        <f>IF(OR(H1655="",I1655=""),"",ROUND(100*H1655/I1655,0))</f>
        <v/>
      </c>
      <c r="M1655">
        <f>IF(D1655="","",IFERROR(INDEX(Classes!$B$2:$B$200,MATCH(D1655,Classes!$E$2:$E$200,0)),""))</f>
        <v/>
      </c>
    </row>
    <row r="1656">
      <c r="J1656">
        <f>IF(OR(H1656="",I1656=""),"",ROUND(100*H1656/I1656,0))</f>
        <v/>
      </c>
      <c r="M1656">
        <f>IF(D1656="","",IFERROR(INDEX(Classes!$B$2:$B$200,MATCH(D1656,Classes!$E$2:$E$200,0)),""))</f>
        <v/>
      </c>
    </row>
    <row r="1657">
      <c r="J1657">
        <f>IF(OR(H1657="",I1657=""),"",ROUND(100*H1657/I1657,0))</f>
        <v/>
      </c>
      <c r="M1657">
        <f>IF(D1657="","",IFERROR(INDEX(Classes!$B$2:$B$200,MATCH(D1657,Classes!$E$2:$E$200,0)),""))</f>
        <v/>
      </c>
    </row>
    <row r="1658">
      <c r="J1658">
        <f>IF(OR(H1658="",I1658=""),"",ROUND(100*H1658/I1658,0))</f>
        <v/>
      </c>
      <c r="M1658">
        <f>IF(D1658="","",IFERROR(INDEX(Classes!$B$2:$B$200,MATCH(D1658,Classes!$E$2:$E$200,0)),""))</f>
        <v/>
      </c>
    </row>
    <row r="1659">
      <c r="J1659">
        <f>IF(OR(H1659="",I1659=""),"",ROUND(100*H1659/I1659,0))</f>
        <v/>
      </c>
      <c r="M1659">
        <f>IF(D1659="","",IFERROR(INDEX(Classes!$B$2:$B$200,MATCH(D1659,Classes!$E$2:$E$200,0)),""))</f>
        <v/>
      </c>
    </row>
    <row r="1660">
      <c r="J1660">
        <f>IF(OR(H1660="",I1660=""),"",ROUND(100*H1660/I1660,0))</f>
        <v/>
      </c>
      <c r="M1660">
        <f>IF(D1660="","",IFERROR(INDEX(Classes!$B$2:$B$200,MATCH(D1660,Classes!$E$2:$E$200,0)),""))</f>
        <v/>
      </c>
    </row>
    <row r="1661">
      <c r="J1661">
        <f>IF(OR(H1661="",I1661=""),"",ROUND(100*H1661/I1661,0))</f>
        <v/>
      </c>
      <c r="M1661">
        <f>IF(D1661="","",IFERROR(INDEX(Classes!$B$2:$B$200,MATCH(D1661,Classes!$E$2:$E$200,0)),""))</f>
        <v/>
      </c>
    </row>
    <row r="1662">
      <c r="J1662">
        <f>IF(OR(H1662="",I1662=""),"",ROUND(100*H1662/I1662,0))</f>
        <v/>
      </c>
      <c r="M1662">
        <f>IF(D1662="","",IFERROR(INDEX(Classes!$B$2:$B$200,MATCH(D1662,Classes!$E$2:$E$200,0)),""))</f>
        <v/>
      </c>
    </row>
    <row r="1663">
      <c r="J1663">
        <f>IF(OR(H1663="",I1663=""),"",ROUND(100*H1663/I1663,0))</f>
        <v/>
      </c>
      <c r="M1663">
        <f>IF(D1663="","",IFERROR(INDEX(Classes!$B$2:$B$200,MATCH(D1663,Classes!$E$2:$E$200,0)),""))</f>
        <v/>
      </c>
    </row>
    <row r="1664">
      <c r="J1664">
        <f>IF(OR(H1664="",I1664=""),"",ROUND(100*H1664/I1664,0))</f>
        <v/>
      </c>
      <c r="M1664">
        <f>IF(D1664="","",IFERROR(INDEX(Classes!$B$2:$B$200,MATCH(D1664,Classes!$E$2:$E$200,0)),""))</f>
        <v/>
      </c>
    </row>
    <row r="1665">
      <c r="J1665">
        <f>IF(OR(H1665="",I1665=""),"",ROUND(100*H1665/I1665,0))</f>
        <v/>
      </c>
      <c r="M1665">
        <f>IF(D1665="","",IFERROR(INDEX(Classes!$B$2:$B$200,MATCH(D1665,Classes!$E$2:$E$200,0)),""))</f>
        <v/>
      </c>
    </row>
    <row r="1666">
      <c r="J1666">
        <f>IF(OR(H1666="",I1666=""),"",ROUND(100*H1666/I1666,0))</f>
        <v/>
      </c>
      <c r="M1666">
        <f>IF(D1666="","",IFERROR(INDEX(Classes!$B$2:$B$200,MATCH(D1666,Classes!$E$2:$E$200,0)),""))</f>
        <v/>
      </c>
    </row>
    <row r="1667">
      <c r="J1667">
        <f>IF(OR(H1667="",I1667=""),"",ROUND(100*H1667/I1667,0))</f>
        <v/>
      </c>
      <c r="M1667">
        <f>IF(D1667="","",IFERROR(INDEX(Classes!$B$2:$B$200,MATCH(D1667,Classes!$E$2:$E$200,0)),""))</f>
        <v/>
      </c>
    </row>
    <row r="1668">
      <c r="J1668">
        <f>IF(OR(H1668="",I1668=""),"",ROUND(100*H1668/I1668,0))</f>
        <v/>
      </c>
      <c r="M1668">
        <f>IF(D1668="","",IFERROR(INDEX(Classes!$B$2:$B$200,MATCH(D1668,Classes!$E$2:$E$200,0)),""))</f>
        <v/>
      </c>
    </row>
    <row r="1669">
      <c r="J1669">
        <f>IF(OR(H1669="",I1669=""),"",ROUND(100*H1669/I1669,0))</f>
        <v/>
      </c>
      <c r="M1669">
        <f>IF(D1669="","",IFERROR(INDEX(Classes!$B$2:$B$200,MATCH(D1669,Classes!$E$2:$E$200,0)),""))</f>
        <v/>
      </c>
    </row>
    <row r="1670">
      <c r="J1670">
        <f>IF(OR(H1670="",I1670=""),"",ROUND(100*H1670/I1670,0))</f>
        <v/>
      </c>
      <c r="M1670">
        <f>IF(D1670="","",IFERROR(INDEX(Classes!$B$2:$B$200,MATCH(D1670,Classes!$E$2:$E$200,0)),""))</f>
        <v/>
      </c>
    </row>
    <row r="1671">
      <c r="J1671">
        <f>IF(OR(H1671="",I1671=""),"",ROUND(100*H1671/I1671,0))</f>
        <v/>
      </c>
      <c r="M1671">
        <f>IF(D1671="","",IFERROR(INDEX(Classes!$B$2:$B$200,MATCH(D1671,Classes!$E$2:$E$200,0)),""))</f>
        <v/>
      </c>
    </row>
    <row r="1672">
      <c r="J1672">
        <f>IF(OR(H1672="",I1672=""),"",ROUND(100*H1672/I1672,0))</f>
        <v/>
      </c>
      <c r="M1672">
        <f>IF(D1672="","",IFERROR(INDEX(Classes!$B$2:$B$200,MATCH(D1672,Classes!$E$2:$E$200,0)),""))</f>
        <v/>
      </c>
    </row>
    <row r="1673">
      <c r="J1673">
        <f>IF(OR(H1673="",I1673=""),"",ROUND(100*H1673/I1673,0))</f>
        <v/>
      </c>
      <c r="M1673">
        <f>IF(D1673="","",IFERROR(INDEX(Classes!$B$2:$B$200,MATCH(D1673,Classes!$E$2:$E$200,0)),""))</f>
        <v/>
      </c>
    </row>
    <row r="1674">
      <c r="J1674">
        <f>IF(OR(H1674="",I1674=""),"",ROUND(100*H1674/I1674,0))</f>
        <v/>
      </c>
      <c r="M1674">
        <f>IF(D1674="","",IFERROR(INDEX(Classes!$B$2:$B$200,MATCH(D1674,Classes!$E$2:$E$200,0)),""))</f>
        <v/>
      </c>
    </row>
    <row r="1675">
      <c r="J1675">
        <f>IF(OR(H1675="",I1675=""),"",ROUND(100*H1675/I1675,0))</f>
        <v/>
      </c>
      <c r="M1675">
        <f>IF(D1675="","",IFERROR(INDEX(Classes!$B$2:$B$200,MATCH(D1675,Classes!$E$2:$E$200,0)),""))</f>
        <v/>
      </c>
    </row>
    <row r="1676">
      <c r="J1676">
        <f>IF(OR(H1676="",I1676=""),"",ROUND(100*H1676/I1676,0))</f>
        <v/>
      </c>
      <c r="M1676">
        <f>IF(D1676="","",IFERROR(INDEX(Classes!$B$2:$B$200,MATCH(D1676,Classes!$E$2:$E$200,0)),""))</f>
        <v/>
      </c>
    </row>
    <row r="1677">
      <c r="J1677">
        <f>IF(OR(H1677="",I1677=""),"",ROUND(100*H1677/I1677,0))</f>
        <v/>
      </c>
      <c r="M1677">
        <f>IF(D1677="","",IFERROR(INDEX(Classes!$B$2:$B$200,MATCH(D1677,Classes!$E$2:$E$200,0)),""))</f>
        <v/>
      </c>
    </row>
    <row r="1678">
      <c r="J1678">
        <f>IF(OR(H1678="",I1678=""),"",ROUND(100*H1678/I1678,0))</f>
        <v/>
      </c>
      <c r="M1678">
        <f>IF(D1678="","",IFERROR(INDEX(Classes!$B$2:$B$200,MATCH(D1678,Classes!$E$2:$E$200,0)),""))</f>
        <v/>
      </c>
    </row>
    <row r="1679">
      <c r="J1679">
        <f>IF(OR(H1679="",I1679=""),"",ROUND(100*H1679/I1679,0))</f>
        <v/>
      </c>
      <c r="M1679">
        <f>IF(D1679="","",IFERROR(INDEX(Classes!$B$2:$B$200,MATCH(D1679,Classes!$E$2:$E$200,0)),""))</f>
        <v/>
      </c>
    </row>
    <row r="1680">
      <c r="J1680">
        <f>IF(OR(H1680="",I1680=""),"",ROUND(100*H1680/I1680,0))</f>
        <v/>
      </c>
      <c r="M1680">
        <f>IF(D1680="","",IFERROR(INDEX(Classes!$B$2:$B$200,MATCH(D1680,Classes!$E$2:$E$200,0)),""))</f>
        <v/>
      </c>
    </row>
    <row r="1681">
      <c r="J1681">
        <f>IF(OR(H1681="",I1681=""),"",ROUND(100*H1681/I1681,0))</f>
        <v/>
      </c>
      <c r="M1681">
        <f>IF(D1681="","",IFERROR(INDEX(Classes!$B$2:$B$200,MATCH(D1681,Classes!$E$2:$E$200,0)),""))</f>
        <v/>
      </c>
    </row>
    <row r="1682">
      <c r="J1682">
        <f>IF(OR(H1682="",I1682=""),"",ROUND(100*H1682/I1682,0))</f>
        <v/>
      </c>
      <c r="M1682">
        <f>IF(D1682="","",IFERROR(INDEX(Classes!$B$2:$B$200,MATCH(D1682,Classes!$E$2:$E$200,0)),""))</f>
        <v/>
      </c>
    </row>
    <row r="1683">
      <c r="J1683">
        <f>IF(OR(H1683="",I1683=""),"",ROUND(100*H1683/I1683,0))</f>
        <v/>
      </c>
      <c r="M1683">
        <f>IF(D1683="","",IFERROR(INDEX(Classes!$B$2:$B$200,MATCH(D1683,Classes!$E$2:$E$200,0)),""))</f>
        <v/>
      </c>
    </row>
    <row r="1684">
      <c r="J1684">
        <f>IF(OR(H1684="",I1684=""),"",ROUND(100*H1684/I1684,0))</f>
        <v/>
      </c>
      <c r="M1684">
        <f>IF(D1684="","",IFERROR(INDEX(Classes!$B$2:$B$200,MATCH(D1684,Classes!$E$2:$E$200,0)),""))</f>
        <v/>
      </c>
    </row>
    <row r="1685">
      <c r="J1685">
        <f>IF(OR(H1685="",I1685=""),"",ROUND(100*H1685/I1685,0))</f>
        <v/>
      </c>
      <c r="M1685">
        <f>IF(D1685="","",IFERROR(INDEX(Classes!$B$2:$B$200,MATCH(D1685,Classes!$E$2:$E$200,0)),""))</f>
        <v/>
      </c>
    </row>
    <row r="1686">
      <c r="J1686">
        <f>IF(OR(H1686="",I1686=""),"",ROUND(100*H1686/I1686,0))</f>
        <v/>
      </c>
      <c r="M1686">
        <f>IF(D1686="","",IFERROR(INDEX(Classes!$B$2:$B$200,MATCH(D1686,Classes!$E$2:$E$200,0)),""))</f>
        <v/>
      </c>
    </row>
    <row r="1687">
      <c r="J1687">
        <f>IF(OR(H1687="",I1687=""),"",ROUND(100*H1687/I1687,0))</f>
        <v/>
      </c>
      <c r="M1687">
        <f>IF(D1687="","",IFERROR(INDEX(Classes!$B$2:$B$200,MATCH(D1687,Classes!$E$2:$E$200,0)),""))</f>
        <v/>
      </c>
    </row>
    <row r="1688">
      <c r="J1688">
        <f>IF(OR(H1688="",I1688=""),"",ROUND(100*H1688/I1688,0))</f>
        <v/>
      </c>
      <c r="M1688">
        <f>IF(D1688="","",IFERROR(INDEX(Classes!$B$2:$B$200,MATCH(D1688,Classes!$E$2:$E$200,0)),""))</f>
        <v/>
      </c>
    </row>
    <row r="1689">
      <c r="J1689">
        <f>IF(OR(H1689="",I1689=""),"",ROUND(100*H1689/I1689,0))</f>
        <v/>
      </c>
      <c r="M1689">
        <f>IF(D1689="","",IFERROR(INDEX(Classes!$B$2:$B$200,MATCH(D1689,Classes!$E$2:$E$200,0)),""))</f>
        <v/>
      </c>
    </row>
    <row r="1690">
      <c r="J1690">
        <f>IF(OR(H1690="",I1690=""),"",ROUND(100*H1690/I1690,0))</f>
        <v/>
      </c>
      <c r="M1690">
        <f>IF(D1690="","",IFERROR(INDEX(Classes!$B$2:$B$200,MATCH(D1690,Classes!$E$2:$E$200,0)),""))</f>
        <v/>
      </c>
    </row>
    <row r="1691">
      <c r="J1691">
        <f>IF(OR(H1691="",I1691=""),"",ROUND(100*H1691/I1691,0))</f>
        <v/>
      </c>
      <c r="M1691">
        <f>IF(D1691="","",IFERROR(INDEX(Classes!$B$2:$B$200,MATCH(D1691,Classes!$E$2:$E$200,0)),""))</f>
        <v/>
      </c>
    </row>
    <row r="1692">
      <c r="J1692">
        <f>IF(OR(H1692="",I1692=""),"",ROUND(100*H1692/I1692,0))</f>
        <v/>
      </c>
      <c r="M1692">
        <f>IF(D1692="","",IFERROR(INDEX(Classes!$B$2:$B$200,MATCH(D1692,Classes!$E$2:$E$200,0)),""))</f>
        <v/>
      </c>
    </row>
    <row r="1693">
      <c r="J1693">
        <f>IF(OR(H1693="",I1693=""),"",ROUND(100*H1693/I1693,0))</f>
        <v/>
      </c>
      <c r="M1693">
        <f>IF(D1693="","",IFERROR(INDEX(Classes!$B$2:$B$200,MATCH(D1693,Classes!$E$2:$E$200,0)),""))</f>
        <v/>
      </c>
    </row>
    <row r="1694">
      <c r="J1694">
        <f>IF(OR(H1694="",I1694=""),"",ROUND(100*H1694/I1694,0))</f>
        <v/>
      </c>
      <c r="M1694">
        <f>IF(D1694="","",IFERROR(INDEX(Classes!$B$2:$B$200,MATCH(D1694,Classes!$E$2:$E$200,0)),""))</f>
        <v/>
      </c>
    </row>
    <row r="1695">
      <c r="J1695">
        <f>IF(OR(H1695="",I1695=""),"",ROUND(100*H1695/I1695,0))</f>
        <v/>
      </c>
      <c r="M1695">
        <f>IF(D1695="","",IFERROR(INDEX(Classes!$B$2:$B$200,MATCH(D1695,Classes!$E$2:$E$200,0)),""))</f>
        <v/>
      </c>
    </row>
    <row r="1696">
      <c r="J1696">
        <f>IF(OR(H1696="",I1696=""),"",ROUND(100*H1696/I1696,0))</f>
        <v/>
      </c>
      <c r="M1696">
        <f>IF(D1696="","",IFERROR(INDEX(Classes!$B$2:$B$200,MATCH(D1696,Classes!$E$2:$E$200,0)),""))</f>
        <v/>
      </c>
    </row>
    <row r="1697">
      <c r="J1697">
        <f>IF(OR(H1697="",I1697=""),"",ROUND(100*H1697/I1697,0))</f>
        <v/>
      </c>
      <c r="M1697">
        <f>IF(D1697="","",IFERROR(INDEX(Classes!$B$2:$B$200,MATCH(D1697,Classes!$E$2:$E$200,0)),""))</f>
        <v/>
      </c>
    </row>
    <row r="1698">
      <c r="J1698">
        <f>IF(OR(H1698="",I1698=""),"",ROUND(100*H1698/I1698,0))</f>
        <v/>
      </c>
      <c r="M1698">
        <f>IF(D1698="","",IFERROR(INDEX(Classes!$B$2:$B$200,MATCH(D1698,Classes!$E$2:$E$200,0)),""))</f>
        <v/>
      </c>
    </row>
    <row r="1699">
      <c r="J1699">
        <f>IF(OR(H1699="",I1699=""),"",ROUND(100*H1699/I1699,0))</f>
        <v/>
      </c>
      <c r="M1699">
        <f>IF(D1699="","",IFERROR(INDEX(Classes!$B$2:$B$200,MATCH(D1699,Classes!$E$2:$E$200,0)),""))</f>
        <v/>
      </c>
    </row>
    <row r="1700">
      <c r="J1700">
        <f>IF(OR(H1700="",I1700=""),"",ROUND(100*H1700/I1700,0))</f>
        <v/>
      </c>
      <c r="M1700">
        <f>IF(D1700="","",IFERROR(INDEX(Classes!$B$2:$B$200,MATCH(D1700,Classes!$E$2:$E$200,0)),""))</f>
        <v/>
      </c>
    </row>
    <row r="1701">
      <c r="J1701">
        <f>IF(OR(H1701="",I1701=""),"",ROUND(100*H1701/I1701,0))</f>
        <v/>
      </c>
      <c r="M1701">
        <f>IF(D1701="","",IFERROR(INDEX(Classes!$B$2:$B$200,MATCH(D1701,Classes!$E$2:$E$200,0)),""))</f>
        <v/>
      </c>
    </row>
    <row r="1702">
      <c r="J1702">
        <f>IF(OR(H1702="",I1702=""),"",ROUND(100*H1702/I1702,0))</f>
        <v/>
      </c>
      <c r="M1702">
        <f>IF(D1702="","",IFERROR(INDEX(Classes!$B$2:$B$200,MATCH(D1702,Classes!$E$2:$E$200,0)),""))</f>
        <v/>
      </c>
    </row>
    <row r="1703">
      <c r="J1703">
        <f>IF(OR(H1703="",I1703=""),"",ROUND(100*H1703/I1703,0))</f>
        <v/>
      </c>
      <c r="M1703">
        <f>IF(D1703="","",IFERROR(INDEX(Classes!$B$2:$B$200,MATCH(D1703,Classes!$E$2:$E$200,0)),""))</f>
        <v/>
      </c>
    </row>
    <row r="1704">
      <c r="J1704">
        <f>IF(OR(H1704="",I1704=""),"",ROUND(100*H1704/I1704,0))</f>
        <v/>
      </c>
      <c r="M1704">
        <f>IF(D1704="","",IFERROR(INDEX(Classes!$B$2:$B$200,MATCH(D1704,Classes!$E$2:$E$200,0)),""))</f>
        <v/>
      </c>
    </row>
    <row r="1705">
      <c r="J1705">
        <f>IF(OR(H1705="",I1705=""),"",ROUND(100*H1705/I1705,0))</f>
        <v/>
      </c>
      <c r="M1705">
        <f>IF(D1705="","",IFERROR(INDEX(Classes!$B$2:$B$200,MATCH(D1705,Classes!$E$2:$E$200,0)),""))</f>
        <v/>
      </c>
    </row>
    <row r="1706">
      <c r="J1706">
        <f>IF(OR(H1706="",I1706=""),"",ROUND(100*H1706/I1706,0))</f>
        <v/>
      </c>
      <c r="M1706">
        <f>IF(D1706="","",IFERROR(INDEX(Classes!$B$2:$B$200,MATCH(D1706,Classes!$E$2:$E$200,0)),""))</f>
        <v/>
      </c>
    </row>
    <row r="1707">
      <c r="J1707">
        <f>IF(OR(H1707="",I1707=""),"",ROUND(100*H1707/I1707,0))</f>
        <v/>
      </c>
      <c r="M1707">
        <f>IF(D1707="","",IFERROR(INDEX(Classes!$B$2:$B$200,MATCH(D1707,Classes!$E$2:$E$200,0)),""))</f>
        <v/>
      </c>
    </row>
    <row r="1708">
      <c r="J1708">
        <f>IF(OR(H1708="",I1708=""),"",ROUND(100*H1708/I1708,0))</f>
        <v/>
      </c>
      <c r="M1708">
        <f>IF(D1708="","",IFERROR(INDEX(Classes!$B$2:$B$200,MATCH(D1708,Classes!$E$2:$E$200,0)),""))</f>
        <v/>
      </c>
    </row>
    <row r="1709">
      <c r="J1709">
        <f>IF(OR(H1709="",I1709=""),"",ROUND(100*H1709/I1709,0))</f>
        <v/>
      </c>
      <c r="M1709">
        <f>IF(D1709="","",IFERROR(INDEX(Classes!$B$2:$B$200,MATCH(D1709,Classes!$E$2:$E$200,0)),""))</f>
        <v/>
      </c>
    </row>
    <row r="1710">
      <c r="J1710">
        <f>IF(OR(H1710="",I1710=""),"",ROUND(100*H1710/I1710,0))</f>
        <v/>
      </c>
      <c r="M1710">
        <f>IF(D1710="","",IFERROR(INDEX(Classes!$B$2:$B$200,MATCH(D1710,Classes!$E$2:$E$200,0)),""))</f>
        <v/>
      </c>
    </row>
    <row r="1711">
      <c r="J1711">
        <f>IF(OR(H1711="",I1711=""),"",ROUND(100*H1711/I1711,0))</f>
        <v/>
      </c>
      <c r="M1711">
        <f>IF(D1711="","",IFERROR(INDEX(Classes!$B$2:$B$200,MATCH(D1711,Classes!$E$2:$E$200,0)),""))</f>
        <v/>
      </c>
    </row>
    <row r="1712">
      <c r="J1712">
        <f>IF(OR(H1712="",I1712=""),"",ROUND(100*H1712/I1712,0))</f>
        <v/>
      </c>
      <c r="M1712">
        <f>IF(D1712="","",IFERROR(INDEX(Classes!$B$2:$B$200,MATCH(D1712,Classes!$E$2:$E$200,0)),""))</f>
        <v/>
      </c>
    </row>
    <row r="1713">
      <c r="J1713">
        <f>IF(OR(H1713="",I1713=""),"",ROUND(100*H1713/I1713,0))</f>
        <v/>
      </c>
      <c r="M1713">
        <f>IF(D1713="","",IFERROR(INDEX(Classes!$B$2:$B$200,MATCH(D1713,Classes!$E$2:$E$200,0)),""))</f>
        <v/>
      </c>
    </row>
    <row r="1714">
      <c r="J1714">
        <f>IF(OR(H1714="",I1714=""),"",ROUND(100*H1714/I1714,0))</f>
        <v/>
      </c>
      <c r="M1714">
        <f>IF(D1714="","",IFERROR(INDEX(Classes!$B$2:$B$200,MATCH(D1714,Classes!$E$2:$E$200,0)),""))</f>
        <v/>
      </c>
    </row>
    <row r="1715">
      <c r="J1715">
        <f>IF(OR(H1715="",I1715=""),"",ROUND(100*H1715/I1715,0))</f>
        <v/>
      </c>
      <c r="M1715">
        <f>IF(D1715="","",IFERROR(INDEX(Classes!$B$2:$B$200,MATCH(D1715,Classes!$E$2:$E$200,0)),""))</f>
        <v/>
      </c>
    </row>
    <row r="1716">
      <c r="J1716">
        <f>IF(OR(H1716="",I1716=""),"",ROUND(100*H1716/I1716,0))</f>
        <v/>
      </c>
      <c r="M1716">
        <f>IF(D1716="","",IFERROR(INDEX(Classes!$B$2:$B$200,MATCH(D1716,Classes!$E$2:$E$200,0)),""))</f>
        <v/>
      </c>
    </row>
    <row r="1717">
      <c r="J1717">
        <f>IF(OR(H1717="",I1717=""),"",ROUND(100*H1717/I1717,0))</f>
        <v/>
      </c>
      <c r="M1717">
        <f>IF(D1717="","",IFERROR(INDEX(Classes!$B$2:$B$200,MATCH(D1717,Classes!$E$2:$E$200,0)),""))</f>
        <v/>
      </c>
    </row>
    <row r="1718">
      <c r="J1718">
        <f>IF(OR(H1718="",I1718=""),"",ROUND(100*H1718/I1718,0))</f>
        <v/>
      </c>
      <c r="M1718">
        <f>IF(D1718="","",IFERROR(INDEX(Classes!$B$2:$B$200,MATCH(D1718,Classes!$E$2:$E$200,0)),""))</f>
        <v/>
      </c>
    </row>
    <row r="1719">
      <c r="J1719">
        <f>IF(OR(H1719="",I1719=""),"",ROUND(100*H1719/I1719,0))</f>
        <v/>
      </c>
      <c r="M1719">
        <f>IF(D1719="","",IFERROR(INDEX(Classes!$B$2:$B$200,MATCH(D1719,Classes!$E$2:$E$200,0)),""))</f>
        <v/>
      </c>
    </row>
    <row r="1720">
      <c r="J1720">
        <f>IF(OR(H1720="",I1720=""),"",ROUND(100*H1720/I1720,0))</f>
        <v/>
      </c>
      <c r="M1720">
        <f>IF(D1720="","",IFERROR(INDEX(Classes!$B$2:$B$200,MATCH(D1720,Classes!$E$2:$E$200,0)),""))</f>
        <v/>
      </c>
    </row>
    <row r="1721">
      <c r="J1721">
        <f>IF(OR(H1721="",I1721=""),"",ROUND(100*H1721/I1721,0))</f>
        <v/>
      </c>
      <c r="M1721">
        <f>IF(D1721="","",IFERROR(INDEX(Classes!$B$2:$B$200,MATCH(D1721,Classes!$E$2:$E$200,0)),""))</f>
        <v/>
      </c>
    </row>
    <row r="1722">
      <c r="J1722">
        <f>IF(OR(H1722="",I1722=""),"",ROUND(100*H1722/I1722,0))</f>
        <v/>
      </c>
      <c r="M1722">
        <f>IF(D1722="","",IFERROR(INDEX(Classes!$B$2:$B$200,MATCH(D1722,Classes!$E$2:$E$200,0)),""))</f>
        <v/>
      </c>
    </row>
    <row r="1723">
      <c r="J1723">
        <f>IF(OR(H1723="",I1723=""),"",ROUND(100*H1723/I1723,0))</f>
        <v/>
      </c>
      <c r="M1723">
        <f>IF(D1723="","",IFERROR(INDEX(Classes!$B$2:$B$200,MATCH(D1723,Classes!$E$2:$E$200,0)),""))</f>
        <v/>
      </c>
    </row>
    <row r="1724">
      <c r="J1724">
        <f>IF(OR(H1724="",I1724=""),"",ROUND(100*H1724/I1724,0))</f>
        <v/>
      </c>
      <c r="M1724">
        <f>IF(D1724="","",IFERROR(INDEX(Classes!$B$2:$B$200,MATCH(D1724,Classes!$E$2:$E$200,0)),""))</f>
        <v/>
      </c>
    </row>
    <row r="1725">
      <c r="J1725">
        <f>IF(OR(H1725="",I1725=""),"",ROUND(100*H1725/I1725,0))</f>
        <v/>
      </c>
      <c r="M1725">
        <f>IF(D1725="","",IFERROR(INDEX(Classes!$B$2:$B$200,MATCH(D1725,Classes!$E$2:$E$200,0)),""))</f>
        <v/>
      </c>
    </row>
    <row r="1726">
      <c r="J1726">
        <f>IF(OR(H1726="",I1726=""),"",ROUND(100*H1726/I1726,0))</f>
        <v/>
      </c>
      <c r="M1726">
        <f>IF(D1726="","",IFERROR(INDEX(Classes!$B$2:$B$200,MATCH(D1726,Classes!$E$2:$E$200,0)),""))</f>
        <v/>
      </c>
    </row>
    <row r="1727">
      <c r="J1727">
        <f>IF(OR(H1727="",I1727=""),"",ROUND(100*H1727/I1727,0))</f>
        <v/>
      </c>
      <c r="M1727">
        <f>IF(D1727="","",IFERROR(INDEX(Classes!$B$2:$B$200,MATCH(D1727,Classes!$E$2:$E$200,0)),""))</f>
        <v/>
      </c>
    </row>
    <row r="1728">
      <c r="J1728">
        <f>IF(OR(H1728="",I1728=""),"",ROUND(100*H1728/I1728,0))</f>
        <v/>
      </c>
      <c r="M1728">
        <f>IF(D1728="","",IFERROR(INDEX(Classes!$B$2:$B$200,MATCH(D1728,Classes!$E$2:$E$200,0)),""))</f>
        <v/>
      </c>
    </row>
    <row r="1729">
      <c r="J1729">
        <f>IF(OR(H1729="",I1729=""),"",ROUND(100*H1729/I1729,0))</f>
        <v/>
      </c>
      <c r="M1729">
        <f>IF(D1729="","",IFERROR(INDEX(Classes!$B$2:$B$200,MATCH(D1729,Classes!$E$2:$E$200,0)),""))</f>
        <v/>
      </c>
    </row>
    <row r="1730">
      <c r="J1730">
        <f>IF(OR(H1730="",I1730=""),"",ROUND(100*H1730/I1730,0))</f>
        <v/>
      </c>
      <c r="M1730">
        <f>IF(D1730="","",IFERROR(INDEX(Classes!$B$2:$B$200,MATCH(D1730,Classes!$E$2:$E$200,0)),""))</f>
        <v/>
      </c>
    </row>
    <row r="1731">
      <c r="J1731">
        <f>IF(OR(H1731="",I1731=""),"",ROUND(100*H1731/I1731,0))</f>
        <v/>
      </c>
      <c r="M1731">
        <f>IF(D1731="","",IFERROR(INDEX(Classes!$B$2:$B$200,MATCH(D1731,Classes!$E$2:$E$200,0)),""))</f>
        <v/>
      </c>
    </row>
    <row r="1732">
      <c r="J1732">
        <f>IF(OR(H1732="",I1732=""),"",ROUND(100*H1732/I1732,0))</f>
        <v/>
      </c>
      <c r="M1732">
        <f>IF(D1732="","",IFERROR(INDEX(Classes!$B$2:$B$200,MATCH(D1732,Classes!$E$2:$E$200,0)),""))</f>
        <v/>
      </c>
    </row>
    <row r="1733">
      <c r="J1733">
        <f>IF(OR(H1733="",I1733=""),"",ROUND(100*H1733/I1733,0))</f>
        <v/>
      </c>
      <c r="M1733">
        <f>IF(D1733="","",IFERROR(INDEX(Classes!$B$2:$B$200,MATCH(D1733,Classes!$E$2:$E$200,0)),""))</f>
        <v/>
      </c>
    </row>
    <row r="1734">
      <c r="J1734">
        <f>IF(OR(H1734="",I1734=""),"",ROUND(100*H1734/I1734,0))</f>
        <v/>
      </c>
      <c r="M1734">
        <f>IF(D1734="","",IFERROR(INDEX(Classes!$B$2:$B$200,MATCH(D1734,Classes!$E$2:$E$200,0)),""))</f>
        <v/>
      </c>
    </row>
    <row r="1735">
      <c r="J1735">
        <f>IF(OR(H1735="",I1735=""),"",ROUND(100*H1735/I1735,0))</f>
        <v/>
      </c>
      <c r="M1735">
        <f>IF(D1735="","",IFERROR(INDEX(Classes!$B$2:$B$200,MATCH(D1735,Classes!$E$2:$E$200,0)),""))</f>
        <v/>
      </c>
    </row>
    <row r="1736">
      <c r="J1736">
        <f>IF(OR(H1736="",I1736=""),"",ROUND(100*H1736/I1736,0))</f>
        <v/>
      </c>
      <c r="M1736">
        <f>IF(D1736="","",IFERROR(INDEX(Classes!$B$2:$B$200,MATCH(D1736,Classes!$E$2:$E$200,0)),""))</f>
        <v/>
      </c>
    </row>
    <row r="1737">
      <c r="J1737">
        <f>IF(OR(H1737="",I1737=""),"",ROUND(100*H1737/I1737,0))</f>
        <v/>
      </c>
      <c r="M1737">
        <f>IF(D1737="","",IFERROR(INDEX(Classes!$B$2:$B$200,MATCH(D1737,Classes!$E$2:$E$200,0)),""))</f>
        <v/>
      </c>
    </row>
    <row r="1738">
      <c r="J1738">
        <f>IF(OR(H1738="",I1738=""),"",ROUND(100*H1738/I1738,0))</f>
        <v/>
      </c>
      <c r="M1738">
        <f>IF(D1738="","",IFERROR(INDEX(Classes!$B$2:$B$200,MATCH(D1738,Classes!$E$2:$E$200,0)),""))</f>
        <v/>
      </c>
    </row>
    <row r="1739">
      <c r="J1739">
        <f>IF(OR(H1739="",I1739=""),"",ROUND(100*H1739/I1739,0))</f>
        <v/>
      </c>
      <c r="M1739">
        <f>IF(D1739="","",IFERROR(INDEX(Classes!$B$2:$B$200,MATCH(D1739,Classes!$E$2:$E$200,0)),""))</f>
        <v/>
      </c>
    </row>
    <row r="1740">
      <c r="J1740">
        <f>IF(OR(H1740="",I1740=""),"",ROUND(100*H1740/I1740,0))</f>
        <v/>
      </c>
      <c r="M1740">
        <f>IF(D1740="","",IFERROR(INDEX(Classes!$B$2:$B$200,MATCH(D1740,Classes!$E$2:$E$200,0)),""))</f>
        <v/>
      </c>
    </row>
    <row r="1741">
      <c r="J1741">
        <f>IF(OR(H1741="",I1741=""),"",ROUND(100*H1741/I1741,0))</f>
        <v/>
      </c>
      <c r="M1741">
        <f>IF(D1741="","",IFERROR(INDEX(Classes!$B$2:$B$200,MATCH(D1741,Classes!$E$2:$E$200,0)),""))</f>
        <v/>
      </c>
    </row>
    <row r="1742">
      <c r="J1742">
        <f>IF(OR(H1742="",I1742=""),"",ROUND(100*H1742/I1742,0))</f>
        <v/>
      </c>
      <c r="M1742">
        <f>IF(D1742="","",IFERROR(INDEX(Classes!$B$2:$B$200,MATCH(D1742,Classes!$E$2:$E$200,0)),""))</f>
        <v/>
      </c>
    </row>
    <row r="1743">
      <c r="J1743">
        <f>IF(OR(H1743="",I1743=""),"",ROUND(100*H1743/I1743,0))</f>
        <v/>
      </c>
      <c r="M1743">
        <f>IF(D1743="","",IFERROR(INDEX(Classes!$B$2:$B$200,MATCH(D1743,Classes!$E$2:$E$200,0)),""))</f>
        <v/>
      </c>
    </row>
    <row r="1744">
      <c r="J1744">
        <f>IF(OR(H1744="",I1744=""),"",ROUND(100*H1744/I1744,0))</f>
        <v/>
      </c>
      <c r="M1744">
        <f>IF(D1744="","",IFERROR(INDEX(Classes!$B$2:$B$200,MATCH(D1744,Classes!$E$2:$E$200,0)),""))</f>
        <v/>
      </c>
    </row>
    <row r="1745">
      <c r="J1745">
        <f>IF(OR(H1745="",I1745=""),"",ROUND(100*H1745/I1745,0))</f>
        <v/>
      </c>
      <c r="M1745">
        <f>IF(D1745="","",IFERROR(INDEX(Classes!$B$2:$B$200,MATCH(D1745,Classes!$E$2:$E$200,0)),""))</f>
        <v/>
      </c>
    </row>
    <row r="1746">
      <c r="J1746">
        <f>IF(OR(H1746="",I1746=""),"",ROUND(100*H1746/I1746,0))</f>
        <v/>
      </c>
      <c r="M1746">
        <f>IF(D1746="","",IFERROR(INDEX(Classes!$B$2:$B$200,MATCH(D1746,Classes!$E$2:$E$200,0)),""))</f>
        <v/>
      </c>
    </row>
    <row r="1747">
      <c r="J1747">
        <f>IF(OR(H1747="",I1747=""),"",ROUND(100*H1747/I1747,0))</f>
        <v/>
      </c>
      <c r="M1747">
        <f>IF(D1747="","",IFERROR(INDEX(Classes!$B$2:$B$200,MATCH(D1747,Classes!$E$2:$E$200,0)),""))</f>
        <v/>
      </c>
    </row>
    <row r="1748">
      <c r="J1748">
        <f>IF(OR(H1748="",I1748=""),"",ROUND(100*H1748/I1748,0))</f>
        <v/>
      </c>
      <c r="M1748">
        <f>IF(D1748="","",IFERROR(INDEX(Classes!$B$2:$B$200,MATCH(D1748,Classes!$E$2:$E$200,0)),""))</f>
        <v/>
      </c>
    </row>
    <row r="1749">
      <c r="J1749">
        <f>IF(OR(H1749="",I1749=""),"",ROUND(100*H1749/I1749,0))</f>
        <v/>
      </c>
      <c r="M1749">
        <f>IF(D1749="","",IFERROR(INDEX(Classes!$B$2:$B$200,MATCH(D1749,Classes!$E$2:$E$200,0)),""))</f>
        <v/>
      </c>
    </row>
    <row r="1750">
      <c r="J1750">
        <f>IF(OR(H1750="",I1750=""),"",ROUND(100*H1750/I1750,0))</f>
        <v/>
      </c>
      <c r="M1750">
        <f>IF(D1750="","",IFERROR(INDEX(Classes!$B$2:$B$200,MATCH(D1750,Classes!$E$2:$E$200,0)),""))</f>
        <v/>
      </c>
    </row>
    <row r="1751">
      <c r="J1751">
        <f>IF(OR(H1751="",I1751=""),"",ROUND(100*H1751/I1751,0))</f>
        <v/>
      </c>
      <c r="M1751">
        <f>IF(D1751="","",IFERROR(INDEX(Classes!$B$2:$B$200,MATCH(D1751,Classes!$E$2:$E$200,0)),""))</f>
        <v/>
      </c>
    </row>
    <row r="1752">
      <c r="J1752">
        <f>IF(OR(H1752="",I1752=""),"",ROUND(100*H1752/I1752,0))</f>
        <v/>
      </c>
      <c r="M1752">
        <f>IF(D1752="","",IFERROR(INDEX(Classes!$B$2:$B$200,MATCH(D1752,Classes!$E$2:$E$200,0)),""))</f>
        <v/>
      </c>
    </row>
    <row r="1753">
      <c r="J1753">
        <f>IF(OR(H1753="",I1753=""),"",ROUND(100*H1753/I1753,0))</f>
        <v/>
      </c>
      <c r="M1753">
        <f>IF(D1753="","",IFERROR(INDEX(Classes!$B$2:$B$200,MATCH(D1753,Classes!$E$2:$E$200,0)),""))</f>
        <v/>
      </c>
    </row>
    <row r="1754">
      <c r="J1754">
        <f>IF(OR(H1754="",I1754=""),"",ROUND(100*H1754/I1754,0))</f>
        <v/>
      </c>
      <c r="M1754">
        <f>IF(D1754="","",IFERROR(INDEX(Classes!$B$2:$B$200,MATCH(D1754,Classes!$E$2:$E$200,0)),""))</f>
        <v/>
      </c>
    </row>
    <row r="1755">
      <c r="J1755">
        <f>IF(OR(H1755="",I1755=""),"",ROUND(100*H1755/I1755,0))</f>
        <v/>
      </c>
      <c r="M1755">
        <f>IF(D1755="","",IFERROR(INDEX(Classes!$B$2:$B$200,MATCH(D1755,Classes!$E$2:$E$200,0)),""))</f>
        <v/>
      </c>
    </row>
    <row r="1756">
      <c r="J1756">
        <f>IF(OR(H1756="",I1756=""),"",ROUND(100*H1756/I1756,0))</f>
        <v/>
      </c>
      <c r="M1756">
        <f>IF(D1756="","",IFERROR(INDEX(Classes!$B$2:$B$200,MATCH(D1756,Classes!$E$2:$E$200,0)),""))</f>
        <v/>
      </c>
    </row>
    <row r="1757">
      <c r="J1757">
        <f>IF(OR(H1757="",I1757=""),"",ROUND(100*H1757/I1757,0))</f>
        <v/>
      </c>
      <c r="M1757">
        <f>IF(D1757="","",IFERROR(INDEX(Classes!$B$2:$B$200,MATCH(D1757,Classes!$E$2:$E$200,0)),""))</f>
        <v/>
      </c>
    </row>
    <row r="1758">
      <c r="J1758">
        <f>IF(OR(H1758="",I1758=""),"",ROUND(100*H1758/I1758,0))</f>
        <v/>
      </c>
      <c r="M1758">
        <f>IF(D1758="","",IFERROR(INDEX(Classes!$B$2:$B$200,MATCH(D1758,Classes!$E$2:$E$200,0)),""))</f>
        <v/>
      </c>
    </row>
    <row r="1759">
      <c r="J1759">
        <f>IF(OR(H1759="",I1759=""),"",ROUND(100*H1759/I1759,0))</f>
        <v/>
      </c>
      <c r="M1759">
        <f>IF(D1759="","",IFERROR(INDEX(Classes!$B$2:$B$200,MATCH(D1759,Classes!$E$2:$E$200,0)),""))</f>
        <v/>
      </c>
    </row>
    <row r="1760">
      <c r="J1760">
        <f>IF(OR(H1760="",I1760=""),"",ROUND(100*H1760/I1760,0))</f>
        <v/>
      </c>
      <c r="M1760">
        <f>IF(D1760="","",IFERROR(INDEX(Classes!$B$2:$B$200,MATCH(D1760,Classes!$E$2:$E$200,0)),""))</f>
        <v/>
      </c>
    </row>
    <row r="1761">
      <c r="J1761">
        <f>IF(OR(H1761="",I1761=""),"",ROUND(100*H1761/I1761,0))</f>
        <v/>
      </c>
      <c r="M1761">
        <f>IF(D1761="","",IFERROR(INDEX(Classes!$B$2:$B$200,MATCH(D1761,Classes!$E$2:$E$200,0)),""))</f>
        <v/>
      </c>
    </row>
    <row r="1762">
      <c r="J1762">
        <f>IF(OR(H1762="",I1762=""),"",ROUND(100*H1762/I1762,0))</f>
        <v/>
      </c>
      <c r="M1762">
        <f>IF(D1762="","",IFERROR(INDEX(Classes!$B$2:$B$200,MATCH(D1762,Classes!$E$2:$E$200,0)),""))</f>
        <v/>
      </c>
    </row>
    <row r="1763">
      <c r="J1763">
        <f>IF(OR(H1763="",I1763=""),"",ROUND(100*H1763/I1763,0))</f>
        <v/>
      </c>
      <c r="M1763">
        <f>IF(D1763="","",IFERROR(INDEX(Classes!$B$2:$B$200,MATCH(D1763,Classes!$E$2:$E$200,0)),""))</f>
        <v/>
      </c>
    </row>
    <row r="1764">
      <c r="J1764">
        <f>IF(OR(H1764="",I1764=""),"",ROUND(100*H1764/I1764,0))</f>
        <v/>
      </c>
      <c r="M1764">
        <f>IF(D1764="","",IFERROR(INDEX(Classes!$B$2:$B$200,MATCH(D1764,Classes!$E$2:$E$200,0)),""))</f>
        <v/>
      </c>
    </row>
    <row r="1765">
      <c r="J1765">
        <f>IF(OR(H1765="",I1765=""),"",ROUND(100*H1765/I1765,0))</f>
        <v/>
      </c>
      <c r="M1765">
        <f>IF(D1765="","",IFERROR(INDEX(Classes!$B$2:$B$200,MATCH(D1765,Classes!$E$2:$E$200,0)),""))</f>
        <v/>
      </c>
    </row>
    <row r="1766">
      <c r="J1766">
        <f>IF(OR(H1766="",I1766=""),"",ROUND(100*H1766/I1766,0))</f>
        <v/>
      </c>
      <c r="M1766">
        <f>IF(D1766="","",IFERROR(INDEX(Classes!$B$2:$B$200,MATCH(D1766,Classes!$E$2:$E$200,0)),""))</f>
        <v/>
      </c>
    </row>
    <row r="1767">
      <c r="J1767">
        <f>IF(OR(H1767="",I1767=""),"",ROUND(100*H1767/I1767,0))</f>
        <v/>
      </c>
      <c r="M1767">
        <f>IF(D1767="","",IFERROR(INDEX(Classes!$B$2:$B$200,MATCH(D1767,Classes!$E$2:$E$200,0)),""))</f>
        <v/>
      </c>
    </row>
    <row r="1768">
      <c r="J1768">
        <f>IF(OR(H1768="",I1768=""),"",ROUND(100*H1768/I1768,0))</f>
        <v/>
      </c>
      <c r="M1768">
        <f>IF(D1768="","",IFERROR(INDEX(Classes!$B$2:$B$200,MATCH(D1768,Classes!$E$2:$E$200,0)),""))</f>
        <v/>
      </c>
    </row>
    <row r="1769">
      <c r="J1769">
        <f>IF(OR(H1769="",I1769=""),"",ROUND(100*H1769/I1769,0))</f>
        <v/>
      </c>
      <c r="M1769">
        <f>IF(D1769="","",IFERROR(INDEX(Classes!$B$2:$B$200,MATCH(D1769,Classes!$E$2:$E$200,0)),""))</f>
        <v/>
      </c>
    </row>
    <row r="1770">
      <c r="J1770">
        <f>IF(OR(H1770="",I1770=""),"",ROUND(100*H1770/I1770,0))</f>
        <v/>
      </c>
      <c r="M1770">
        <f>IF(D1770="","",IFERROR(INDEX(Classes!$B$2:$B$200,MATCH(D1770,Classes!$E$2:$E$200,0)),""))</f>
        <v/>
      </c>
    </row>
    <row r="1771">
      <c r="J1771">
        <f>IF(OR(H1771="",I1771=""),"",ROUND(100*H1771/I1771,0))</f>
        <v/>
      </c>
      <c r="M1771">
        <f>IF(D1771="","",IFERROR(INDEX(Classes!$B$2:$B$200,MATCH(D1771,Classes!$E$2:$E$200,0)),""))</f>
        <v/>
      </c>
    </row>
    <row r="1772">
      <c r="J1772">
        <f>IF(OR(H1772="",I1772=""),"",ROUND(100*H1772/I1772,0))</f>
        <v/>
      </c>
      <c r="M1772">
        <f>IF(D1772="","",IFERROR(INDEX(Classes!$B$2:$B$200,MATCH(D1772,Classes!$E$2:$E$200,0)),""))</f>
        <v/>
      </c>
    </row>
    <row r="1773">
      <c r="J1773">
        <f>IF(OR(H1773="",I1773=""),"",ROUND(100*H1773/I1773,0))</f>
        <v/>
      </c>
      <c r="M1773">
        <f>IF(D1773="","",IFERROR(INDEX(Classes!$B$2:$B$200,MATCH(D1773,Classes!$E$2:$E$200,0)),""))</f>
        <v/>
      </c>
    </row>
    <row r="1774">
      <c r="J1774">
        <f>IF(OR(H1774="",I1774=""),"",ROUND(100*H1774/I1774,0))</f>
        <v/>
      </c>
      <c r="M1774">
        <f>IF(D1774="","",IFERROR(INDEX(Classes!$B$2:$B$200,MATCH(D1774,Classes!$E$2:$E$200,0)),""))</f>
        <v/>
      </c>
    </row>
    <row r="1775">
      <c r="J1775">
        <f>IF(OR(H1775="",I1775=""),"",ROUND(100*H1775/I1775,0))</f>
        <v/>
      </c>
      <c r="M1775">
        <f>IF(D1775="","",IFERROR(INDEX(Classes!$B$2:$B$200,MATCH(D1775,Classes!$E$2:$E$200,0)),""))</f>
        <v/>
      </c>
    </row>
    <row r="1776">
      <c r="J1776">
        <f>IF(OR(H1776="",I1776=""),"",ROUND(100*H1776/I1776,0))</f>
        <v/>
      </c>
      <c r="M1776">
        <f>IF(D1776="","",IFERROR(INDEX(Classes!$B$2:$B$200,MATCH(D1776,Classes!$E$2:$E$200,0)),""))</f>
        <v/>
      </c>
    </row>
    <row r="1777">
      <c r="J1777">
        <f>IF(OR(H1777="",I1777=""),"",ROUND(100*H1777/I1777,0))</f>
        <v/>
      </c>
      <c r="M1777">
        <f>IF(D1777="","",IFERROR(INDEX(Classes!$B$2:$B$200,MATCH(D1777,Classes!$E$2:$E$200,0)),""))</f>
        <v/>
      </c>
    </row>
    <row r="1778">
      <c r="J1778">
        <f>IF(OR(H1778="",I1778=""),"",ROUND(100*H1778/I1778,0))</f>
        <v/>
      </c>
      <c r="M1778">
        <f>IF(D1778="","",IFERROR(INDEX(Classes!$B$2:$B$200,MATCH(D1778,Classes!$E$2:$E$200,0)),""))</f>
        <v/>
      </c>
    </row>
    <row r="1779">
      <c r="J1779">
        <f>IF(OR(H1779="",I1779=""),"",ROUND(100*H1779/I1779,0))</f>
        <v/>
      </c>
      <c r="M1779">
        <f>IF(D1779="","",IFERROR(INDEX(Classes!$B$2:$B$200,MATCH(D1779,Classes!$E$2:$E$200,0)),""))</f>
        <v/>
      </c>
    </row>
    <row r="1780">
      <c r="J1780">
        <f>IF(OR(H1780="",I1780=""),"",ROUND(100*H1780/I1780,0))</f>
        <v/>
      </c>
      <c r="M1780">
        <f>IF(D1780="","",IFERROR(INDEX(Classes!$B$2:$B$200,MATCH(D1780,Classes!$E$2:$E$200,0)),""))</f>
        <v/>
      </c>
    </row>
    <row r="1781">
      <c r="J1781">
        <f>IF(OR(H1781="",I1781=""),"",ROUND(100*H1781/I1781,0))</f>
        <v/>
      </c>
      <c r="M1781">
        <f>IF(D1781="","",IFERROR(INDEX(Classes!$B$2:$B$200,MATCH(D1781,Classes!$E$2:$E$200,0)),""))</f>
        <v/>
      </c>
    </row>
    <row r="1782">
      <c r="J1782">
        <f>IF(OR(H1782="",I1782=""),"",ROUND(100*H1782/I1782,0))</f>
        <v/>
      </c>
      <c r="M1782">
        <f>IF(D1782="","",IFERROR(INDEX(Classes!$B$2:$B$200,MATCH(D1782,Classes!$E$2:$E$200,0)),""))</f>
        <v/>
      </c>
    </row>
    <row r="1783">
      <c r="J1783">
        <f>IF(OR(H1783="",I1783=""),"",ROUND(100*H1783/I1783,0))</f>
        <v/>
      </c>
      <c r="M1783">
        <f>IF(D1783="","",IFERROR(INDEX(Classes!$B$2:$B$200,MATCH(D1783,Classes!$E$2:$E$200,0)),""))</f>
        <v/>
      </c>
    </row>
    <row r="1784">
      <c r="J1784">
        <f>IF(OR(H1784="",I1784=""),"",ROUND(100*H1784/I1784,0))</f>
        <v/>
      </c>
      <c r="M1784">
        <f>IF(D1784="","",IFERROR(INDEX(Classes!$B$2:$B$200,MATCH(D1784,Classes!$E$2:$E$200,0)),""))</f>
        <v/>
      </c>
    </row>
    <row r="1785">
      <c r="J1785">
        <f>IF(OR(H1785="",I1785=""),"",ROUND(100*H1785/I1785,0))</f>
        <v/>
      </c>
      <c r="M1785">
        <f>IF(D1785="","",IFERROR(INDEX(Classes!$B$2:$B$200,MATCH(D1785,Classes!$E$2:$E$200,0)),""))</f>
        <v/>
      </c>
    </row>
    <row r="1786">
      <c r="J1786">
        <f>IF(OR(H1786="",I1786=""),"",ROUND(100*H1786/I1786,0))</f>
        <v/>
      </c>
      <c r="M1786">
        <f>IF(D1786="","",IFERROR(INDEX(Classes!$B$2:$B$200,MATCH(D1786,Classes!$E$2:$E$200,0)),""))</f>
        <v/>
      </c>
    </row>
    <row r="1787">
      <c r="J1787">
        <f>IF(OR(H1787="",I1787=""),"",ROUND(100*H1787/I1787,0))</f>
        <v/>
      </c>
      <c r="M1787">
        <f>IF(D1787="","",IFERROR(INDEX(Classes!$B$2:$B$200,MATCH(D1787,Classes!$E$2:$E$200,0)),""))</f>
        <v/>
      </c>
    </row>
    <row r="1788">
      <c r="J1788">
        <f>IF(OR(H1788="",I1788=""),"",ROUND(100*H1788/I1788,0))</f>
        <v/>
      </c>
      <c r="M1788">
        <f>IF(D1788="","",IFERROR(INDEX(Classes!$B$2:$B$200,MATCH(D1788,Classes!$E$2:$E$200,0)),""))</f>
        <v/>
      </c>
    </row>
    <row r="1789">
      <c r="J1789">
        <f>IF(OR(H1789="",I1789=""),"",ROUND(100*H1789/I1789,0))</f>
        <v/>
      </c>
      <c r="M1789">
        <f>IF(D1789="","",IFERROR(INDEX(Classes!$B$2:$B$200,MATCH(D1789,Classes!$E$2:$E$200,0)),""))</f>
        <v/>
      </c>
    </row>
    <row r="1790">
      <c r="J1790">
        <f>IF(OR(H1790="",I1790=""),"",ROUND(100*H1790/I1790,0))</f>
        <v/>
      </c>
      <c r="M1790">
        <f>IF(D1790="","",IFERROR(INDEX(Classes!$B$2:$B$200,MATCH(D1790,Classes!$E$2:$E$200,0)),""))</f>
        <v/>
      </c>
    </row>
    <row r="1791">
      <c r="J1791">
        <f>IF(OR(H1791="",I1791=""),"",ROUND(100*H1791/I1791,0))</f>
        <v/>
      </c>
      <c r="M1791">
        <f>IF(D1791="","",IFERROR(INDEX(Classes!$B$2:$B$200,MATCH(D1791,Classes!$E$2:$E$200,0)),""))</f>
        <v/>
      </c>
    </row>
    <row r="1792">
      <c r="J1792">
        <f>IF(OR(H1792="",I1792=""),"",ROUND(100*H1792/I1792,0))</f>
        <v/>
      </c>
      <c r="M1792">
        <f>IF(D1792="","",IFERROR(INDEX(Classes!$B$2:$B$200,MATCH(D1792,Classes!$E$2:$E$200,0)),""))</f>
        <v/>
      </c>
    </row>
    <row r="1793">
      <c r="J1793">
        <f>IF(OR(H1793="",I1793=""),"",ROUND(100*H1793/I1793,0))</f>
        <v/>
      </c>
      <c r="M1793">
        <f>IF(D1793="","",IFERROR(INDEX(Classes!$B$2:$B$200,MATCH(D1793,Classes!$E$2:$E$200,0)),""))</f>
        <v/>
      </c>
    </row>
    <row r="1794">
      <c r="J1794">
        <f>IF(OR(H1794="",I1794=""),"",ROUND(100*H1794/I1794,0))</f>
        <v/>
      </c>
      <c r="M1794">
        <f>IF(D1794="","",IFERROR(INDEX(Classes!$B$2:$B$200,MATCH(D1794,Classes!$E$2:$E$200,0)),""))</f>
        <v/>
      </c>
    </row>
    <row r="1795">
      <c r="J1795">
        <f>IF(OR(H1795="",I1795=""),"",ROUND(100*H1795/I1795,0))</f>
        <v/>
      </c>
      <c r="M1795">
        <f>IF(D1795="","",IFERROR(INDEX(Classes!$B$2:$B$200,MATCH(D1795,Classes!$E$2:$E$200,0)),""))</f>
        <v/>
      </c>
    </row>
    <row r="1796">
      <c r="J1796">
        <f>IF(OR(H1796="",I1796=""),"",ROUND(100*H1796/I1796,0))</f>
        <v/>
      </c>
      <c r="M1796">
        <f>IF(D1796="","",IFERROR(INDEX(Classes!$B$2:$B$200,MATCH(D1796,Classes!$E$2:$E$200,0)),""))</f>
        <v/>
      </c>
    </row>
    <row r="1797">
      <c r="J1797">
        <f>IF(OR(H1797="",I1797=""),"",ROUND(100*H1797/I1797,0))</f>
        <v/>
      </c>
      <c r="M1797">
        <f>IF(D1797="","",IFERROR(INDEX(Classes!$B$2:$B$200,MATCH(D1797,Classes!$E$2:$E$200,0)),""))</f>
        <v/>
      </c>
    </row>
    <row r="1798">
      <c r="J1798">
        <f>IF(OR(H1798="",I1798=""),"",ROUND(100*H1798/I1798,0))</f>
        <v/>
      </c>
      <c r="M1798">
        <f>IF(D1798="","",IFERROR(INDEX(Classes!$B$2:$B$200,MATCH(D1798,Classes!$E$2:$E$200,0)),""))</f>
        <v/>
      </c>
    </row>
    <row r="1799">
      <c r="J1799">
        <f>IF(OR(H1799="",I1799=""),"",ROUND(100*H1799/I1799,0))</f>
        <v/>
      </c>
      <c r="M1799">
        <f>IF(D1799="","",IFERROR(INDEX(Classes!$B$2:$B$200,MATCH(D1799,Classes!$E$2:$E$200,0)),""))</f>
        <v/>
      </c>
    </row>
    <row r="1800">
      <c r="J1800">
        <f>IF(OR(H1800="",I1800=""),"",ROUND(100*H1800/I1800,0))</f>
        <v/>
      </c>
      <c r="M1800">
        <f>IF(D1800="","",IFERROR(INDEX(Classes!$B$2:$B$200,MATCH(D1800,Classes!$E$2:$E$200,0)),""))</f>
        <v/>
      </c>
    </row>
    <row r="1801">
      <c r="J1801">
        <f>IF(OR(H1801="",I1801=""),"",ROUND(100*H1801/I1801,0))</f>
        <v/>
      </c>
      <c r="M1801">
        <f>IF(D1801="","",IFERROR(INDEX(Classes!$B$2:$B$200,MATCH(D1801,Classes!$E$2:$E$200,0)),""))</f>
        <v/>
      </c>
    </row>
    <row r="1802">
      <c r="J1802">
        <f>IF(OR(H1802="",I1802=""),"",ROUND(100*H1802/I1802,0))</f>
        <v/>
      </c>
      <c r="M1802">
        <f>IF(D1802="","",IFERROR(INDEX(Classes!$B$2:$B$200,MATCH(D1802,Classes!$E$2:$E$200,0)),""))</f>
        <v/>
      </c>
    </row>
    <row r="1803">
      <c r="J1803">
        <f>IF(OR(H1803="",I1803=""),"",ROUND(100*H1803/I1803,0))</f>
        <v/>
      </c>
      <c r="M1803">
        <f>IF(D1803="","",IFERROR(INDEX(Classes!$B$2:$B$200,MATCH(D1803,Classes!$E$2:$E$200,0)),""))</f>
        <v/>
      </c>
    </row>
    <row r="1804">
      <c r="J1804">
        <f>IF(OR(H1804="",I1804=""),"",ROUND(100*H1804/I1804,0))</f>
        <v/>
      </c>
      <c r="M1804">
        <f>IF(D1804="","",IFERROR(INDEX(Classes!$B$2:$B$200,MATCH(D1804,Classes!$E$2:$E$200,0)),""))</f>
        <v/>
      </c>
    </row>
    <row r="1805">
      <c r="J1805">
        <f>IF(OR(H1805="",I1805=""),"",ROUND(100*H1805/I1805,0))</f>
        <v/>
      </c>
      <c r="M1805">
        <f>IF(D1805="","",IFERROR(INDEX(Classes!$B$2:$B$200,MATCH(D1805,Classes!$E$2:$E$200,0)),""))</f>
        <v/>
      </c>
    </row>
    <row r="1806">
      <c r="J1806">
        <f>IF(OR(H1806="",I1806=""),"",ROUND(100*H1806/I1806,0))</f>
        <v/>
      </c>
      <c r="M1806">
        <f>IF(D1806="","",IFERROR(INDEX(Classes!$B$2:$B$200,MATCH(D1806,Classes!$E$2:$E$200,0)),""))</f>
        <v/>
      </c>
    </row>
    <row r="1807">
      <c r="J1807">
        <f>IF(OR(H1807="",I1807=""),"",ROUND(100*H1807/I1807,0))</f>
        <v/>
      </c>
      <c r="M1807">
        <f>IF(D1807="","",IFERROR(INDEX(Classes!$B$2:$B$200,MATCH(D1807,Classes!$E$2:$E$200,0)),""))</f>
        <v/>
      </c>
    </row>
    <row r="1808">
      <c r="J1808">
        <f>IF(OR(H1808="",I1808=""),"",ROUND(100*H1808/I1808,0))</f>
        <v/>
      </c>
      <c r="M1808">
        <f>IF(D1808="","",IFERROR(INDEX(Classes!$B$2:$B$200,MATCH(D1808,Classes!$E$2:$E$200,0)),""))</f>
        <v/>
      </c>
    </row>
    <row r="1809">
      <c r="J1809">
        <f>IF(OR(H1809="",I1809=""),"",ROUND(100*H1809/I1809,0))</f>
        <v/>
      </c>
      <c r="M1809">
        <f>IF(D1809="","",IFERROR(INDEX(Classes!$B$2:$B$200,MATCH(D1809,Classes!$E$2:$E$200,0)),""))</f>
        <v/>
      </c>
    </row>
    <row r="1810">
      <c r="J1810">
        <f>IF(OR(H1810="",I1810=""),"",ROUND(100*H1810/I1810,0))</f>
        <v/>
      </c>
      <c r="M1810">
        <f>IF(D1810="","",IFERROR(INDEX(Classes!$B$2:$B$200,MATCH(D1810,Classes!$E$2:$E$200,0)),""))</f>
        <v/>
      </c>
    </row>
    <row r="1811">
      <c r="J1811">
        <f>IF(OR(H1811="",I1811=""),"",ROUND(100*H1811/I1811,0))</f>
        <v/>
      </c>
      <c r="M1811">
        <f>IF(D1811="","",IFERROR(INDEX(Classes!$B$2:$B$200,MATCH(D1811,Classes!$E$2:$E$200,0)),""))</f>
        <v/>
      </c>
    </row>
    <row r="1812">
      <c r="J1812">
        <f>IF(OR(H1812="",I1812=""),"",ROUND(100*H1812/I1812,0))</f>
        <v/>
      </c>
      <c r="M1812">
        <f>IF(D1812="","",IFERROR(INDEX(Classes!$B$2:$B$200,MATCH(D1812,Classes!$E$2:$E$200,0)),""))</f>
        <v/>
      </c>
    </row>
    <row r="1813">
      <c r="J1813">
        <f>IF(OR(H1813="",I1813=""),"",ROUND(100*H1813/I1813,0))</f>
        <v/>
      </c>
      <c r="M1813">
        <f>IF(D1813="","",IFERROR(INDEX(Classes!$B$2:$B$200,MATCH(D1813,Classes!$E$2:$E$200,0)),""))</f>
        <v/>
      </c>
    </row>
    <row r="1814">
      <c r="J1814">
        <f>IF(OR(H1814="",I1814=""),"",ROUND(100*H1814/I1814,0))</f>
        <v/>
      </c>
      <c r="M1814">
        <f>IF(D1814="","",IFERROR(INDEX(Classes!$B$2:$B$200,MATCH(D1814,Classes!$E$2:$E$200,0)),""))</f>
        <v/>
      </c>
    </row>
    <row r="1815">
      <c r="J1815">
        <f>IF(OR(H1815="",I1815=""),"",ROUND(100*H1815/I1815,0))</f>
        <v/>
      </c>
      <c r="M1815">
        <f>IF(D1815="","",IFERROR(INDEX(Classes!$B$2:$B$200,MATCH(D1815,Classes!$E$2:$E$200,0)),""))</f>
        <v/>
      </c>
    </row>
    <row r="1816">
      <c r="J1816">
        <f>IF(OR(H1816="",I1816=""),"",ROUND(100*H1816/I1816,0))</f>
        <v/>
      </c>
      <c r="M1816">
        <f>IF(D1816="","",IFERROR(INDEX(Classes!$B$2:$B$200,MATCH(D1816,Classes!$E$2:$E$200,0)),""))</f>
        <v/>
      </c>
    </row>
    <row r="1817">
      <c r="J1817">
        <f>IF(OR(H1817="",I1817=""),"",ROUND(100*H1817/I1817,0))</f>
        <v/>
      </c>
      <c r="M1817">
        <f>IF(D1817="","",IFERROR(INDEX(Classes!$B$2:$B$200,MATCH(D1817,Classes!$E$2:$E$200,0)),""))</f>
        <v/>
      </c>
    </row>
    <row r="1818">
      <c r="J1818">
        <f>IF(OR(H1818="",I1818=""),"",ROUND(100*H1818/I1818,0))</f>
        <v/>
      </c>
      <c r="M1818">
        <f>IF(D1818="","",IFERROR(INDEX(Classes!$B$2:$B$200,MATCH(D1818,Classes!$E$2:$E$200,0)),""))</f>
        <v/>
      </c>
    </row>
    <row r="1819">
      <c r="J1819">
        <f>IF(OR(H1819="",I1819=""),"",ROUND(100*H1819/I1819,0))</f>
        <v/>
      </c>
      <c r="M1819">
        <f>IF(D1819="","",IFERROR(INDEX(Classes!$B$2:$B$200,MATCH(D1819,Classes!$E$2:$E$200,0)),""))</f>
        <v/>
      </c>
    </row>
    <row r="1820">
      <c r="J1820">
        <f>IF(OR(H1820="",I1820=""),"",ROUND(100*H1820/I1820,0))</f>
        <v/>
      </c>
      <c r="M1820">
        <f>IF(D1820="","",IFERROR(INDEX(Classes!$B$2:$B$200,MATCH(D1820,Classes!$E$2:$E$200,0)),""))</f>
        <v/>
      </c>
    </row>
    <row r="1821">
      <c r="J1821">
        <f>IF(OR(H1821="",I1821=""),"",ROUND(100*H1821/I1821,0))</f>
        <v/>
      </c>
      <c r="M1821">
        <f>IF(D1821="","",IFERROR(INDEX(Classes!$B$2:$B$200,MATCH(D1821,Classes!$E$2:$E$200,0)),""))</f>
        <v/>
      </c>
    </row>
    <row r="1822">
      <c r="J1822">
        <f>IF(OR(H1822="",I1822=""),"",ROUND(100*H1822/I1822,0))</f>
        <v/>
      </c>
      <c r="M1822">
        <f>IF(D1822="","",IFERROR(INDEX(Classes!$B$2:$B$200,MATCH(D1822,Classes!$E$2:$E$200,0)),""))</f>
        <v/>
      </c>
    </row>
    <row r="1823">
      <c r="J1823">
        <f>IF(OR(H1823="",I1823=""),"",ROUND(100*H1823/I1823,0))</f>
        <v/>
      </c>
      <c r="M1823">
        <f>IF(D1823="","",IFERROR(INDEX(Classes!$B$2:$B$200,MATCH(D1823,Classes!$E$2:$E$200,0)),""))</f>
        <v/>
      </c>
    </row>
    <row r="1824">
      <c r="J1824">
        <f>IF(OR(H1824="",I1824=""),"",ROUND(100*H1824/I1824,0))</f>
        <v/>
      </c>
      <c r="M1824">
        <f>IF(D1824="","",IFERROR(INDEX(Classes!$B$2:$B$200,MATCH(D1824,Classes!$E$2:$E$200,0)),""))</f>
        <v/>
      </c>
    </row>
    <row r="1825">
      <c r="J1825">
        <f>IF(OR(H1825="",I1825=""),"",ROUND(100*H1825/I1825,0))</f>
        <v/>
      </c>
      <c r="M1825">
        <f>IF(D1825="","",IFERROR(INDEX(Classes!$B$2:$B$200,MATCH(D1825,Classes!$E$2:$E$200,0)),""))</f>
        <v/>
      </c>
    </row>
    <row r="1826">
      <c r="J1826">
        <f>IF(OR(H1826="",I1826=""),"",ROUND(100*H1826/I1826,0))</f>
        <v/>
      </c>
      <c r="M1826">
        <f>IF(D1826="","",IFERROR(INDEX(Classes!$B$2:$B$200,MATCH(D1826,Classes!$E$2:$E$200,0)),""))</f>
        <v/>
      </c>
    </row>
    <row r="1827">
      <c r="J1827">
        <f>IF(OR(H1827="",I1827=""),"",ROUND(100*H1827/I1827,0))</f>
        <v/>
      </c>
      <c r="M1827">
        <f>IF(D1827="","",IFERROR(INDEX(Classes!$B$2:$B$200,MATCH(D1827,Classes!$E$2:$E$200,0)),""))</f>
        <v/>
      </c>
    </row>
    <row r="1828">
      <c r="J1828">
        <f>IF(OR(H1828="",I1828=""),"",ROUND(100*H1828/I1828,0))</f>
        <v/>
      </c>
      <c r="M1828">
        <f>IF(D1828="","",IFERROR(INDEX(Classes!$B$2:$B$200,MATCH(D1828,Classes!$E$2:$E$200,0)),""))</f>
        <v/>
      </c>
    </row>
    <row r="1829">
      <c r="J1829">
        <f>IF(OR(H1829="",I1829=""),"",ROUND(100*H1829/I1829,0))</f>
        <v/>
      </c>
      <c r="M1829">
        <f>IF(D1829="","",IFERROR(INDEX(Classes!$B$2:$B$200,MATCH(D1829,Classes!$E$2:$E$200,0)),""))</f>
        <v/>
      </c>
    </row>
    <row r="1830">
      <c r="J1830">
        <f>IF(OR(H1830="",I1830=""),"",ROUND(100*H1830/I1830,0))</f>
        <v/>
      </c>
      <c r="M1830">
        <f>IF(D1830="","",IFERROR(INDEX(Classes!$B$2:$B$200,MATCH(D1830,Classes!$E$2:$E$200,0)),""))</f>
        <v/>
      </c>
    </row>
    <row r="1831">
      <c r="J1831">
        <f>IF(OR(H1831="",I1831=""),"",ROUND(100*H1831/I1831,0))</f>
        <v/>
      </c>
      <c r="M1831">
        <f>IF(D1831="","",IFERROR(INDEX(Classes!$B$2:$B$200,MATCH(D1831,Classes!$E$2:$E$200,0)),""))</f>
        <v/>
      </c>
    </row>
    <row r="1832">
      <c r="J1832">
        <f>IF(OR(H1832="",I1832=""),"",ROUND(100*H1832/I1832,0))</f>
        <v/>
      </c>
      <c r="M1832">
        <f>IF(D1832="","",IFERROR(INDEX(Classes!$B$2:$B$200,MATCH(D1832,Classes!$E$2:$E$200,0)),""))</f>
        <v/>
      </c>
    </row>
    <row r="1833">
      <c r="J1833">
        <f>IF(OR(H1833="",I1833=""),"",ROUND(100*H1833/I1833,0))</f>
        <v/>
      </c>
      <c r="M1833">
        <f>IF(D1833="","",IFERROR(INDEX(Classes!$B$2:$B$200,MATCH(D1833,Classes!$E$2:$E$200,0)),""))</f>
        <v/>
      </c>
    </row>
    <row r="1834">
      <c r="J1834">
        <f>IF(OR(H1834="",I1834=""),"",ROUND(100*H1834/I1834,0))</f>
        <v/>
      </c>
      <c r="M1834">
        <f>IF(D1834="","",IFERROR(INDEX(Classes!$B$2:$B$200,MATCH(D1834,Classes!$E$2:$E$200,0)),""))</f>
        <v/>
      </c>
    </row>
    <row r="1835">
      <c r="J1835">
        <f>IF(OR(H1835="",I1835=""),"",ROUND(100*H1835/I1835,0))</f>
        <v/>
      </c>
      <c r="M1835">
        <f>IF(D1835="","",IFERROR(INDEX(Classes!$B$2:$B$200,MATCH(D1835,Classes!$E$2:$E$200,0)),""))</f>
        <v/>
      </c>
    </row>
    <row r="1836">
      <c r="J1836">
        <f>IF(OR(H1836="",I1836=""),"",ROUND(100*H1836/I1836,0))</f>
        <v/>
      </c>
      <c r="M1836">
        <f>IF(D1836="","",IFERROR(INDEX(Classes!$B$2:$B$200,MATCH(D1836,Classes!$E$2:$E$200,0)),""))</f>
        <v/>
      </c>
    </row>
    <row r="1837">
      <c r="J1837">
        <f>IF(OR(H1837="",I1837=""),"",ROUND(100*H1837/I1837,0))</f>
        <v/>
      </c>
      <c r="M1837">
        <f>IF(D1837="","",IFERROR(INDEX(Classes!$B$2:$B$200,MATCH(D1837,Classes!$E$2:$E$200,0)),""))</f>
        <v/>
      </c>
    </row>
    <row r="1838">
      <c r="J1838">
        <f>IF(OR(H1838="",I1838=""),"",ROUND(100*H1838/I1838,0))</f>
        <v/>
      </c>
      <c r="M1838">
        <f>IF(D1838="","",IFERROR(INDEX(Classes!$B$2:$B$200,MATCH(D1838,Classes!$E$2:$E$200,0)),""))</f>
        <v/>
      </c>
    </row>
    <row r="1839">
      <c r="J1839">
        <f>IF(OR(H1839="",I1839=""),"",ROUND(100*H1839/I1839,0))</f>
        <v/>
      </c>
      <c r="M1839">
        <f>IF(D1839="","",IFERROR(INDEX(Classes!$B$2:$B$200,MATCH(D1839,Classes!$E$2:$E$200,0)),""))</f>
        <v/>
      </c>
    </row>
    <row r="1840">
      <c r="J1840">
        <f>IF(OR(H1840="",I1840=""),"",ROUND(100*H1840/I1840,0))</f>
        <v/>
      </c>
      <c r="M1840">
        <f>IF(D1840="","",IFERROR(INDEX(Classes!$B$2:$B$200,MATCH(D1840,Classes!$E$2:$E$200,0)),""))</f>
        <v/>
      </c>
    </row>
    <row r="1841">
      <c r="J1841">
        <f>IF(OR(H1841="",I1841=""),"",ROUND(100*H1841/I1841,0))</f>
        <v/>
      </c>
      <c r="M1841">
        <f>IF(D1841="","",IFERROR(INDEX(Classes!$B$2:$B$200,MATCH(D1841,Classes!$E$2:$E$200,0)),""))</f>
        <v/>
      </c>
    </row>
    <row r="1842">
      <c r="J1842">
        <f>IF(OR(H1842="",I1842=""),"",ROUND(100*H1842/I1842,0))</f>
        <v/>
      </c>
      <c r="M1842">
        <f>IF(D1842="","",IFERROR(INDEX(Classes!$B$2:$B$200,MATCH(D1842,Classes!$E$2:$E$200,0)),""))</f>
        <v/>
      </c>
    </row>
    <row r="1843">
      <c r="J1843">
        <f>IF(OR(H1843="",I1843=""),"",ROUND(100*H1843/I1843,0))</f>
        <v/>
      </c>
      <c r="M1843">
        <f>IF(D1843="","",IFERROR(INDEX(Classes!$B$2:$B$200,MATCH(D1843,Classes!$E$2:$E$200,0)),""))</f>
        <v/>
      </c>
    </row>
    <row r="1844">
      <c r="J1844">
        <f>IF(OR(H1844="",I1844=""),"",ROUND(100*H1844/I1844,0))</f>
        <v/>
      </c>
      <c r="M1844">
        <f>IF(D1844="","",IFERROR(INDEX(Classes!$B$2:$B$200,MATCH(D1844,Classes!$E$2:$E$200,0)),""))</f>
        <v/>
      </c>
    </row>
    <row r="1845">
      <c r="J1845">
        <f>IF(OR(H1845="",I1845=""),"",ROUND(100*H1845/I1845,0))</f>
        <v/>
      </c>
      <c r="M1845">
        <f>IF(D1845="","",IFERROR(INDEX(Classes!$B$2:$B$200,MATCH(D1845,Classes!$E$2:$E$200,0)),""))</f>
        <v/>
      </c>
    </row>
    <row r="1846">
      <c r="J1846">
        <f>IF(OR(H1846="",I1846=""),"",ROUND(100*H1846/I1846,0))</f>
        <v/>
      </c>
      <c r="M1846">
        <f>IF(D1846="","",IFERROR(INDEX(Classes!$B$2:$B$200,MATCH(D1846,Classes!$E$2:$E$200,0)),""))</f>
        <v/>
      </c>
    </row>
    <row r="1847">
      <c r="J1847">
        <f>IF(OR(H1847="",I1847=""),"",ROUND(100*H1847/I1847,0))</f>
        <v/>
      </c>
      <c r="M1847">
        <f>IF(D1847="","",IFERROR(INDEX(Classes!$B$2:$B$200,MATCH(D1847,Classes!$E$2:$E$200,0)),""))</f>
        <v/>
      </c>
    </row>
    <row r="1848">
      <c r="J1848">
        <f>IF(OR(H1848="",I1848=""),"",ROUND(100*H1848/I1848,0))</f>
        <v/>
      </c>
      <c r="M1848">
        <f>IF(D1848="","",IFERROR(INDEX(Classes!$B$2:$B$200,MATCH(D1848,Classes!$E$2:$E$200,0)),""))</f>
        <v/>
      </c>
    </row>
    <row r="1849">
      <c r="J1849">
        <f>IF(OR(H1849="",I1849=""),"",ROUND(100*H1849/I1849,0))</f>
        <v/>
      </c>
      <c r="M1849">
        <f>IF(D1849="","",IFERROR(INDEX(Classes!$B$2:$B$200,MATCH(D1849,Classes!$E$2:$E$200,0)),""))</f>
        <v/>
      </c>
    </row>
    <row r="1850">
      <c r="J1850">
        <f>IF(OR(H1850="",I1850=""),"",ROUND(100*H1850/I1850,0))</f>
        <v/>
      </c>
      <c r="M1850">
        <f>IF(D1850="","",IFERROR(INDEX(Classes!$B$2:$B$200,MATCH(D1850,Classes!$E$2:$E$200,0)),""))</f>
        <v/>
      </c>
    </row>
    <row r="1851">
      <c r="J1851">
        <f>IF(OR(H1851="",I1851=""),"",ROUND(100*H1851/I1851,0))</f>
        <v/>
      </c>
      <c r="M1851">
        <f>IF(D1851="","",IFERROR(INDEX(Classes!$B$2:$B$200,MATCH(D1851,Classes!$E$2:$E$200,0)),""))</f>
        <v/>
      </c>
    </row>
    <row r="1852">
      <c r="J1852">
        <f>IF(OR(H1852="",I1852=""),"",ROUND(100*H1852/I1852,0))</f>
        <v/>
      </c>
      <c r="M1852">
        <f>IF(D1852="","",IFERROR(INDEX(Classes!$B$2:$B$200,MATCH(D1852,Classes!$E$2:$E$200,0)),""))</f>
        <v/>
      </c>
    </row>
    <row r="1853">
      <c r="J1853">
        <f>IF(OR(H1853="",I1853=""),"",ROUND(100*H1853/I1853,0))</f>
        <v/>
      </c>
      <c r="M1853">
        <f>IF(D1853="","",IFERROR(INDEX(Classes!$B$2:$B$200,MATCH(D1853,Classes!$E$2:$E$200,0)),""))</f>
        <v/>
      </c>
    </row>
    <row r="1854">
      <c r="J1854">
        <f>IF(OR(H1854="",I1854=""),"",ROUND(100*H1854/I1854,0))</f>
        <v/>
      </c>
      <c r="M1854">
        <f>IF(D1854="","",IFERROR(INDEX(Classes!$B$2:$B$200,MATCH(D1854,Classes!$E$2:$E$200,0)),""))</f>
        <v/>
      </c>
    </row>
    <row r="1855">
      <c r="J1855">
        <f>IF(OR(H1855="",I1855=""),"",ROUND(100*H1855/I1855,0))</f>
        <v/>
      </c>
      <c r="M1855">
        <f>IF(D1855="","",IFERROR(INDEX(Classes!$B$2:$B$200,MATCH(D1855,Classes!$E$2:$E$200,0)),""))</f>
        <v/>
      </c>
    </row>
    <row r="1856">
      <c r="J1856">
        <f>IF(OR(H1856="",I1856=""),"",ROUND(100*H1856/I1856,0))</f>
        <v/>
      </c>
      <c r="M1856">
        <f>IF(D1856="","",IFERROR(INDEX(Classes!$B$2:$B$200,MATCH(D1856,Classes!$E$2:$E$200,0)),""))</f>
        <v/>
      </c>
    </row>
    <row r="1857">
      <c r="J1857">
        <f>IF(OR(H1857="",I1857=""),"",ROUND(100*H1857/I1857,0))</f>
        <v/>
      </c>
      <c r="M1857">
        <f>IF(D1857="","",IFERROR(INDEX(Classes!$B$2:$B$200,MATCH(D1857,Classes!$E$2:$E$200,0)),""))</f>
        <v/>
      </c>
    </row>
    <row r="1858">
      <c r="J1858">
        <f>IF(OR(H1858="",I1858=""),"",ROUND(100*H1858/I1858,0))</f>
        <v/>
      </c>
      <c r="M1858">
        <f>IF(D1858="","",IFERROR(INDEX(Classes!$B$2:$B$200,MATCH(D1858,Classes!$E$2:$E$200,0)),""))</f>
        <v/>
      </c>
    </row>
    <row r="1859">
      <c r="J1859">
        <f>IF(OR(H1859="",I1859=""),"",ROUND(100*H1859/I1859,0))</f>
        <v/>
      </c>
      <c r="M1859">
        <f>IF(D1859="","",IFERROR(INDEX(Classes!$B$2:$B$200,MATCH(D1859,Classes!$E$2:$E$200,0)),""))</f>
        <v/>
      </c>
    </row>
    <row r="1860">
      <c r="J1860">
        <f>IF(OR(H1860="",I1860=""),"",ROUND(100*H1860/I1860,0))</f>
        <v/>
      </c>
      <c r="M1860">
        <f>IF(D1860="","",IFERROR(INDEX(Classes!$B$2:$B$200,MATCH(D1860,Classes!$E$2:$E$200,0)),""))</f>
        <v/>
      </c>
    </row>
    <row r="1861">
      <c r="J1861">
        <f>IF(OR(H1861="",I1861=""),"",ROUND(100*H1861/I1861,0))</f>
        <v/>
      </c>
      <c r="M1861">
        <f>IF(D1861="","",IFERROR(INDEX(Classes!$B$2:$B$200,MATCH(D1861,Classes!$E$2:$E$200,0)),""))</f>
        <v/>
      </c>
    </row>
    <row r="1862">
      <c r="J1862">
        <f>IF(OR(H1862="",I1862=""),"",ROUND(100*H1862/I1862,0))</f>
        <v/>
      </c>
      <c r="M1862">
        <f>IF(D1862="","",IFERROR(INDEX(Classes!$B$2:$B$200,MATCH(D1862,Classes!$E$2:$E$200,0)),""))</f>
        <v/>
      </c>
    </row>
    <row r="1863">
      <c r="J1863">
        <f>IF(OR(H1863="",I1863=""),"",ROUND(100*H1863/I1863,0))</f>
        <v/>
      </c>
      <c r="M1863">
        <f>IF(D1863="","",IFERROR(INDEX(Classes!$B$2:$B$200,MATCH(D1863,Classes!$E$2:$E$200,0)),""))</f>
        <v/>
      </c>
    </row>
    <row r="1864">
      <c r="J1864">
        <f>IF(OR(H1864="",I1864=""),"",ROUND(100*H1864/I1864,0))</f>
        <v/>
      </c>
      <c r="M1864">
        <f>IF(D1864="","",IFERROR(INDEX(Classes!$B$2:$B$200,MATCH(D1864,Classes!$E$2:$E$200,0)),""))</f>
        <v/>
      </c>
    </row>
    <row r="1865">
      <c r="J1865">
        <f>IF(OR(H1865="",I1865=""),"",ROUND(100*H1865/I1865,0))</f>
        <v/>
      </c>
      <c r="M1865">
        <f>IF(D1865="","",IFERROR(INDEX(Classes!$B$2:$B$200,MATCH(D1865,Classes!$E$2:$E$200,0)),""))</f>
        <v/>
      </c>
    </row>
    <row r="1866">
      <c r="J1866">
        <f>IF(OR(H1866="",I1866=""),"",ROUND(100*H1866/I1866,0))</f>
        <v/>
      </c>
      <c r="M1866">
        <f>IF(D1866="","",IFERROR(INDEX(Classes!$B$2:$B$200,MATCH(D1866,Classes!$E$2:$E$200,0)),""))</f>
        <v/>
      </c>
    </row>
    <row r="1867">
      <c r="J1867">
        <f>IF(OR(H1867="",I1867=""),"",ROUND(100*H1867/I1867,0))</f>
        <v/>
      </c>
      <c r="M1867">
        <f>IF(D1867="","",IFERROR(INDEX(Classes!$B$2:$B$200,MATCH(D1867,Classes!$E$2:$E$200,0)),""))</f>
        <v/>
      </c>
    </row>
    <row r="1868">
      <c r="J1868">
        <f>IF(OR(H1868="",I1868=""),"",ROUND(100*H1868/I1868,0))</f>
        <v/>
      </c>
      <c r="M1868">
        <f>IF(D1868="","",IFERROR(INDEX(Classes!$B$2:$B$200,MATCH(D1868,Classes!$E$2:$E$200,0)),""))</f>
        <v/>
      </c>
    </row>
    <row r="1869">
      <c r="J1869">
        <f>IF(OR(H1869="",I1869=""),"",ROUND(100*H1869/I1869,0))</f>
        <v/>
      </c>
      <c r="M1869">
        <f>IF(D1869="","",IFERROR(INDEX(Classes!$B$2:$B$200,MATCH(D1869,Classes!$E$2:$E$200,0)),""))</f>
        <v/>
      </c>
    </row>
    <row r="1870">
      <c r="J1870">
        <f>IF(OR(H1870="",I1870=""),"",ROUND(100*H1870/I1870,0))</f>
        <v/>
      </c>
      <c r="M1870">
        <f>IF(D1870="","",IFERROR(INDEX(Classes!$B$2:$B$200,MATCH(D1870,Classes!$E$2:$E$200,0)),""))</f>
        <v/>
      </c>
    </row>
    <row r="1871">
      <c r="J1871">
        <f>IF(OR(H1871="",I1871=""),"",ROUND(100*H1871/I1871,0))</f>
        <v/>
      </c>
      <c r="M1871">
        <f>IF(D1871="","",IFERROR(INDEX(Classes!$B$2:$B$200,MATCH(D1871,Classes!$E$2:$E$200,0)),""))</f>
        <v/>
      </c>
    </row>
    <row r="1872">
      <c r="J1872">
        <f>IF(OR(H1872="",I1872=""),"",ROUND(100*H1872/I1872,0))</f>
        <v/>
      </c>
      <c r="M1872">
        <f>IF(D1872="","",IFERROR(INDEX(Classes!$B$2:$B$200,MATCH(D1872,Classes!$E$2:$E$200,0)),""))</f>
        <v/>
      </c>
    </row>
    <row r="1873">
      <c r="J1873">
        <f>IF(OR(H1873="",I1873=""),"",ROUND(100*H1873/I1873,0))</f>
        <v/>
      </c>
      <c r="M1873">
        <f>IF(D1873="","",IFERROR(INDEX(Classes!$B$2:$B$200,MATCH(D1873,Classes!$E$2:$E$200,0)),""))</f>
        <v/>
      </c>
    </row>
    <row r="1874">
      <c r="J1874">
        <f>IF(OR(H1874="",I1874=""),"",ROUND(100*H1874/I1874,0))</f>
        <v/>
      </c>
      <c r="M1874">
        <f>IF(D1874="","",IFERROR(INDEX(Classes!$B$2:$B$200,MATCH(D1874,Classes!$E$2:$E$200,0)),""))</f>
        <v/>
      </c>
    </row>
    <row r="1875">
      <c r="J1875">
        <f>IF(OR(H1875="",I1875=""),"",ROUND(100*H1875/I1875,0))</f>
        <v/>
      </c>
      <c r="M1875">
        <f>IF(D1875="","",IFERROR(INDEX(Classes!$B$2:$B$200,MATCH(D1875,Classes!$E$2:$E$200,0)),""))</f>
        <v/>
      </c>
    </row>
    <row r="1876">
      <c r="J1876">
        <f>IF(OR(H1876="",I1876=""),"",ROUND(100*H1876/I1876,0))</f>
        <v/>
      </c>
      <c r="M1876">
        <f>IF(D1876="","",IFERROR(INDEX(Classes!$B$2:$B$200,MATCH(D1876,Classes!$E$2:$E$200,0)),""))</f>
        <v/>
      </c>
    </row>
    <row r="1877">
      <c r="J1877">
        <f>IF(OR(H1877="",I1877=""),"",ROUND(100*H1877/I1877,0))</f>
        <v/>
      </c>
      <c r="M1877">
        <f>IF(D1877="","",IFERROR(INDEX(Classes!$B$2:$B$200,MATCH(D1877,Classes!$E$2:$E$200,0)),""))</f>
        <v/>
      </c>
    </row>
    <row r="1878">
      <c r="J1878">
        <f>IF(OR(H1878="",I1878=""),"",ROUND(100*H1878/I1878,0))</f>
        <v/>
      </c>
      <c r="M1878">
        <f>IF(D1878="","",IFERROR(INDEX(Classes!$B$2:$B$200,MATCH(D1878,Classes!$E$2:$E$200,0)),""))</f>
        <v/>
      </c>
    </row>
    <row r="1879">
      <c r="J1879">
        <f>IF(OR(H1879="",I1879=""),"",ROUND(100*H1879/I1879,0))</f>
        <v/>
      </c>
      <c r="M1879">
        <f>IF(D1879="","",IFERROR(INDEX(Classes!$B$2:$B$200,MATCH(D1879,Classes!$E$2:$E$200,0)),""))</f>
        <v/>
      </c>
    </row>
    <row r="1880">
      <c r="J1880">
        <f>IF(OR(H1880="",I1880=""),"",ROUND(100*H1880/I1880,0))</f>
        <v/>
      </c>
      <c r="M1880">
        <f>IF(D1880="","",IFERROR(INDEX(Classes!$B$2:$B$200,MATCH(D1880,Classes!$E$2:$E$200,0)),""))</f>
        <v/>
      </c>
    </row>
    <row r="1881">
      <c r="J1881">
        <f>IF(OR(H1881="",I1881=""),"",ROUND(100*H1881/I1881,0))</f>
        <v/>
      </c>
      <c r="M1881">
        <f>IF(D1881="","",IFERROR(INDEX(Classes!$B$2:$B$200,MATCH(D1881,Classes!$E$2:$E$200,0)),""))</f>
        <v/>
      </c>
    </row>
    <row r="1882">
      <c r="J1882">
        <f>IF(OR(H1882="",I1882=""),"",ROUND(100*H1882/I1882,0))</f>
        <v/>
      </c>
      <c r="M1882">
        <f>IF(D1882="","",IFERROR(INDEX(Classes!$B$2:$B$200,MATCH(D1882,Classes!$E$2:$E$200,0)),""))</f>
        <v/>
      </c>
    </row>
    <row r="1883">
      <c r="J1883">
        <f>IF(OR(H1883="",I1883=""),"",ROUND(100*H1883/I1883,0))</f>
        <v/>
      </c>
      <c r="M1883">
        <f>IF(D1883="","",IFERROR(INDEX(Classes!$B$2:$B$200,MATCH(D1883,Classes!$E$2:$E$200,0)),""))</f>
        <v/>
      </c>
    </row>
    <row r="1884">
      <c r="J1884">
        <f>IF(OR(H1884="",I1884=""),"",ROUND(100*H1884/I1884,0))</f>
        <v/>
      </c>
      <c r="M1884">
        <f>IF(D1884="","",IFERROR(INDEX(Classes!$B$2:$B$200,MATCH(D1884,Classes!$E$2:$E$200,0)),""))</f>
        <v/>
      </c>
    </row>
    <row r="1885">
      <c r="J1885">
        <f>IF(OR(H1885="",I1885=""),"",ROUND(100*H1885/I1885,0))</f>
        <v/>
      </c>
      <c r="M1885">
        <f>IF(D1885="","",IFERROR(INDEX(Classes!$B$2:$B$200,MATCH(D1885,Classes!$E$2:$E$200,0)),""))</f>
        <v/>
      </c>
    </row>
    <row r="1886">
      <c r="J1886">
        <f>IF(OR(H1886="",I1886=""),"",ROUND(100*H1886/I1886,0))</f>
        <v/>
      </c>
      <c r="M1886">
        <f>IF(D1886="","",IFERROR(INDEX(Classes!$B$2:$B$200,MATCH(D1886,Classes!$E$2:$E$200,0)),""))</f>
        <v/>
      </c>
    </row>
    <row r="1887">
      <c r="J1887">
        <f>IF(OR(H1887="",I1887=""),"",ROUND(100*H1887/I1887,0))</f>
        <v/>
      </c>
      <c r="M1887">
        <f>IF(D1887="","",IFERROR(INDEX(Classes!$B$2:$B$200,MATCH(D1887,Classes!$E$2:$E$200,0)),""))</f>
        <v/>
      </c>
    </row>
    <row r="1888">
      <c r="J1888">
        <f>IF(OR(H1888="",I1888=""),"",ROUND(100*H1888/I1888,0))</f>
        <v/>
      </c>
      <c r="M1888">
        <f>IF(D1888="","",IFERROR(INDEX(Classes!$B$2:$B$200,MATCH(D1888,Classes!$E$2:$E$200,0)),""))</f>
        <v/>
      </c>
    </row>
    <row r="1889">
      <c r="J1889">
        <f>IF(OR(H1889="",I1889=""),"",ROUND(100*H1889/I1889,0))</f>
        <v/>
      </c>
      <c r="M1889">
        <f>IF(D1889="","",IFERROR(INDEX(Classes!$B$2:$B$200,MATCH(D1889,Classes!$E$2:$E$200,0)),""))</f>
        <v/>
      </c>
    </row>
    <row r="1890">
      <c r="J1890">
        <f>IF(OR(H1890="",I1890=""),"",ROUND(100*H1890/I1890,0))</f>
        <v/>
      </c>
      <c r="M1890">
        <f>IF(D1890="","",IFERROR(INDEX(Classes!$B$2:$B$200,MATCH(D1890,Classes!$E$2:$E$200,0)),""))</f>
        <v/>
      </c>
    </row>
    <row r="1891">
      <c r="J1891">
        <f>IF(OR(H1891="",I1891=""),"",ROUND(100*H1891/I1891,0))</f>
        <v/>
      </c>
      <c r="M1891">
        <f>IF(D1891="","",IFERROR(INDEX(Classes!$B$2:$B$200,MATCH(D1891,Classes!$E$2:$E$200,0)),""))</f>
        <v/>
      </c>
    </row>
    <row r="1892">
      <c r="J1892">
        <f>IF(OR(H1892="",I1892=""),"",ROUND(100*H1892/I1892,0))</f>
        <v/>
      </c>
      <c r="M1892">
        <f>IF(D1892="","",IFERROR(INDEX(Classes!$B$2:$B$200,MATCH(D1892,Classes!$E$2:$E$200,0)),""))</f>
        <v/>
      </c>
    </row>
    <row r="1893">
      <c r="J1893">
        <f>IF(OR(H1893="",I1893=""),"",ROUND(100*H1893/I1893,0))</f>
        <v/>
      </c>
      <c r="M1893">
        <f>IF(D1893="","",IFERROR(INDEX(Classes!$B$2:$B$200,MATCH(D1893,Classes!$E$2:$E$200,0)),""))</f>
        <v/>
      </c>
    </row>
    <row r="1894">
      <c r="J1894">
        <f>IF(OR(H1894="",I1894=""),"",ROUND(100*H1894/I1894,0))</f>
        <v/>
      </c>
      <c r="M1894">
        <f>IF(D1894="","",IFERROR(INDEX(Classes!$B$2:$B$200,MATCH(D1894,Classes!$E$2:$E$200,0)),""))</f>
        <v/>
      </c>
    </row>
    <row r="1895">
      <c r="J1895">
        <f>IF(OR(H1895="",I1895=""),"",ROUND(100*H1895/I1895,0))</f>
        <v/>
      </c>
      <c r="M1895">
        <f>IF(D1895="","",IFERROR(INDEX(Classes!$B$2:$B$200,MATCH(D1895,Classes!$E$2:$E$200,0)),""))</f>
        <v/>
      </c>
    </row>
    <row r="1896">
      <c r="J1896">
        <f>IF(OR(H1896="",I1896=""),"",ROUND(100*H1896/I1896,0))</f>
        <v/>
      </c>
      <c r="M1896">
        <f>IF(D1896="","",IFERROR(INDEX(Classes!$B$2:$B$200,MATCH(D1896,Classes!$E$2:$E$200,0)),""))</f>
        <v/>
      </c>
    </row>
    <row r="1897">
      <c r="J1897">
        <f>IF(OR(H1897="",I1897=""),"",ROUND(100*H1897/I1897,0))</f>
        <v/>
      </c>
      <c r="M1897">
        <f>IF(D1897="","",IFERROR(INDEX(Classes!$B$2:$B$200,MATCH(D1897,Classes!$E$2:$E$200,0)),""))</f>
        <v/>
      </c>
    </row>
    <row r="1898">
      <c r="J1898">
        <f>IF(OR(H1898="",I1898=""),"",ROUND(100*H1898/I1898,0))</f>
        <v/>
      </c>
      <c r="M1898">
        <f>IF(D1898="","",IFERROR(INDEX(Classes!$B$2:$B$200,MATCH(D1898,Classes!$E$2:$E$200,0)),""))</f>
        <v/>
      </c>
    </row>
    <row r="1899">
      <c r="J1899">
        <f>IF(OR(H1899="",I1899=""),"",ROUND(100*H1899/I1899,0))</f>
        <v/>
      </c>
      <c r="M1899">
        <f>IF(D1899="","",IFERROR(INDEX(Classes!$B$2:$B$200,MATCH(D1899,Classes!$E$2:$E$200,0)),""))</f>
        <v/>
      </c>
    </row>
    <row r="1900">
      <c r="J1900">
        <f>IF(OR(H1900="",I1900=""),"",ROUND(100*H1900/I1900,0))</f>
        <v/>
      </c>
      <c r="M1900">
        <f>IF(D1900="","",IFERROR(INDEX(Classes!$B$2:$B$200,MATCH(D1900,Classes!$E$2:$E$200,0)),""))</f>
        <v/>
      </c>
    </row>
    <row r="1901">
      <c r="J1901">
        <f>IF(OR(H1901="",I1901=""),"",ROUND(100*H1901/I1901,0))</f>
        <v/>
      </c>
      <c r="M1901">
        <f>IF(D1901="","",IFERROR(INDEX(Classes!$B$2:$B$200,MATCH(D1901,Classes!$E$2:$E$200,0)),""))</f>
        <v/>
      </c>
    </row>
    <row r="1902">
      <c r="J1902">
        <f>IF(OR(H1902="",I1902=""),"",ROUND(100*H1902/I1902,0))</f>
        <v/>
      </c>
      <c r="M1902">
        <f>IF(D1902="","",IFERROR(INDEX(Classes!$B$2:$B$200,MATCH(D1902,Classes!$E$2:$E$200,0)),""))</f>
        <v/>
      </c>
    </row>
    <row r="1903">
      <c r="J1903">
        <f>IF(OR(H1903="",I1903=""),"",ROUND(100*H1903/I1903,0))</f>
        <v/>
      </c>
      <c r="M1903">
        <f>IF(D1903="","",IFERROR(INDEX(Classes!$B$2:$B$200,MATCH(D1903,Classes!$E$2:$E$200,0)),""))</f>
        <v/>
      </c>
    </row>
    <row r="1904">
      <c r="J1904">
        <f>IF(OR(H1904="",I1904=""),"",ROUND(100*H1904/I1904,0))</f>
        <v/>
      </c>
      <c r="M1904">
        <f>IF(D1904="","",IFERROR(INDEX(Classes!$B$2:$B$200,MATCH(D1904,Classes!$E$2:$E$200,0)),""))</f>
        <v/>
      </c>
    </row>
    <row r="1905">
      <c r="J1905">
        <f>IF(OR(H1905="",I1905=""),"",ROUND(100*H1905/I1905,0))</f>
        <v/>
      </c>
      <c r="M1905">
        <f>IF(D1905="","",IFERROR(INDEX(Classes!$B$2:$B$200,MATCH(D1905,Classes!$E$2:$E$200,0)),""))</f>
        <v/>
      </c>
    </row>
    <row r="1906">
      <c r="J1906">
        <f>IF(OR(H1906="",I1906=""),"",ROUND(100*H1906/I1906,0))</f>
        <v/>
      </c>
      <c r="M1906">
        <f>IF(D1906="","",IFERROR(INDEX(Classes!$B$2:$B$200,MATCH(D1906,Classes!$E$2:$E$200,0)),""))</f>
        <v/>
      </c>
    </row>
    <row r="1907">
      <c r="J1907">
        <f>IF(OR(H1907="",I1907=""),"",ROUND(100*H1907/I1907,0))</f>
        <v/>
      </c>
      <c r="M1907">
        <f>IF(D1907="","",IFERROR(INDEX(Classes!$B$2:$B$200,MATCH(D1907,Classes!$E$2:$E$200,0)),""))</f>
        <v/>
      </c>
    </row>
    <row r="1908">
      <c r="J1908">
        <f>IF(OR(H1908="",I1908=""),"",ROUND(100*H1908/I1908,0))</f>
        <v/>
      </c>
      <c r="M1908">
        <f>IF(D1908="","",IFERROR(INDEX(Classes!$B$2:$B$200,MATCH(D1908,Classes!$E$2:$E$200,0)),""))</f>
        <v/>
      </c>
    </row>
    <row r="1909">
      <c r="J1909">
        <f>IF(OR(H1909="",I1909=""),"",ROUND(100*H1909/I1909,0))</f>
        <v/>
      </c>
      <c r="M1909">
        <f>IF(D1909="","",IFERROR(INDEX(Classes!$B$2:$B$200,MATCH(D1909,Classes!$E$2:$E$200,0)),""))</f>
        <v/>
      </c>
    </row>
    <row r="1910">
      <c r="J1910">
        <f>IF(OR(H1910="",I1910=""),"",ROUND(100*H1910/I1910,0))</f>
        <v/>
      </c>
      <c r="M1910">
        <f>IF(D1910="","",IFERROR(INDEX(Classes!$B$2:$B$200,MATCH(D1910,Classes!$E$2:$E$200,0)),""))</f>
        <v/>
      </c>
    </row>
    <row r="1911">
      <c r="J1911">
        <f>IF(OR(H1911="",I1911=""),"",ROUND(100*H1911/I1911,0))</f>
        <v/>
      </c>
      <c r="M1911">
        <f>IF(D1911="","",IFERROR(INDEX(Classes!$B$2:$B$200,MATCH(D1911,Classes!$E$2:$E$200,0)),""))</f>
        <v/>
      </c>
    </row>
    <row r="1912">
      <c r="J1912">
        <f>IF(OR(H1912="",I1912=""),"",ROUND(100*H1912/I1912,0))</f>
        <v/>
      </c>
      <c r="M1912">
        <f>IF(D1912="","",IFERROR(INDEX(Classes!$B$2:$B$200,MATCH(D1912,Classes!$E$2:$E$200,0)),""))</f>
        <v/>
      </c>
    </row>
    <row r="1913">
      <c r="J1913">
        <f>IF(OR(H1913="",I1913=""),"",ROUND(100*H1913/I1913,0))</f>
        <v/>
      </c>
      <c r="M1913">
        <f>IF(D1913="","",IFERROR(INDEX(Classes!$B$2:$B$200,MATCH(D1913,Classes!$E$2:$E$200,0)),""))</f>
        <v/>
      </c>
    </row>
    <row r="1914">
      <c r="J1914">
        <f>IF(OR(H1914="",I1914=""),"",ROUND(100*H1914/I1914,0))</f>
        <v/>
      </c>
      <c r="M1914">
        <f>IF(D1914="","",IFERROR(INDEX(Classes!$B$2:$B$200,MATCH(D1914,Classes!$E$2:$E$200,0)),""))</f>
        <v/>
      </c>
    </row>
    <row r="1915">
      <c r="J1915">
        <f>IF(OR(H1915="",I1915=""),"",ROUND(100*H1915/I1915,0))</f>
        <v/>
      </c>
      <c r="M1915">
        <f>IF(D1915="","",IFERROR(INDEX(Classes!$B$2:$B$200,MATCH(D1915,Classes!$E$2:$E$200,0)),""))</f>
        <v/>
      </c>
    </row>
    <row r="1916">
      <c r="J1916">
        <f>IF(OR(H1916="",I1916=""),"",ROUND(100*H1916/I1916,0))</f>
        <v/>
      </c>
      <c r="M1916">
        <f>IF(D1916="","",IFERROR(INDEX(Classes!$B$2:$B$200,MATCH(D1916,Classes!$E$2:$E$200,0)),""))</f>
        <v/>
      </c>
    </row>
    <row r="1917">
      <c r="J1917">
        <f>IF(OR(H1917="",I1917=""),"",ROUND(100*H1917/I1917,0))</f>
        <v/>
      </c>
      <c r="M1917">
        <f>IF(D1917="","",IFERROR(INDEX(Classes!$B$2:$B$200,MATCH(D1917,Classes!$E$2:$E$200,0)),""))</f>
        <v/>
      </c>
    </row>
    <row r="1918">
      <c r="J1918">
        <f>IF(OR(H1918="",I1918=""),"",ROUND(100*H1918/I1918,0))</f>
        <v/>
      </c>
      <c r="M1918">
        <f>IF(D1918="","",IFERROR(INDEX(Classes!$B$2:$B$200,MATCH(D1918,Classes!$E$2:$E$200,0)),""))</f>
        <v/>
      </c>
    </row>
    <row r="1919">
      <c r="J1919">
        <f>IF(OR(H1919="",I1919=""),"",ROUND(100*H1919/I1919,0))</f>
        <v/>
      </c>
      <c r="M1919">
        <f>IF(D1919="","",IFERROR(INDEX(Classes!$B$2:$B$200,MATCH(D1919,Classes!$E$2:$E$200,0)),""))</f>
        <v/>
      </c>
    </row>
    <row r="1920">
      <c r="J1920">
        <f>IF(OR(H1920="",I1920=""),"",ROUND(100*H1920/I1920,0))</f>
        <v/>
      </c>
      <c r="M1920">
        <f>IF(D1920="","",IFERROR(INDEX(Classes!$B$2:$B$200,MATCH(D1920,Classes!$E$2:$E$200,0)),""))</f>
        <v/>
      </c>
    </row>
    <row r="1921">
      <c r="J1921">
        <f>IF(OR(H1921="",I1921=""),"",ROUND(100*H1921/I1921,0))</f>
        <v/>
      </c>
      <c r="M1921">
        <f>IF(D1921="","",IFERROR(INDEX(Classes!$B$2:$B$200,MATCH(D1921,Classes!$E$2:$E$200,0)),""))</f>
        <v/>
      </c>
    </row>
    <row r="1922">
      <c r="J1922">
        <f>IF(OR(H1922="",I1922=""),"",ROUND(100*H1922/I1922,0))</f>
        <v/>
      </c>
      <c r="M1922">
        <f>IF(D1922="","",IFERROR(INDEX(Classes!$B$2:$B$200,MATCH(D1922,Classes!$E$2:$E$200,0)),""))</f>
        <v/>
      </c>
    </row>
    <row r="1923">
      <c r="J1923">
        <f>IF(OR(H1923="",I1923=""),"",ROUND(100*H1923/I1923,0))</f>
        <v/>
      </c>
      <c r="M1923">
        <f>IF(D1923="","",IFERROR(INDEX(Classes!$B$2:$B$200,MATCH(D1923,Classes!$E$2:$E$200,0)),""))</f>
        <v/>
      </c>
    </row>
    <row r="1924">
      <c r="J1924">
        <f>IF(OR(H1924="",I1924=""),"",ROUND(100*H1924/I1924,0))</f>
        <v/>
      </c>
      <c r="M1924">
        <f>IF(D1924="","",IFERROR(INDEX(Classes!$B$2:$B$200,MATCH(D1924,Classes!$E$2:$E$200,0)),""))</f>
        <v/>
      </c>
    </row>
    <row r="1925">
      <c r="J1925">
        <f>IF(OR(H1925="",I1925=""),"",ROUND(100*H1925/I1925,0))</f>
        <v/>
      </c>
      <c r="M1925">
        <f>IF(D1925="","",IFERROR(INDEX(Classes!$B$2:$B$200,MATCH(D1925,Classes!$E$2:$E$200,0)),""))</f>
        <v/>
      </c>
    </row>
    <row r="1926">
      <c r="J1926">
        <f>IF(OR(H1926="",I1926=""),"",ROUND(100*H1926/I1926,0))</f>
        <v/>
      </c>
      <c r="M1926">
        <f>IF(D1926="","",IFERROR(INDEX(Classes!$B$2:$B$200,MATCH(D1926,Classes!$E$2:$E$200,0)),""))</f>
        <v/>
      </c>
    </row>
    <row r="1927">
      <c r="J1927">
        <f>IF(OR(H1927="",I1927=""),"",ROUND(100*H1927/I1927,0))</f>
        <v/>
      </c>
      <c r="M1927">
        <f>IF(D1927="","",IFERROR(INDEX(Classes!$B$2:$B$200,MATCH(D1927,Classes!$E$2:$E$200,0)),""))</f>
        <v/>
      </c>
    </row>
    <row r="1928">
      <c r="J1928">
        <f>IF(OR(H1928="",I1928=""),"",ROUND(100*H1928/I1928,0))</f>
        <v/>
      </c>
      <c r="M1928">
        <f>IF(D1928="","",IFERROR(INDEX(Classes!$B$2:$B$200,MATCH(D1928,Classes!$E$2:$E$200,0)),""))</f>
        <v/>
      </c>
    </row>
    <row r="1929">
      <c r="J1929">
        <f>IF(OR(H1929="",I1929=""),"",ROUND(100*H1929/I1929,0))</f>
        <v/>
      </c>
      <c r="M1929">
        <f>IF(D1929="","",IFERROR(INDEX(Classes!$B$2:$B$200,MATCH(D1929,Classes!$E$2:$E$200,0)),""))</f>
        <v/>
      </c>
    </row>
    <row r="1930">
      <c r="J1930">
        <f>IF(OR(H1930="",I1930=""),"",ROUND(100*H1930/I1930,0))</f>
        <v/>
      </c>
      <c r="M1930">
        <f>IF(D1930="","",IFERROR(INDEX(Classes!$B$2:$B$200,MATCH(D1930,Classes!$E$2:$E$200,0)),""))</f>
        <v/>
      </c>
    </row>
    <row r="1931">
      <c r="J1931">
        <f>IF(OR(H1931="",I1931=""),"",ROUND(100*H1931/I1931,0))</f>
        <v/>
      </c>
      <c r="M1931">
        <f>IF(D1931="","",IFERROR(INDEX(Classes!$B$2:$B$200,MATCH(D1931,Classes!$E$2:$E$200,0)),""))</f>
        <v/>
      </c>
    </row>
    <row r="1932">
      <c r="J1932">
        <f>IF(OR(H1932="",I1932=""),"",ROUND(100*H1932/I1932,0))</f>
        <v/>
      </c>
      <c r="M1932">
        <f>IF(D1932="","",IFERROR(INDEX(Classes!$B$2:$B$200,MATCH(D1932,Classes!$E$2:$E$200,0)),""))</f>
        <v/>
      </c>
    </row>
    <row r="1933">
      <c r="J1933">
        <f>IF(OR(H1933="",I1933=""),"",ROUND(100*H1933/I1933,0))</f>
        <v/>
      </c>
      <c r="M1933">
        <f>IF(D1933="","",IFERROR(INDEX(Classes!$B$2:$B$200,MATCH(D1933,Classes!$E$2:$E$200,0)),""))</f>
        <v/>
      </c>
    </row>
    <row r="1934">
      <c r="J1934">
        <f>IF(OR(H1934="",I1934=""),"",ROUND(100*H1934/I1934,0))</f>
        <v/>
      </c>
      <c r="M1934">
        <f>IF(D1934="","",IFERROR(INDEX(Classes!$B$2:$B$200,MATCH(D1934,Classes!$E$2:$E$200,0)),""))</f>
        <v/>
      </c>
    </row>
    <row r="1935">
      <c r="J1935">
        <f>IF(OR(H1935="",I1935=""),"",ROUND(100*H1935/I1935,0))</f>
        <v/>
      </c>
      <c r="M1935">
        <f>IF(D1935="","",IFERROR(INDEX(Classes!$B$2:$B$200,MATCH(D1935,Classes!$E$2:$E$200,0)),""))</f>
        <v/>
      </c>
    </row>
    <row r="1936">
      <c r="J1936">
        <f>IF(OR(H1936="",I1936=""),"",ROUND(100*H1936/I1936,0))</f>
        <v/>
      </c>
      <c r="M1936">
        <f>IF(D1936="","",IFERROR(INDEX(Classes!$B$2:$B$200,MATCH(D1936,Classes!$E$2:$E$200,0)),""))</f>
        <v/>
      </c>
    </row>
    <row r="1937">
      <c r="J1937">
        <f>IF(OR(H1937="",I1937=""),"",ROUND(100*H1937/I1937,0))</f>
        <v/>
      </c>
      <c r="M1937">
        <f>IF(D1937="","",IFERROR(INDEX(Classes!$B$2:$B$200,MATCH(D1937,Classes!$E$2:$E$200,0)),""))</f>
        <v/>
      </c>
    </row>
    <row r="1938">
      <c r="J1938">
        <f>IF(OR(H1938="",I1938=""),"",ROUND(100*H1938/I1938,0))</f>
        <v/>
      </c>
      <c r="M1938">
        <f>IF(D1938="","",IFERROR(INDEX(Classes!$B$2:$B$200,MATCH(D1938,Classes!$E$2:$E$200,0)),""))</f>
        <v/>
      </c>
    </row>
    <row r="1939">
      <c r="J1939">
        <f>IF(OR(H1939="",I1939=""),"",ROUND(100*H1939/I1939,0))</f>
        <v/>
      </c>
      <c r="M1939">
        <f>IF(D1939="","",IFERROR(INDEX(Classes!$B$2:$B$200,MATCH(D1939,Classes!$E$2:$E$200,0)),""))</f>
        <v/>
      </c>
    </row>
    <row r="1940">
      <c r="J1940">
        <f>IF(OR(H1940="",I1940=""),"",ROUND(100*H1940/I1940,0))</f>
        <v/>
      </c>
      <c r="M1940">
        <f>IF(D1940="","",IFERROR(INDEX(Classes!$B$2:$B$200,MATCH(D1940,Classes!$E$2:$E$200,0)),""))</f>
        <v/>
      </c>
    </row>
    <row r="1941">
      <c r="J1941">
        <f>IF(OR(H1941="",I1941=""),"",ROUND(100*H1941/I1941,0))</f>
        <v/>
      </c>
      <c r="M1941">
        <f>IF(D1941="","",IFERROR(INDEX(Classes!$B$2:$B$200,MATCH(D1941,Classes!$E$2:$E$200,0)),""))</f>
        <v/>
      </c>
    </row>
    <row r="1942">
      <c r="J1942">
        <f>IF(OR(H1942="",I1942=""),"",ROUND(100*H1942/I1942,0))</f>
        <v/>
      </c>
      <c r="M1942">
        <f>IF(D1942="","",IFERROR(INDEX(Classes!$B$2:$B$200,MATCH(D1942,Classes!$E$2:$E$200,0)),""))</f>
        <v/>
      </c>
    </row>
    <row r="1943">
      <c r="J1943">
        <f>IF(OR(H1943="",I1943=""),"",ROUND(100*H1943/I1943,0))</f>
        <v/>
      </c>
      <c r="M1943">
        <f>IF(D1943="","",IFERROR(INDEX(Classes!$B$2:$B$200,MATCH(D1943,Classes!$E$2:$E$200,0)),""))</f>
        <v/>
      </c>
    </row>
    <row r="1944">
      <c r="J1944">
        <f>IF(OR(H1944="",I1944=""),"",ROUND(100*H1944/I1944,0))</f>
        <v/>
      </c>
      <c r="M1944">
        <f>IF(D1944="","",IFERROR(INDEX(Classes!$B$2:$B$200,MATCH(D1944,Classes!$E$2:$E$200,0)),""))</f>
        <v/>
      </c>
    </row>
    <row r="1945">
      <c r="J1945">
        <f>IF(OR(H1945="",I1945=""),"",ROUND(100*H1945/I1945,0))</f>
        <v/>
      </c>
      <c r="M1945">
        <f>IF(D1945="","",IFERROR(INDEX(Classes!$B$2:$B$200,MATCH(D1945,Classes!$E$2:$E$200,0)),""))</f>
        <v/>
      </c>
    </row>
    <row r="1946">
      <c r="J1946">
        <f>IF(OR(H1946="",I1946=""),"",ROUND(100*H1946/I1946,0))</f>
        <v/>
      </c>
      <c r="M1946">
        <f>IF(D1946="","",IFERROR(INDEX(Classes!$B$2:$B$200,MATCH(D1946,Classes!$E$2:$E$200,0)),""))</f>
        <v/>
      </c>
    </row>
    <row r="1947">
      <c r="J1947">
        <f>IF(OR(H1947="",I1947=""),"",ROUND(100*H1947/I1947,0))</f>
        <v/>
      </c>
      <c r="M1947">
        <f>IF(D1947="","",IFERROR(INDEX(Classes!$B$2:$B$200,MATCH(D1947,Classes!$E$2:$E$200,0)),""))</f>
        <v/>
      </c>
    </row>
    <row r="1948">
      <c r="J1948">
        <f>IF(OR(H1948="",I1948=""),"",ROUND(100*H1948/I1948,0))</f>
        <v/>
      </c>
      <c r="M1948">
        <f>IF(D1948="","",IFERROR(INDEX(Classes!$B$2:$B$200,MATCH(D1948,Classes!$E$2:$E$200,0)),""))</f>
        <v/>
      </c>
    </row>
    <row r="1949">
      <c r="J1949">
        <f>IF(OR(H1949="",I1949=""),"",ROUND(100*H1949/I1949,0))</f>
        <v/>
      </c>
      <c r="M1949">
        <f>IF(D1949="","",IFERROR(INDEX(Classes!$B$2:$B$200,MATCH(D1949,Classes!$E$2:$E$200,0)),""))</f>
        <v/>
      </c>
    </row>
    <row r="1950">
      <c r="J1950">
        <f>IF(OR(H1950="",I1950=""),"",ROUND(100*H1950/I1950,0))</f>
        <v/>
      </c>
      <c r="M1950">
        <f>IF(D1950="","",IFERROR(INDEX(Classes!$B$2:$B$200,MATCH(D1950,Classes!$E$2:$E$200,0)),""))</f>
        <v/>
      </c>
    </row>
    <row r="1951">
      <c r="J1951">
        <f>IF(OR(H1951="",I1951=""),"",ROUND(100*H1951/I1951,0))</f>
        <v/>
      </c>
      <c r="M1951">
        <f>IF(D1951="","",IFERROR(INDEX(Classes!$B$2:$B$200,MATCH(D1951,Classes!$E$2:$E$200,0)),""))</f>
        <v/>
      </c>
    </row>
    <row r="1952">
      <c r="J1952">
        <f>IF(OR(H1952="",I1952=""),"",ROUND(100*H1952/I1952,0))</f>
        <v/>
      </c>
      <c r="M1952">
        <f>IF(D1952="","",IFERROR(INDEX(Classes!$B$2:$B$200,MATCH(D1952,Classes!$E$2:$E$200,0)),""))</f>
        <v/>
      </c>
    </row>
    <row r="1953">
      <c r="J1953">
        <f>IF(OR(H1953="",I1953=""),"",ROUND(100*H1953/I1953,0))</f>
        <v/>
      </c>
      <c r="M1953">
        <f>IF(D1953="","",IFERROR(INDEX(Classes!$B$2:$B$200,MATCH(D1953,Classes!$E$2:$E$200,0)),""))</f>
        <v/>
      </c>
    </row>
    <row r="1954">
      <c r="J1954">
        <f>IF(OR(H1954="",I1954=""),"",ROUND(100*H1954/I1954,0))</f>
        <v/>
      </c>
      <c r="M1954">
        <f>IF(D1954="","",IFERROR(INDEX(Classes!$B$2:$B$200,MATCH(D1954,Classes!$E$2:$E$200,0)),""))</f>
        <v/>
      </c>
    </row>
    <row r="1955">
      <c r="J1955">
        <f>IF(OR(H1955="",I1955=""),"",ROUND(100*H1955/I1955,0))</f>
        <v/>
      </c>
      <c r="M1955">
        <f>IF(D1955="","",IFERROR(INDEX(Classes!$B$2:$B$200,MATCH(D1955,Classes!$E$2:$E$200,0)),""))</f>
        <v/>
      </c>
    </row>
    <row r="1956">
      <c r="J1956">
        <f>IF(OR(H1956="",I1956=""),"",ROUND(100*H1956/I1956,0))</f>
        <v/>
      </c>
      <c r="M1956">
        <f>IF(D1956="","",IFERROR(INDEX(Classes!$B$2:$B$200,MATCH(D1956,Classes!$E$2:$E$200,0)),""))</f>
        <v/>
      </c>
    </row>
    <row r="1957">
      <c r="J1957">
        <f>IF(OR(H1957="",I1957=""),"",ROUND(100*H1957/I1957,0))</f>
        <v/>
      </c>
      <c r="M1957">
        <f>IF(D1957="","",IFERROR(INDEX(Classes!$B$2:$B$200,MATCH(D1957,Classes!$E$2:$E$200,0)),""))</f>
        <v/>
      </c>
    </row>
    <row r="1958">
      <c r="J1958">
        <f>IF(OR(H1958="",I1958=""),"",ROUND(100*H1958/I1958,0))</f>
        <v/>
      </c>
      <c r="M1958">
        <f>IF(D1958="","",IFERROR(INDEX(Classes!$B$2:$B$200,MATCH(D1958,Classes!$E$2:$E$200,0)),""))</f>
        <v/>
      </c>
    </row>
    <row r="1959">
      <c r="J1959">
        <f>IF(OR(H1959="",I1959=""),"",ROUND(100*H1959/I1959,0))</f>
        <v/>
      </c>
      <c r="M1959">
        <f>IF(D1959="","",IFERROR(INDEX(Classes!$B$2:$B$200,MATCH(D1959,Classes!$E$2:$E$200,0)),""))</f>
        <v/>
      </c>
    </row>
    <row r="1960">
      <c r="J1960">
        <f>IF(OR(H1960="",I1960=""),"",ROUND(100*H1960/I1960,0))</f>
        <v/>
      </c>
      <c r="M1960">
        <f>IF(D1960="","",IFERROR(INDEX(Classes!$B$2:$B$200,MATCH(D1960,Classes!$E$2:$E$200,0)),""))</f>
        <v/>
      </c>
    </row>
    <row r="1961">
      <c r="J1961">
        <f>IF(OR(H1961="",I1961=""),"",ROUND(100*H1961/I1961,0))</f>
        <v/>
      </c>
      <c r="M1961">
        <f>IF(D1961="","",IFERROR(INDEX(Classes!$B$2:$B$200,MATCH(D1961,Classes!$E$2:$E$200,0)),""))</f>
        <v/>
      </c>
    </row>
    <row r="1962">
      <c r="J1962">
        <f>IF(OR(H1962="",I1962=""),"",ROUND(100*H1962/I1962,0))</f>
        <v/>
      </c>
      <c r="M1962">
        <f>IF(D1962="","",IFERROR(INDEX(Classes!$B$2:$B$200,MATCH(D1962,Classes!$E$2:$E$200,0)),""))</f>
        <v/>
      </c>
    </row>
    <row r="1963">
      <c r="J1963">
        <f>IF(OR(H1963="",I1963=""),"",ROUND(100*H1963/I1963,0))</f>
        <v/>
      </c>
      <c r="M1963">
        <f>IF(D1963="","",IFERROR(INDEX(Classes!$B$2:$B$200,MATCH(D1963,Classes!$E$2:$E$200,0)),""))</f>
        <v/>
      </c>
    </row>
    <row r="1964">
      <c r="J1964">
        <f>IF(OR(H1964="",I1964=""),"",ROUND(100*H1964/I1964,0))</f>
        <v/>
      </c>
      <c r="M1964">
        <f>IF(D1964="","",IFERROR(INDEX(Classes!$B$2:$B$200,MATCH(D1964,Classes!$E$2:$E$200,0)),""))</f>
        <v/>
      </c>
    </row>
    <row r="1965">
      <c r="J1965">
        <f>IF(OR(H1965="",I1965=""),"",ROUND(100*H1965/I1965,0))</f>
        <v/>
      </c>
      <c r="M1965">
        <f>IF(D1965="","",IFERROR(INDEX(Classes!$B$2:$B$200,MATCH(D1965,Classes!$E$2:$E$200,0)),""))</f>
        <v/>
      </c>
    </row>
    <row r="1966">
      <c r="J1966">
        <f>IF(OR(H1966="",I1966=""),"",ROUND(100*H1966/I1966,0))</f>
        <v/>
      </c>
      <c r="M1966">
        <f>IF(D1966="","",IFERROR(INDEX(Classes!$B$2:$B$200,MATCH(D1966,Classes!$E$2:$E$200,0)),""))</f>
        <v/>
      </c>
    </row>
    <row r="1967">
      <c r="J1967">
        <f>IF(OR(H1967="",I1967=""),"",ROUND(100*H1967/I1967,0))</f>
        <v/>
      </c>
      <c r="M1967">
        <f>IF(D1967="","",IFERROR(INDEX(Classes!$B$2:$B$200,MATCH(D1967,Classes!$E$2:$E$200,0)),""))</f>
        <v/>
      </c>
    </row>
    <row r="1968">
      <c r="J1968">
        <f>IF(OR(H1968="",I1968=""),"",ROUND(100*H1968/I1968,0))</f>
        <v/>
      </c>
      <c r="M1968">
        <f>IF(D1968="","",IFERROR(INDEX(Classes!$B$2:$B$200,MATCH(D1968,Classes!$E$2:$E$200,0)),""))</f>
        <v/>
      </c>
    </row>
    <row r="1969">
      <c r="J1969">
        <f>IF(OR(H1969="",I1969=""),"",ROUND(100*H1969/I1969,0))</f>
        <v/>
      </c>
      <c r="M1969">
        <f>IF(D1969="","",IFERROR(INDEX(Classes!$B$2:$B$200,MATCH(D1969,Classes!$E$2:$E$200,0)),""))</f>
        <v/>
      </c>
    </row>
    <row r="1970">
      <c r="J1970">
        <f>IF(OR(H1970="",I1970=""),"",ROUND(100*H1970/I1970,0))</f>
        <v/>
      </c>
      <c r="M1970">
        <f>IF(D1970="","",IFERROR(INDEX(Classes!$B$2:$B$200,MATCH(D1970,Classes!$E$2:$E$200,0)),""))</f>
        <v/>
      </c>
    </row>
    <row r="1971">
      <c r="J1971">
        <f>IF(OR(H1971="",I1971=""),"",ROUND(100*H1971/I1971,0))</f>
        <v/>
      </c>
      <c r="M1971">
        <f>IF(D1971="","",IFERROR(INDEX(Classes!$B$2:$B$200,MATCH(D1971,Classes!$E$2:$E$200,0)),""))</f>
        <v/>
      </c>
    </row>
    <row r="1972">
      <c r="J1972">
        <f>IF(OR(H1972="",I1972=""),"",ROUND(100*H1972/I1972,0))</f>
        <v/>
      </c>
      <c r="M1972">
        <f>IF(D1972="","",IFERROR(INDEX(Classes!$B$2:$B$200,MATCH(D1972,Classes!$E$2:$E$200,0)),""))</f>
        <v/>
      </c>
    </row>
    <row r="1973">
      <c r="J1973">
        <f>IF(OR(H1973="",I1973=""),"",ROUND(100*H1973/I1973,0))</f>
        <v/>
      </c>
      <c r="M1973">
        <f>IF(D1973="","",IFERROR(INDEX(Classes!$B$2:$B$200,MATCH(D1973,Classes!$E$2:$E$200,0)),""))</f>
        <v/>
      </c>
    </row>
    <row r="1974">
      <c r="J1974">
        <f>IF(OR(H1974="",I1974=""),"",ROUND(100*H1974/I1974,0))</f>
        <v/>
      </c>
      <c r="M1974">
        <f>IF(D1974="","",IFERROR(INDEX(Classes!$B$2:$B$200,MATCH(D1974,Classes!$E$2:$E$200,0)),""))</f>
        <v/>
      </c>
    </row>
    <row r="1975">
      <c r="J1975">
        <f>IF(OR(H1975="",I1975=""),"",ROUND(100*H1975/I1975,0))</f>
        <v/>
      </c>
      <c r="M1975">
        <f>IF(D1975="","",IFERROR(INDEX(Classes!$B$2:$B$200,MATCH(D1975,Classes!$E$2:$E$200,0)),""))</f>
        <v/>
      </c>
    </row>
    <row r="1976">
      <c r="J1976">
        <f>IF(OR(H1976="",I1976=""),"",ROUND(100*H1976/I1976,0))</f>
        <v/>
      </c>
      <c r="M1976">
        <f>IF(D1976="","",IFERROR(INDEX(Classes!$B$2:$B$200,MATCH(D1976,Classes!$E$2:$E$200,0)),""))</f>
        <v/>
      </c>
    </row>
    <row r="1977">
      <c r="J1977">
        <f>IF(OR(H1977="",I1977=""),"",ROUND(100*H1977/I1977,0))</f>
        <v/>
      </c>
      <c r="M1977">
        <f>IF(D1977="","",IFERROR(INDEX(Classes!$B$2:$B$200,MATCH(D1977,Classes!$E$2:$E$200,0)),""))</f>
        <v/>
      </c>
    </row>
    <row r="1978">
      <c r="J1978">
        <f>IF(OR(H1978="",I1978=""),"",ROUND(100*H1978/I1978,0))</f>
        <v/>
      </c>
      <c r="M1978">
        <f>IF(D1978="","",IFERROR(INDEX(Classes!$B$2:$B$200,MATCH(D1978,Classes!$E$2:$E$200,0)),""))</f>
        <v/>
      </c>
    </row>
    <row r="1979">
      <c r="J1979">
        <f>IF(OR(H1979="",I1979=""),"",ROUND(100*H1979/I1979,0))</f>
        <v/>
      </c>
      <c r="M1979">
        <f>IF(D1979="","",IFERROR(INDEX(Classes!$B$2:$B$200,MATCH(D1979,Classes!$E$2:$E$200,0)),""))</f>
        <v/>
      </c>
    </row>
    <row r="1980">
      <c r="J1980">
        <f>IF(OR(H1980="",I1980=""),"",ROUND(100*H1980/I1980,0))</f>
        <v/>
      </c>
      <c r="M1980">
        <f>IF(D1980="","",IFERROR(INDEX(Classes!$B$2:$B$200,MATCH(D1980,Classes!$E$2:$E$200,0)),""))</f>
        <v/>
      </c>
    </row>
    <row r="1981">
      <c r="J1981">
        <f>IF(OR(H1981="",I1981=""),"",ROUND(100*H1981/I1981,0))</f>
        <v/>
      </c>
      <c r="M1981">
        <f>IF(D1981="","",IFERROR(INDEX(Classes!$B$2:$B$200,MATCH(D1981,Classes!$E$2:$E$200,0)),""))</f>
        <v/>
      </c>
    </row>
    <row r="1982">
      <c r="J1982">
        <f>IF(OR(H1982="",I1982=""),"",ROUND(100*H1982/I1982,0))</f>
        <v/>
      </c>
      <c r="M1982">
        <f>IF(D1982="","",IFERROR(INDEX(Classes!$B$2:$B$200,MATCH(D1982,Classes!$E$2:$E$200,0)),""))</f>
        <v/>
      </c>
    </row>
    <row r="1983">
      <c r="J1983">
        <f>IF(OR(H1983="",I1983=""),"",ROUND(100*H1983/I1983,0))</f>
        <v/>
      </c>
      <c r="M1983">
        <f>IF(D1983="","",IFERROR(INDEX(Classes!$B$2:$B$200,MATCH(D1983,Classes!$E$2:$E$200,0)),""))</f>
        <v/>
      </c>
    </row>
    <row r="1984">
      <c r="J1984">
        <f>IF(OR(H1984="",I1984=""),"",ROUND(100*H1984/I1984,0))</f>
        <v/>
      </c>
      <c r="M1984">
        <f>IF(D1984="","",IFERROR(INDEX(Classes!$B$2:$B$200,MATCH(D1984,Classes!$E$2:$E$200,0)),""))</f>
        <v/>
      </c>
    </row>
    <row r="1985">
      <c r="J1985">
        <f>IF(OR(H1985="",I1985=""),"",ROUND(100*H1985/I1985,0))</f>
        <v/>
      </c>
      <c r="M1985">
        <f>IF(D1985="","",IFERROR(INDEX(Classes!$B$2:$B$200,MATCH(D1985,Classes!$E$2:$E$200,0)),""))</f>
        <v/>
      </c>
    </row>
    <row r="1986">
      <c r="J1986">
        <f>IF(OR(H1986="",I1986=""),"",ROUND(100*H1986/I1986,0))</f>
        <v/>
      </c>
      <c r="M1986">
        <f>IF(D1986="","",IFERROR(INDEX(Classes!$B$2:$B$200,MATCH(D1986,Classes!$E$2:$E$200,0)),""))</f>
        <v/>
      </c>
    </row>
    <row r="1987">
      <c r="J1987">
        <f>IF(OR(H1987="",I1987=""),"",ROUND(100*H1987/I1987,0))</f>
        <v/>
      </c>
      <c r="M1987">
        <f>IF(D1987="","",IFERROR(INDEX(Classes!$B$2:$B$200,MATCH(D1987,Classes!$E$2:$E$200,0)),""))</f>
        <v/>
      </c>
    </row>
    <row r="1988">
      <c r="J1988">
        <f>IF(OR(H1988="",I1988=""),"",ROUND(100*H1988/I1988,0))</f>
        <v/>
      </c>
      <c r="M1988">
        <f>IF(D1988="","",IFERROR(INDEX(Classes!$B$2:$B$200,MATCH(D1988,Classes!$E$2:$E$200,0)),""))</f>
        <v/>
      </c>
    </row>
    <row r="1989">
      <c r="J1989">
        <f>IF(OR(H1989="",I1989=""),"",ROUND(100*H1989/I1989,0))</f>
        <v/>
      </c>
      <c r="M1989">
        <f>IF(D1989="","",IFERROR(INDEX(Classes!$B$2:$B$200,MATCH(D1989,Classes!$E$2:$E$200,0)),""))</f>
        <v/>
      </c>
    </row>
    <row r="1990">
      <c r="J1990">
        <f>IF(OR(H1990="",I1990=""),"",ROUND(100*H1990/I1990,0))</f>
        <v/>
      </c>
      <c r="M1990">
        <f>IF(D1990="","",IFERROR(INDEX(Classes!$B$2:$B$200,MATCH(D1990,Classes!$E$2:$E$200,0)),""))</f>
        <v/>
      </c>
    </row>
    <row r="1991">
      <c r="J1991">
        <f>IF(OR(H1991="",I1991=""),"",ROUND(100*H1991/I1991,0))</f>
        <v/>
      </c>
      <c r="M1991">
        <f>IF(D1991="","",IFERROR(INDEX(Classes!$B$2:$B$200,MATCH(D1991,Classes!$E$2:$E$200,0)),""))</f>
        <v/>
      </c>
    </row>
    <row r="1992">
      <c r="J1992">
        <f>IF(OR(H1992="",I1992=""),"",ROUND(100*H1992/I1992,0))</f>
        <v/>
      </c>
      <c r="M1992">
        <f>IF(D1992="","",IFERROR(INDEX(Classes!$B$2:$B$200,MATCH(D1992,Classes!$E$2:$E$200,0)),""))</f>
        <v/>
      </c>
    </row>
    <row r="1993">
      <c r="J1993">
        <f>IF(OR(H1993="",I1993=""),"",ROUND(100*H1993/I1993,0))</f>
        <v/>
      </c>
      <c r="M1993">
        <f>IF(D1993="","",IFERROR(INDEX(Classes!$B$2:$B$200,MATCH(D1993,Classes!$E$2:$E$200,0)),""))</f>
        <v/>
      </c>
    </row>
    <row r="1994">
      <c r="J1994">
        <f>IF(OR(H1994="",I1994=""),"",ROUND(100*H1994/I1994,0))</f>
        <v/>
      </c>
      <c r="M1994">
        <f>IF(D1994="","",IFERROR(INDEX(Classes!$B$2:$B$200,MATCH(D1994,Classes!$E$2:$E$200,0)),""))</f>
        <v/>
      </c>
    </row>
    <row r="1995">
      <c r="J1995">
        <f>IF(OR(H1995="",I1995=""),"",ROUND(100*H1995/I1995,0))</f>
        <v/>
      </c>
      <c r="M1995">
        <f>IF(D1995="","",IFERROR(INDEX(Classes!$B$2:$B$200,MATCH(D1995,Classes!$E$2:$E$200,0)),""))</f>
        <v/>
      </c>
    </row>
    <row r="1996">
      <c r="J1996">
        <f>IF(OR(H1996="",I1996=""),"",ROUND(100*H1996/I1996,0))</f>
        <v/>
      </c>
      <c r="M1996">
        <f>IF(D1996="","",IFERROR(INDEX(Classes!$B$2:$B$200,MATCH(D1996,Classes!$E$2:$E$200,0)),""))</f>
        <v/>
      </c>
    </row>
    <row r="1997">
      <c r="J1997">
        <f>IF(OR(H1997="",I1997=""),"",ROUND(100*H1997/I1997,0))</f>
        <v/>
      </c>
      <c r="M1997">
        <f>IF(D1997="","",IFERROR(INDEX(Classes!$B$2:$B$200,MATCH(D1997,Classes!$E$2:$E$200,0)),""))</f>
        <v/>
      </c>
    </row>
    <row r="1998">
      <c r="J1998">
        <f>IF(OR(H1998="",I1998=""),"",ROUND(100*H1998/I1998,0))</f>
        <v/>
      </c>
      <c r="M1998">
        <f>IF(D1998="","",IFERROR(INDEX(Classes!$B$2:$B$200,MATCH(D1998,Classes!$E$2:$E$200,0)),""))</f>
        <v/>
      </c>
    </row>
    <row r="1999">
      <c r="J1999">
        <f>IF(OR(H1999="",I1999=""),"",ROUND(100*H1999/I1999,0))</f>
        <v/>
      </c>
      <c r="M1999">
        <f>IF(D1999="","",IFERROR(INDEX(Classes!$B$2:$B$200,MATCH(D1999,Classes!$E$2:$E$200,0)),""))</f>
        <v/>
      </c>
    </row>
    <row r="2000">
      <c r="J2000">
        <f>IF(OR(H2000="",I2000=""),"",ROUND(100*H2000/I2000,0))</f>
        <v/>
      </c>
      <c r="M2000">
        <f>IF(D2000="","",IFERROR(INDEX(Classes!$B$2:$B$200,MATCH(D2000,Classes!$E$2:$E$200,0)),""))</f>
        <v/>
      </c>
    </row>
  </sheetData>
  <dataValidations count="7">
    <dataValidation sqref="C2:C2000" showDropDown="0" showInputMessage="0" showErrorMessage="0" allowBlank="1" type="list">
      <formula1>"Upper,Lower"</formula1>
    </dataValidation>
    <dataValidation sqref="E2:E2000" showDropDown="0" showInputMessage="0" showErrorMessage="0" allowBlank="1" type="list">
      <formula1>=Lists!$A$2:$A$100</formula1>
    </dataValidation>
    <dataValidation sqref="F2:F2000" showDropDown="0" showInputMessage="0" showErrorMessage="0" allowBlank="1" type="list">
      <formula1>"CAT,Quiz,Exam,Assignment"</formula1>
    </dataValidation>
    <dataValidation sqref="K2:K2000" showDropDown="0" showInputMessage="0" showErrorMessage="0" allowBlank="1" type="list">
      <formula1>=Teachers!$A$2:$A$500</formula1>
    </dataValidation>
    <dataValidation sqref="G2:G2000" showDropDown="0" showInputMessage="0" showErrorMessage="0" allowBlank="1" type="list">
      <formula1>=Students!$A$2:$A$2000</formula1>
    </dataValidation>
    <dataValidation sqref="D2:D2000" showDropDown="0" showInputMessage="0" showErrorMessage="0" allowBlank="1" type="list">
      <formula1>=Classes!$E$2:$E$200</formula1>
    </dataValidation>
    <dataValidation sqref="E2:E2000" showDropDown="0" showInputMessage="0" showErrorMessage="0" allowBlank="1" type="list">
      <formula1>=IF($M2="Early Years",EarlyYears_Subjects,LowerPrimary_Subjects)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5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8" customWidth="1" min="4" max="4"/>
    <col width="12" customWidth="1" min="5" max="5"/>
    <col width="10" customWidth="1" min="6" max="6"/>
    <col width="10" customWidth="1" min="7" max="7"/>
    <col width="10" customWidth="1" min="8" max="8"/>
    <col width="18" customWidth="1" min="9" max="9"/>
    <col width="26" customWidth="1" min="10" max="10"/>
    <col width="8" customWidth="1" min="12" max="12"/>
    <col width="26" customWidth="1" min="13" max="13"/>
    <col width="12" customWidth="1" min="14" max="14"/>
    <col width="12" customWidth="1" min="15" max="15"/>
    <col width="10" customWidth="1" min="16" max="16"/>
  </cols>
  <sheetData>
    <row r="1">
      <c r="A1" s="4" t="inlineStr">
        <is>
          <t>ROYAL KINGS PREMIER SCHOOL</t>
        </is>
      </c>
    </row>
    <row r="2">
      <c r="A2" s="3" t="inlineStr">
        <is>
          <t>STUDENT TERM RANKINGS (WEEK 1–14)</t>
        </is>
      </c>
    </row>
    <row r="4">
      <c r="A4" s="2" t="inlineStr">
        <is>
          <t>Term Start (Week 1 Ending Date)</t>
        </is>
      </c>
      <c r="B4">
        <f>INDEX('Term Summary'!B:B,2)</f>
        <v/>
      </c>
      <c r="D4" s="2" t="inlineStr">
        <is>
          <t>Filter Campus (optional)</t>
        </is>
      </c>
      <c r="L4" s="3" t="inlineStr">
        <is>
          <t>TOP 10 STUDENTS (TERM AVG %)</t>
        </is>
      </c>
    </row>
    <row r="5">
      <c r="A5" s="2" t="inlineStr">
        <is>
          <t>Term End (Week 14 Ending Date)</t>
        </is>
      </c>
      <c r="B5">
        <f>INDEX('Term Summary'!B:B,15)</f>
        <v/>
      </c>
      <c r="D5" s="2" t="inlineStr">
        <is>
          <t>Filter Class (optional)</t>
        </is>
      </c>
    </row>
    <row r="6">
      <c r="L6" s="5" t="inlineStr">
        <is>
          <t>Rank</t>
        </is>
      </c>
      <c r="M6" s="5" t="inlineStr">
        <is>
          <t>Student</t>
        </is>
      </c>
      <c r="N6" s="5" t="inlineStr">
        <is>
          <t>Campus</t>
        </is>
      </c>
      <c r="O6" s="5" t="inlineStr">
        <is>
          <t>Class</t>
        </is>
      </c>
      <c r="P6" s="5" t="inlineStr">
        <is>
          <t>Avg %</t>
        </is>
      </c>
    </row>
    <row r="7">
      <c r="A7" s="1" t="inlineStr">
        <is>
          <t>Student Name</t>
        </is>
      </c>
      <c r="B7" s="1" t="inlineStr">
        <is>
          <t>Campus</t>
        </is>
      </c>
      <c r="C7" s="1" t="inlineStr">
        <is>
          <t>Class</t>
        </is>
      </c>
      <c r="D7" s="1" t="inlineStr">
        <is>
          <t>Assessments Count</t>
        </is>
      </c>
      <c r="E7" s="1" t="inlineStr">
        <is>
          <t>Average %</t>
        </is>
      </c>
      <c r="F7" s="1" t="inlineStr">
        <is>
          <t>Best %</t>
        </is>
      </c>
      <c r="G7" s="1" t="inlineStr">
        <is>
          <t>Worst %</t>
        </is>
      </c>
      <c r="H7" s="1" t="inlineStr">
        <is>
          <t>Term Rank</t>
        </is>
      </c>
      <c r="I7" s="1" t="inlineStr">
        <is>
          <t>Performance Level</t>
        </is>
      </c>
      <c r="J7" s="1" t="inlineStr">
        <is>
          <t>Notes</t>
        </is>
      </c>
      <c r="L7" t="n">
        <v>1</v>
      </c>
      <c r="M7">
        <f>IF($P7="","",INDEX($A$8:$A$507,MATCH($P7,$E$8:$E$507,0)))</f>
        <v/>
      </c>
      <c r="N7">
        <f>IF($M7="","",INDEX($B$8:$B$507,MATCH($P7,$E$8:$E$507,0)))</f>
        <v/>
      </c>
      <c r="O7">
        <f>IF($M7="","",INDEX($C$8:$C$507,MATCH($P7,$E$8:$E$507,0)))</f>
        <v/>
      </c>
      <c r="P7">
        <f>IFERROR(LARGE($E$8:$E$507,1),"")</f>
        <v/>
      </c>
    </row>
    <row r="8">
      <c r="A8">
        <f>IF(Students!A2="","",Students!A2)</f>
        <v/>
      </c>
      <c r="B8">
        <f>IF($A8="","",Students!B2)</f>
        <v/>
      </c>
      <c r="C8">
        <f>IF($A8="","",Students!C2)</f>
        <v/>
      </c>
      <c r="D8">
        <f>IF($A8="","",COUNTIFS(Assessments!G:G,$A8,Assessments!B:B,"&gt;="&amp;$B$4,Assessments!B:B,"&lt;="&amp;$B$5,Assessments!C:C,IF($E$4="",$B8,$E$4),Assessments!D:D,IF($E$5="",$C8,$E$5)))</f>
        <v/>
      </c>
      <c r="E8">
        <f>IF($D8=0,"",ROUND(AVERAGEIFS(Assessments!J:J,Assessments!G:G,$A8,Assessments!B:B,"&gt;="&amp;$B$4,Assessments!B:B,"&lt;="&amp;$B$5,Assessments!C:C,IF($E$4="",$B8,$E$4),Assessments!D:D,IF($E$5="",$C8,$E$5)),0))</f>
        <v/>
      </c>
      <c r="F8">
        <f>IF($D8=0,"",MAXIFS(Assessments!J:J,Assessments!G:G,$A8,Assessments!B:B,"&gt;="&amp;$B$4,Assessments!B:B,"&lt;="&amp;$B$5,Assessments!C:C,IF($E$4="",$B8,$E$4),Assessments!D:D,IF($E$5="",$C8,$E$5)))</f>
        <v/>
      </c>
      <c r="G8">
        <f>IF($D8=0,"",MINIFS(Assessments!J:J,Assessments!G:G,$A8,Assessments!B:B,"&gt;="&amp;$B$4,Assessments!B:B,"&lt;="&amp;$B$5,Assessments!C:C,IF($E$4="",$B8,$E$4),Assessments!D:D,IF($E$5="",$C8,$E$5)))</f>
        <v/>
      </c>
      <c r="H8">
        <f>IF($E8="","",RANK($E8,$E$8:$E$507,0))</f>
        <v/>
      </c>
      <c r="I8">
        <f>IF($E8="","",IF($E8&gt;=85,"Excellent",IF($E8&gt;=70,"Good",IF($E8&gt;=50,"Fair","Needs Support"))))</f>
        <v/>
      </c>
      <c r="L8" t="n">
        <v>2</v>
      </c>
      <c r="M8">
        <f>IF($P8="","",INDEX($A$8:$A$507,MATCH($P8,$E$8:$E$507,0)))</f>
        <v/>
      </c>
      <c r="N8">
        <f>IF($M8="","",INDEX($B$8:$B$507,MATCH($P8,$E$8:$E$507,0)))</f>
        <v/>
      </c>
      <c r="O8">
        <f>IF($M8="","",INDEX($C$8:$C$507,MATCH($P8,$E$8:$E$507,0)))</f>
        <v/>
      </c>
      <c r="P8">
        <f>IFERROR(LARGE($E$8:$E$507,2),"")</f>
        <v/>
      </c>
    </row>
    <row r="9">
      <c r="A9">
        <f>IF(Students!A3="","",Students!A3)</f>
        <v/>
      </c>
      <c r="B9">
        <f>IF($A9="","",Students!B3)</f>
        <v/>
      </c>
      <c r="C9">
        <f>IF($A9="","",Students!C3)</f>
        <v/>
      </c>
      <c r="D9">
        <f>IF($A9="","",COUNTIFS(Assessments!G:G,$A9,Assessments!B:B,"&gt;="&amp;$B$4,Assessments!B:B,"&lt;="&amp;$B$5,Assessments!C:C,IF($E$4="",$B9,$E$4),Assessments!D:D,IF($E$5="",$C9,$E$5)))</f>
        <v/>
      </c>
      <c r="E9">
        <f>IF($D9=0,"",ROUND(AVERAGEIFS(Assessments!J:J,Assessments!G:G,$A9,Assessments!B:B,"&gt;="&amp;$B$4,Assessments!B:B,"&lt;="&amp;$B$5,Assessments!C:C,IF($E$4="",$B9,$E$4),Assessments!D:D,IF($E$5="",$C9,$E$5)),0))</f>
        <v/>
      </c>
      <c r="F9">
        <f>IF($D9=0,"",MAXIFS(Assessments!J:J,Assessments!G:G,$A9,Assessments!B:B,"&gt;="&amp;$B$4,Assessments!B:B,"&lt;="&amp;$B$5,Assessments!C:C,IF($E$4="",$B9,$E$4),Assessments!D:D,IF($E$5="",$C9,$E$5)))</f>
        <v/>
      </c>
      <c r="G9">
        <f>IF($D9=0,"",MINIFS(Assessments!J:J,Assessments!G:G,$A9,Assessments!B:B,"&gt;="&amp;$B$4,Assessments!B:B,"&lt;="&amp;$B$5,Assessments!C:C,IF($E$4="",$B9,$E$4),Assessments!D:D,IF($E$5="",$C9,$E$5)))</f>
        <v/>
      </c>
      <c r="H9">
        <f>IF($E9="","",RANK($E9,$E$8:$E$507,0))</f>
        <v/>
      </c>
      <c r="I9">
        <f>IF($E9="","",IF($E9&gt;=85,"Excellent",IF($E9&gt;=70,"Good",IF($E9&gt;=50,"Fair","Needs Support"))))</f>
        <v/>
      </c>
      <c r="L9" t="n">
        <v>3</v>
      </c>
      <c r="M9">
        <f>IF($P9="","",INDEX($A$8:$A$507,MATCH($P9,$E$8:$E$507,0)))</f>
        <v/>
      </c>
      <c r="N9">
        <f>IF($M9="","",INDEX($B$8:$B$507,MATCH($P9,$E$8:$E$507,0)))</f>
        <v/>
      </c>
      <c r="O9">
        <f>IF($M9="","",INDEX($C$8:$C$507,MATCH($P9,$E$8:$E$507,0)))</f>
        <v/>
      </c>
      <c r="P9">
        <f>IFERROR(LARGE($E$8:$E$507,3),"")</f>
        <v/>
      </c>
    </row>
    <row r="10">
      <c r="A10">
        <f>IF(Students!A4="","",Students!A4)</f>
        <v/>
      </c>
      <c r="B10">
        <f>IF($A10="","",Students!B4)</f>
        <v/>
      </c>
      <c r="C10">
        <f>IF($A10="","",Students!C4)</f>
        <v/>
      </c>
      <c r="D10">
        <f>IF($A10="","",COUNTIFS(Assessments!G:G,$A10,Assessments!B:B,"&gt;="&amp;$B$4,Assessments!B:B,"&lt;="&amp;$B$5,Assessments!C:C,IF($E$4="",$B10,$E$4),Assessments!D:D,IF($E$5="",$C10,$E$5)))</f>
        <v/>
      </c>
      <c r="E10">
        <f>IF($D10=0,"",ROUND(AVERAGEIFS(Assessments!J:J,Assessments!G:G,$A10,Assessments!B:B,"&gt;="&amp;$B$4,Assessments!B:B,"&lt;="&amp;$B$5,Assessments!C:C,IF($E$4="",$B10,$E$4),Assessments!D:D,IF($E$5="",$C10,$E$5)),0))</f>
        <v/>
      </c>
      <c r="F10">
        <f>IF($D10=0,"",MAXIFS(Assessments!J:J,Assessments!G:G,$A10,Assessments!B:B,"&gt;="&amp;$B$4,Assessments!B:B,"&lt;="&amp;$B$5,Assessments!C:C,IF($E$4="",$B10,$E$4),Assessments!D:D,IF($E$5="",$C10,$E$5)))</f>
        <v/>
      </c>
      <c r="G10">
        <f>IF($D10=0,"",MINIFS(Assessments!J:J,Assessments!G:G,$A10,Assessments!B:B,"&gt;="&amp;$B$4,Assessments!B:B,"&lt;="&amp;$B$5,Assessments!C:C,IF($E$4="",$B10,$E$4),Assessments!D:D,IF($E$5="",$C10,$E$5)))</f>
        <v/>
      </c>
      <c r="H10">
        <f>IF($E10="","",RANK($E10,$E$8:$E$507,0))</f>
        <v/>
      </c>
      <c r="I10">
        <f>IF($E10="","",IF($E10&gt;=85,"Excellent",IF($E10&gt;=70,"Good",IF($E10&gt;=50,"Fair","Needs Support"))))</f>
        <v/>
      </c>
      <c r="L10" t="n">
        <v>4</v>
      </c>
      <c r="M10">
        <f>IF($P10="","",INDEX($A$8:$A$507,MATCH($P10,$E$8:$E$507,0)))</f>
        <v/>
      </c>
      <c r="N10">
        <f>IF($M10="","",INDEX($B$8:$B$507,MATCH($P10,$E$8:$E$507,0)))</f>
        <v/>
      </c>
      <c r="O10">
        <f>IF($M10="","",INDEX($C$8:$C$507,MATCH($P10,$E$8:$E$507,0)))</f>
        <v/>
      </c>
      <c r="P10">
        <f>IFERROR(LARGE($E$8:$E$507,4),"")</f>
        <v/>
      </c>
    </row>
    <row r="11">
      <c r="A11">
        <f>IF(Students!A5="","",Students!A5)</f>
        <v/>
      </c>
      <c r="B11">
        <f>IF($A11="","",Students!B5)</f>
        <v/>
      </c>
      <c r="C11">
        <f>IF($A11="","",Students!C5)</f>
        <v/>
      </c>
      <c r="D11">
        <f>IF($A11="","",COUNTIFS(Assessments!G:G,$A11,Assessments!B:B,"&gt;="&amp;$B$4,Assessments!B:B,"&lt;="&amp;$B$5,Assessments!C:C,IF($E$4="",$B11,$E$4),Assessments!D:D,IF($E$5="",$C11,$E$5)))</f>
        <v/>
      </c>
      <c r="E11">
        <f>IF($D11=0,"",ROUND(AVERAGEIFS(Assessments!J:J,Assessments!G:G,$A11,Assessments!B:B,"&gt;="&amp;$B$4,Assessments!B:B,"&lt;="&amp;$B$5,Assessments!C:C,IF($E$4="",$B11,$E$4),Assessments!D:D,IF($E$5="",$C11,$E$5)),0))</f>
        <v/>
      </c>
      <c r="F11">
        <f>IF($D11=0,"",MAXIFS(Assessments!J:J,Assessments!G:G,$A11,Assessments!B:B,"&gt;="&amp;$B$4,Assessments!B:B,"&lt;="&amp;$B$5,Assessments!C:C,IF($E$4="",$B11,$E$4),Assessments!D:D,IF($E$5="",$C11,$E$5)))</f>
        <v/>
      </c>
      <c r="G11">
        <f>IF($D11=0,"",MINIFS(Assessments!J:J,Assessments!G:G,$A11,Assessments!B:B,"&gt;="&amp;$B$4,Assessments!B:B,"&lt;="&amp;$B$5,Assessments!C:C,IF($E$4="",$B11,$E$4),Assessments!D:D,IF($E$5="",$C11,$E$5)))</f>
        <v/>
      </c>
      <c r="H11">
        <f>IF($E11="","",RANK($E11,$E$8:$E$507,0))</f>
        <v/>
      </c>
      <c r="I11">
        <f>IF($E11="","",IF($E11&gt;=85,"Excellent",IF($E11&gt;=70,"Good",IF($E11&gt;=50,"Fair","Needs Support"))))</f>
        <v/>
      </c>
      <c r="L11" t="n">
        <v>5</v>
      </c>
      <c r="M11">
        <f>IF($P11="","",INDEX($A$8:$A$507,MATCH($P11,$E$8:$E$507,0)))</f>
        <v/>
      </c>
      <c r="N11">
        <f>IF($M11="","",INDEX($B$8:$B$507,MATCH($P11,$E$8:$E$507,0)))</f>
        <v/>
      </c>
      <c r="O11">
        <f>IF($M11="","",INDEX($C$8:$C$507,MATCH($P11,$E$8:$E$507,0)))</f>
        <v/>
      </c>
      <c r="P11">
        <f>IFERROR(LARGE($E$8:$E$507,5),"")</f>
        <v/>
      </c>
    </row>
    <row r="12">
      <c r="A12">
        <f>IF(Students!A6="","",Students!A6)</f>
        <v/>
      </c>
      <c r="B12">
        <f>IF($A12="","",Students!B6)</f>
        <v/>
      </c>
      <c r="C12">
        <f>IF($A12="","",Students!C6)</f>
        <v/>
      </c>
      <c r="D12">
        <f>IF($A12="","",COUNTIFS(Assessments!G:G,$A12,Assessments!B:B,"&gt;="&amp;$B$4,Assessments!B:B,"&lt;="&amp;$B$5,Assessments!C:C,IF($E$4="",$B12,$E$4),Assessments!D:D,IF($E$5="",$C12,$E$5)))</f>
        <v/>
      </c>
      <c r="E12">
        <f>IF($D12=0,"",ROUND(AVERAGEIFS(Assessments!J:J,Assessments!G:G,$A12,Assessments!B:B,"&gt;="&amp;$B$4,Assessments!B:B,"&lt;="&amp;$B$5,Assessments!C:C,IF($E$4="",$B12,$E$4),Assessments!D:D,IF($E$5="",$C12,$E$5)),0))</f>
        <v/>
      </c>
      <c r="F12">
        <f>IF($D12=0,"",MAXIFS(Assessments!J:J,Assessments!G:G,$A12,Assessments!B:B,"&gt;="&amp;$B$4,Assessments!B:B,"&lt;="&amp;$B$5,Assessments!C:C,IF($E$4="",$B12,$E$4),Assessments!D:D,IF($E$5="",$C12,$E$5)))</f>
        <v/>
      </c>
      <c r="G12">
        <f>IF($D12=0,"",MINIFS(Assessments!J:J,Assessments!G:G,$A12,Assessments!B:B,"&gt;="&amp;$B$4,Assessments!B:B,"&lt;="&amp;$B$5,Assessments!C:C,IF($E$4="",$B12,$E$4),Assessments!D:D,IF($E$5="",$C12,$E$5)))</f>
        <v/>
      </c>
      <c r="H12">
        <f>IF($E12="","",RANK($E12,$E$8:$E$507,0))</f>
        <v/>
      </c>
      <c r="I12">
        <f>IF($E12="","",IF($E12&gt;=85,"Excellent",IF($E12&gt;=70,"Good",IF($E12&gt;=50,"Fair","Needs Support"))))</f>
        <v/>
      </c>
      <c r="L12" t="n">
        <v>6</v>
      </c>
      <c r="M12">
        <f>IF($P12="","",INDEX($A$8:$A$507,MATCH($P12,$E$8:$E$507,0)))</f>
        <v/>
      </c>
      <c r="N12">
        <f>IF($M12="","",INDEX($B$8:$B$507,MATCH($P12,$E$8:$E$507,0)))</f>
        <v/>
      </c>
      <c r="O12">
        <f>IF($M12="","",INDEX($C$8:$C$507,MATCH($P12,$E$8:$E$507,0)))</f>
        <v/>
      </c>
      <c r="P12">
        <f>IFERROR(LARGE($E$8:$E$507,6),"")</f>
        <v/>
      </c>
    </row>
    <row r="13">
      <c r="A13">
        <f>IF(Students!A7="","",Students!A7)</f>
        <v/>
      </c>
      <c r="B13">
        <f>IF($A13="","",Students!B7)</f>
        <v/>
      </c>
      <c r="C13">
        <f>IF($A13="","",Students!C7)</f>
        <v/>
      </c>
      <c r="D13">
        <f>IF($A13="","",COUNTIFS(Assessments!G:G,$A13,Assessments!B:B,"&gt;="&amp;$B$4,Assessments!B:B,"&lt;="&amp;$B$5,Assessments!C:C,IF($E$4="",$B13,$E$4),Assessments!D:D,IF($E$5="",$C13,$E$5)))</f>
        <v/>
      </c>
      <c r="E13">
        <f>IF($D13=0,"",ROUND(AVERAGEIFS(Assessments!J:J,Assessments!G:G,$A13,Assessments!B:B,"&gt;="&amp;$B$4,Assessments!B:B,"&lt;="&amp;$B$5,Assessments!C:C,IF($E$4="",$B13,$E$4),Assessments!D:D,IF($E$5="",$C13,$E$5)),0))</f>
        <v/>
      </c>
      <c r="F13">
        <f>IF($D13=0,"",MAXIFS(Assessments!J:J,Assessments!G:G,$A13,Assessments!B:B,"&gt;="&amp;$B$4,Assessments!B:B,"&lt;="&amp;$B$5,Assessments!C:C,IF($E$4="",$B13,$E$4),Assessments!D:D,IF($E$5="",$C13,$E$5)))</f>
        <v/>
      </c>
      <c r="G13">
        <f>IF($D13=0,"",MINIFS(Assessments!J:J,Assessments!G:G,$A13,Assessments!B:B,"&gt;="&amp;$B$4,Assessments!B:B,"&lt;="&amp;$B$5,Assessments!C:C,IF($E$4="",$B13,$E$4),Assessments!D:D,IF($E$5="",$C13,$E$5)))</f>
        <v/>
      </c>
      <c r="H13">
        <f>IF($E13="","",RANK($E13,$E$8:$E$507,0))</f>
        <v/>
      </c>
      <c r="I13">
        <f>IF($E13="","",IF($E13&gt;=85,"Excellent",IF($E13&gt;=70,"Good",IF($E13&gt;=50,"Fair","Needs Support"))))</f>
        <v/>
      </c>
      <c r="L13" t="n">
        <v>7</v>
      </c>
      <c r="M13">
        <f>IF($P13="","",INDEX($A$8:$A$507,MATCH($P13,$E$8:$E$507,0)))</f>
        <v/>
      </c>
      <c r="N13">
        <f>IF($M13="","",INDEX($B$8:$B$507,MATCH($P13,$E$8:$E$507,0)))</f>
        <v/>
      </c>
      <c r="O13">
        <f>IF($M13="","",INDEX($C$8:$C$507,MATCH($P13,$E$8:$E$507,0)))</f>
        <v/>
      </c>
      <c r="P13">
        <f>IFERROR(LARGE($E$8:$E$507,7),"")</f>
        <v/>
      </c>
    </row>
    <row r="14">
      <c r="A14">
        <f>IF(Students!A8="","",Students!A8)</f>
        <v/>
      </c>
      <c r="B14">
        <f>IF($A14="","",Students!B8)</f>
        <v/>
      </c>
      <c r="C14">
        <f>IF($A14="","",Students!C8)</f>
        <v/>
      </c>
      <c r="D14">
        <f>IF($A14="","",COUNTIFS(Assessments!G:G,$A14,Assessments!B:B,"&gt;="&amp;$B$4,Assessments!B:B,"&lt;="&amp;$B$5,Assessments!C:C,IF($E$4="",$B14,$E$4),Assessments!D:D,IF($E$5="",$C14,$E$5)))</f>
        <v/>
      </c>
      <c r="E14">
        <f>IF($D14=0,"",ROUND(AVERAGEIFS(Assessments!J:J,Assessments!G:G,$A14,Assessments!B:B,"&gt;="&amp;$B$4,Assessments!B:B,"&lt;="&amp;$B$5,Assessments!C:C,IF($E$4="",$B14,$E$4),Assessments!D:D,IF($E$5="",$C14,$E$5)),0))</f>
        <v/>
      </c>
      <c r="F14">
        <f>IF($D14=0,"",MAXIFS(Assessments!J:J,Assessments!G:G,$A14,Assessments!B:B,"&gt;="&amp;$B$4,Assessments!B:B,"&lt;="&amp;$B$5,Assessments!C:C,IF($E$4="",$B14,$E$4),Assessments!D:D,IF($E$5="",$C14,$E$5)))</f>
        <v/>
      </c>
      <c r="G14">
        <f>IF($D14=0,"",MINIFS(Assessments!J:J,Assessments!G:G,$A14,Assessments!B:B,"&gt;="&amp;$B$4,Assessments!B:B,"&lt;="&amp;$B$5,Assessments!C:C,IF($E$4="",$B14,$E$4),Assessments!D:D,IF($E$5="",$C14,$E$5)))</f>
        <v/>
      </c>
      <c r="H14">
        <f>IF($E14="","",RANK($E14,$E$8:$E$507,0))</f>
        <v/>
      </c>
      <c r="I14">
        <f>IF($E14="","",IF($E14&gt;=85,"Excellent",IF($E14&gt;=70,"Good",IF($E14&gt;=50,"Fair","Needs Support"))))</f>
        <v/>
      </c>
      <c r="L14" t="n">
        <v>8</v>
      </c>
      <c r="M14">
        <f>IF($P14="","",INDEX($A$8:$A$507,MATCH($P14,$E$8:$E$507,0)))</f>
        <v/>
      </c>
      <c r="N14">
        <f>IF($M14="","",INDEX($B$8:$B$507,MATCH($P14,$E$8:$E$507,0)))</f>
        <v/>
      </c>
      <c r="O14">
        <f>IF($M14="","",INDEX($C$8:$C$507,MATCH($P14,$E$8:$E$507,0)))</f>
        <v/>
      </c>
      <c r="P14">
        <f>IFERROR(LARGE($E$8:$E$507,8),"")</f>
        <v/>
      </c>
    </row>
    <row r="15">
      <c r="A15">
        <f>IF(Students!A9="","",Students!A9)</f>
        <v/>
      </c>
      <c r="B15">
        <f>IF($A15="","",Students!B9)</f>
        <v/>
      </c>
      <c r="C15">
        <f>IF($A15="","",Students!C9)</f>
        <v/>
      </c>
      <c r="D15">
        <f>IF($A15="","",COUNTIFS(Assessments!G:G,$A15,Assessments!B:B,"&gt;="&amp;$B$4,Assessments!B:B,"&lt;="&amp;$B$5,Assessments!C:C,IF($E$4="",$B15,$E$4),Assessments!D:D,IF($E$5="",$C15,$E$5)))</f>
        <v/>
      </c>
      <c r="E15">
        <f>IF($D15=0,"",ROUND(AVERAGEIFS(Assessments!J:J,Assessments!G:G,$A15,Assessments!B:B,"&gt;="&amp;$B$4,Assessments!B:B,"&lt;="&amp;$B$5,Assessments!C:C,IF($E$4="",$B15,$E$4),Assessments!D:D,IF($E$5="",$C15,$E$5)),0))</f>
        <v/>
      </c>
      <c r="F15">
        <f>IF($D15=0,"",MAXIFS(Assessments!J:J,Assessments!G:G,$A15,Assessments!B:B,"&gt;="&amp;$B$4,Assessments!B:B,"&lt;="&amp;$B$5,Assessments!C:C,IF($E$4="",$B15,$E$4),Assessments!D:D,IF($E$5="",$C15,$E$5)))</f>
        <v/>
      </c>
      <c r="G15">
        <f>IF($D15=0,"",MINIFS(Assessments!J:J,Assessments!G:G,$A15,Assessments!B:B,"&gt;="&amp;$B$4,Assessments!B:B,"&lt;="&amp;$B$5,Assessments!C:C,IF($E$4="",$B15,$E$4),Assessments!D:D,IF($E$5="",$C15,$E$5)))</f>
        <v/>
      </c>
      <c r="H15">
        <f>IF($E15="","",RANK($E15,$E$8:$E$507,0))</f>
        <v/>
      </c>
      <c r="I15">
        <f>IF($E15="","",IF($E15&gt;=85,"Excellent",IF($E15&gt;=70,"Good",IF($E15&gt;=50,"Fair","Needs Support"))))</f>
        <v/>
      </c>
      <c r="L15" t="n">
        <v>9</v>
      </c>
      <c r="M15">
        <f>IF($P15="","",INDEX($A$8:$A$507,MATCH($P15,$E$8:$E$507,0)))</f>
        <v/>
      </c>
      <c r="N15">
        <f>IF($M15="","",INDEX($B$8:$B$507,MATCH($P15,$E$8:$E$507,0)))</f>
        <v/>
      </c>
      <c r="O15">
        <f>IF($M15="","",INDEX($C$8:$C$507,MATCH($P15,$E$8:$E$507,0)))</f>
        <v/>
      </c>
      <c r="P15">
        <f>IFERROR(LARGE($E$8:$E$507,9),"")</f>
        <v/>
      </c>
    </row>
    <row r="16">
      <c r="A16">
        <f>IF(Students!A10="","",Students!A10)</f>
        <v/>
      </c>
      <c r="B16">
        <f>IF($A16="","",Students!B10)</f>
        <v/>
      </c>
      <c r="C16">
        <f>IF($A16="","",Students!C10)</f>
        <v/>
      </c>
      <c r="D16">
        <f>IF($A16="","",COUNTIFS(Assessments!G:G,$A16,Assessments!B:B,"&gt;="&amp;$B$4,Assessments!B:B,"&lt;="&amp;$B$5,Assessments!C:C,IF($E$4="",$B16,$E$4),Assessments!D:D,IF($E$5="",$C16,$E$5)))</f>
        <v/>
      </c>
      <c r="E16">
        <f>IF($D16=0,"",ROUND(AVERAGEIFS(Assessments!J:J,Assessments!G:G,$A16,Assessments!B:B,"&gt;="&amp;$B$4,Assessments!B:B,"&lt;="&amp;$B$5,Assessments!C:C,IF($E$4="",$B16,$E$4),Assessments!D:D,IF($E$5="",$C16,$E$5)),0))</f>
        <v/>
      </c>
      <c r="F16">
        <f>IF($D16=0,"",MAXIFS(Assessments!J:J,Assessments!G:G,$A16,Assessments!B:B,"&gt;="&amp;$B$4,Assessments!B:B,"&lt;="&amp;$B$5,Assessments!C:C,IF($E$4="",$B16,$E$4),Assessments!D:D,IF($E$5="",$C16,$E$5)))</f>
        <v/>
      </c>
      <c r="G16">
        <f>IF($D16=0,"",MINIFS(Assessments!J:J,Assessments!G:G,$A16,Assessments!B:B,"&gt;="&amp;$B$4,Assessments!B:B,"&lt;="&amp;$B$5,Assessments!C:C,IF($E$4="",$B16,$E$4),Assessments!D:D,IF($E$5="",$C16,$E$5)))</f>
        <v/>
      </c>
      <c r="H16">
        <f>IF($E16="","",RANK($E16,$E$8:$E$507,0))</f>
        <v/>
      </c>
      <c r="I16">
        <f>IF($E16="","",IF($E16&gt;=85,"Excellent",IF($E16&gt;=70,"Good",IF($E16&gt;=50,"Fair","Needs Support"))))</f>
        <v/>
      </c>
      <c r="L16" t="n">
        <v>10</v>
      </c>
      <c r="M16">
        <f>IF($P16="","",INDEX($A$8:$A$507,MATCH($P16,$E$8:$E$507,0)))</f>
        <v/>
      </c>
      <c r="N16">
        <f>IF($M16="","",INDEX($B$8:$B$507,MATCH($P16,$E$8:$E$507,0)))</f>
        <v/>
      </c>
      <c r="O16">
        <f>IF($M16="","",INDEX($C$8:$C$507,MATCH($P16,$E$8:$E$507,0)))</f>
        <v/>
      </c>
      <c r="P16">
        <f>IFERROR(LARGE($E$8:$E$507,10),"")</f>
        <v/>
      </c>
    </row>
    <row r="17">
      <c r="A17">
        <f>IF(Students!A11="","",Students!A11)</f>
        <v/>
      </c>
      <c r="B17">
        <f>IF($A17="","",Students!B11)</f>
        <v/>
      </c>
      <c r="C17">
        <f>IF($A17="","",Students!C11)</f>
        <v/>
      </c>
      <c r="D17">
        <f>IF($A17="","",COUNTIFS(Assessments!G:G,$A17,Assessments!B:B,"&gt;="&amp;$B$4,Assessments!B:B,"&lt;="&amp;$B$5,Assessments!C:C,IF($E$4="",$B17,$E$4),Assessments!D:D,IF($E$5="",$C17,$E$5)))</f>
        <v/>
      </c>
      <c r="E17">
        <f>IF($D17=0,"",ROUND(AVERAGEIFS(Assessments!J:J,Assessments!G:G,$A17,Assessments!B:B,"&gt;="&amp;$B$4,Assessments!B:B,"&lt;="&amp;$B$5,Assessments!C:C,IF($E$4="",$B17,$E$4),Assessments!D:D,IF($E$5="",$C17,$E$5)),0))</f>
        <v/>
      </c>
      <c r="F17">
        <f>IF($D17=0,"",MAXIFS(Assessments!J:J,Assessments!G:G,$A17,Assessments!B:B,"&gt;="&amp;$B$4,Assessments!B:B,"&lt;="&amp;$B$5,Assessments!C:C,IF($E$4="",$B17,$E$4),Assessments!D:D,IF($E$5="",$C17,$E$5)))</f>
        <v/>
      </c>
      <c r="G17">
        <f>IF($D17=0,"",MINIFS(Assessments!J:J,Assessments!G:G,$A17,Assessments!B:B,"&gt;="&amp;$B$4,Assessments!B:B,"&lt;="&amp;$B$5,Assessments!C:C,IF($E$4="",$B17,$E$4),Assessments!D:D,IF($E$5="",$C17,$E$5)))</f>
        <v/>
      </c>
      <c r="H17">
        <f>IF($E17="","",RANK($E17,$E$8:$E$507,0))</f>
        <v/>
      </c>
      <c r="I17">
        <f>IF($E17="","",IF($E17&gt;=85,"Excellent",IF($E17&gt;=70,"Good",IF($E17&gt;=50,"Fair","Needs Support"))))</f>
        <v/>
      </c>
    </row>
    <row r="18">
      <c r="A18">
        <f>IF(Students!A12="","",Students!A12)</f>
        <v/>
      </c>
      <c r="B18">
        <f>IF($A18="","",Students!B12)</f>
        <v/>
      </c>
      <c r="C18">
        <f>IF($A18="","",Students!C12)</f>
        <v/>
      </c>
      <c r="D18">
        <f>IF($A18="","",COUNTIFS(Assessments!G:G,$A18,Assessments!B:B,"&gt;="&amp;$B$4,Assessments!B:B,"&lt;="&amp;$B$5,Assessments!C:C,IF($E$4="",$B18,$E$4),Assessments!D:D,IF($E$5="",$C18,$E$5)))</f>
        <v/>
      </c>
      <c r="E18">
        <f>IF($D18=0,"",ROUND(AVERAGEIFS(Assessments!J:J,Assessments!G:G,$A18,Assessments!B:B,"&gt;="&amp;$B$4,Assessments!B:B,"&lt;="&amp;$B$5,Assessments!C:C,IF($E$4="",$B18,$E$4),Assessments!D:D,IF($E$5="",$C18,$E$5)),0))</f>
        <v/>
      </c>
      <c r="F18">
        <f>IF($D18=0,"",MAXIFS(Assessments!J:J,Assessments!G:G,$A18,Assessments!B:B,"&gt;="&amp;$B$4,Assessments!B:B,"&lt;="&amp;$B$5,Assessments!C:C,IF($E$4="",$B18,$E$4),Assessments!D:D,IF($E$5="",$C18,$E$5)))</f>
        <v/>
      </c>
      <c r="G18">
        <f>IF($D18=0,"",MINIFS(Assessments!J:J,Assessments!G:G,$A18,Assessments!B:B,"&gt;="&amp;$B$4,Assessments!B:B,"&lt;="&amp;$B$5,Assessments!C:C,IF($E$4="",$B18,$E$4),Assessments!D:D,IF($E$5="",$C18,$E$5)))</f>
        <v/>
      </c>
      <c r="H18">
        <f>IF($E18="","",RANK($E18,$E$8:$E$507,0))</f>
        <v/>
      </c>
      <c r="I18">
        <f>IF($E18="","",IF($E18&gt;=85,"Excellent",IF($E18&gt;=70,"Good",IF($E18&gt;=50,"Fair","Needs Support"))))</f>
        <v/>
      </c>
    </row>
    <row r="19">
      <c r="A19">
        <f>IF(Students!A13="","",Students!A13)</f>
        <v/>
      </c>
      <c r="B19">
        <f>IF($A19="","",Students!B13)</f>
        <v/>
      </c>
      <c r="C19">
        <f>IF($A19="","",Students!C13)</f>
        <v/>
      </c>
      <c r="D19">
        <f>IF($A19="","",COUNTIFS(Assessments!G:G,$A19,Assessments!B:B,"&gt;="&amp;$B$4,Assessments!B:B,"&lt;="&amp;$B$5,Assessments!C:C,IF($E$4="",$B19,$E$4),Assessments!D:D,IF($E$5="",$C19,$E$5)))</f>
        <v/>
      </c>
      <c r="E19">
        <f>IF($D19=0,"",ROUND(AVERAGEIFS(Assessments!J:J,Assessments!G:G,$A19,Assessments!B:B,"&gt;="&amp;$B$4,Assessments!B:B,"&lt;="&amp;$B$5,Assessments!C:C,IF($E$4="",$B19,$E$4),Assessments!D:D,IF($E$5="",$C19,$E$5)),0))</f>
        <v/>
      </c>
      <c r="F19">
        <f>IF($D19=0,"",MAXIFS(Assessments!J:J,Assessments!G:G,$A19,Assessments!B:B,"&gt;="&amp;$B$4,Assessments!B:B,"&lt;="&amp;$B$5,Assessments!C:C,IF($E$4="",$B19,$E$4),Assessments!D:D,IF($E$5="",$C19,$E$5)))</f>
        <v/>
      </c>
      <c r="G19">
        <f>IF($D19=0,"",MINIFS(Assessments!J:J,Assessments!G:G,$A19,Assessments!B:B,"&gt;="&amp;$B$4,Assessments!B:B,"&lt;="&amp;$B$5,Assessments!C:C,IF($E$4="",$B19,$E$4),Assessments!D:D,IF($E$5="",$C19,$E$5)))</f>
        <v/>
      </c>
      <c r="H19">
        <f>IF($E19="","",RANK($E19,$E$8:$E$507,0))</f>
        <v/>
      </c>
      <c r="I19">
        <f>IF($E19="","",IF($E19&gt;=85,"Excellent",IF($E19&gt;=70,"Good",IF($E19&gt;=50,"Fair","Needs Support"))))</f>
        <v/>
      </c>
    </row>
    <row r="20">
      <c r="A20">
        <f>IF(Students!A14="","",Students!A14)</f>
        <v/>
      </c>
      <c r="B20">
        <f>IF($A20="","",Students!B14)</f>
        <v/>
      </c>
      <c r="C20">
        <f>IF($A20="","",Students!C14)</f>
        <v/>
      </c>
      <c r="D20">
        <f>IF($A20="","",COUNTIFS(Assessments!G:G,$A20,Assessments!B:B,"&gt;="&amp;$B$4,Assessments!B:B,"&lt;="&amp;$B$5,Assessments!C:C,IF($E$4="",$B20,$E$4),Assessments!D:D,IF($E$5="",$C20,$E$5)))</f>
        <v/>
      </c>
      <c r="E20">
        <f>IF($D20=0,"",ROUND(AVERAGEIFS(Assessments!J:J,Assessments!G:G,$A20,Assessments!B:B,"&gt;="&amp;$B$4,Assessments!B:B,"&lt;="&amp;$B$5,Assessments!C:C,IF($E$4="",$B20,$E$4),Assessments!D:D,IF($E$5="",$C20,$E$5)),0))</f>
        <v/>
      </c>
      <c r="F20">
        <f>IF($D20=0,"",MAXIFS(Assessments!J:J,Assessments!G:G,$A20,Assessments!B:B,"&gt;="&amp;$B$4,Assessments!B:B,"&lt;="&amp;$B$5,Assessments!C:C,IF($E$4="",$B20,$E$4),Assessments!D:D,IF($E$5="",$C20,$E$5)))</f>
        <v/>
      </c>
      <c r="G20">
        <f>IF($D20=0,"",MINIFS(Assessments!J:J,Assessments!G:G,$A20,Assessments!B:B,"&gt;="&amp;$B$4,Assessments!B:B,"&lt;="&amp;$B$5,Assessments!C:C,IF($E$4="",$B20,$E$4),Assessments!D:D,IF($E$5="",$C20,$E$5)))</f>
        <v/>
      </c>
      <c r="H20">
        <f>IF($E20="","",RANK($E20,$E$8:$E$507,0))</f>
        <v/>
      </c>
      <c r="I20">
        <f>IF($E20="","",IF($E20&gt;=85,"Excellent",IF($E20&gt;=70,"Good",IF($E20&gt;=50,"Fair","Needs Support"))))</f>
        <v/>
      </c>
    </row>
    <row r="21">
      <c r="A21">
        <f>IF(Students!A15="","",Students!A15)</f>
        <v/>
      </c>
      <c r="B21">
        <f>IF($A21="","",Students!B15)</f>
        <v/>
      </c>
      <c r="C21">
        <f>IF($A21="","",Students!C15)</f>
        <v/>
      </c>
      <c r="D21">
        <f>IF($A21="","",COUNTIFS(Assessments!G:G,$A21,Assessments!B:B,"&gt;="&amp;$B$4,Assessments!B:B,"&lt;="&amp;$B$5,Assessments!C:C,IF($E$4="",$B21,$E$4),Assessments!D:D,IF($E$5="",$C21,$E$5)))</f>
        <v/>
      </c>
      <c r="E21">
        <f>IF($D21=0,"",ROUND(AVERAGEIFS(Assessments!J:J,Assessments!G:G,$A21,Assessments!B:B,"&gt;="&amp;$B$4,Assessments!B:B,"&lt;="&amp;$B$5,Assessments!C:C,IF($E$4="",$B21,$E$4),Assessments!D:D,IF($E$5="",$C21,$E$5)),0))</f>
        <v/>
      </c>
      <c r="F21">
        <f>IF($D21=0,"",MAXIFS(Assessments!J:J,Assessments!G:G,$A21,Assessments!B:B,"&gt;="&amp;$B$4,Assessments!B:B,"&lt;="&amp;$B$5,Assessments!C:C,IF($E$4="",$B21,$E$4),Assessments!D:D,IF($E$5="",$C21,$E$5)))</f>
        <v/>
      </c>
      <c r="G21">
        <f>IF($D21=0,"",MINIFS(Assessments!J:J,Assessments!G:G,$A21,Assessments!B:B,"&gt;="&amp;$B$4,Assessments!B:B,"&lt;="&amp;$B$5,Assessments!C:C,IF($E$4="",$B21,$E$4),Assessments!D:D,IF($E$5="",$C21,$E$5)))</f>
        <v/>
      </c>
      <c r="H21">
        <f>IF($E21="","",RANK($E21,$E$8:$E$507,0))</f>
        <v/>
      </c>
      <c r="I21">
        <f>IF($E21="","",IF($E21&gt;=85,"Excellent",IF($E21&gt;=70,"Good",IF($E21&gt;=50,"Fair","Needs Support"))))</f>
        <v/>
      </c>
    </row>
    <row r="22">
      <c r="A22">
        <f>IF(Students!A16="","",Students!A16)</f>
        <v/>
      </c>
      <c r="B22">
        <f>IF($A22="","",Students!B16)</f>
        <v/>
      </c>
      <c r="C22">
        <f>IF($A22="","",Students!C16)</f>
        <v/>
      </c>
      <c r="D22">
        <f>IF($A22="","",COUNTIFS(Assessments!G:G,$A22,Assessments!B:B,"&gt;="&amp;$B$4,Assessments!B:B,"&lt;="&amp;$B$5,Assessments!C:C,IF($E$4="",$B22,$E$4),Assessments!D:D,IF($E$5="",$C22,$E$5)))</f>
        <v/>
      </c>
      <c r="E22">
        <f>IF($D22=0,"",ROUND(AVERAGEIFS(Assessments!J:J,Assessments!G:G,$A22,Assessments!B:B,"&gt;="&amp;$B$4,Assessments!B:B,"&lt;="&amp;$B$5,Assessments!C:C,IF($E$4="",$B22,$E$4),Assessments!D:D,IF($E$5="",$C22,$E$5)),0))</f>
        <v/>
      </c>
      <c r="F22">
        <f>IF($D22=0,"",MAXIFS(Assessments!J:J,Assessments!G:G,$A22,Assessments!B:B,"&gt;="&amp;$B$4,Assessments!B:B,"&lt;="&amp;$B$5,Assessments!C:C,IF($E$4="",$B22,$E$4),Assessments!D:D,IF($E$5="",$C22,$E$5)))</f>
        <v/>
      </c>
      <c r="G22">
        <f>IF($D22=0,"",MINIFS(Assessments!J:J,Assessments!G:G,$A22,Assessments!B:B,"&gt;="&amp;$B$4,Assessments!B:B,"&lt;="&amp;$B$5,Assessments!C:C,IF($E$4="",$B22,$E$4),Assessments!D:D,IF($E$5="",$C22,$E$5)))</f>
        <v/>
      </c>
      <c r="H22">
        <f>IF($E22="","",RANK($E22,$E$8:$E$507,0))</f>
        <v/>
      </c>
      <c r="I22">
        <f>IF($E22="","",IF($E22&gt;=85,"Excellent",IF($E22&gt;=70,"Good",IF($E22&gt;=50,"Fair","Needs Support"))))</f>
        <v/>
      </c>
    </row>
    <row r="23">
      <c r="A23">
        <f>IF(Students!A17="","",Students!A17)</f>
        <v/>
      </c>
      <c r="B23">
        <f>IF($A23="","",Students!B17)</f>
        <v/>
      </c>
      <c r="C23">
        <f>IF($A23="","",Students!C17)</f>
        <v/>
      </c>
      <c r="D23">
        <f>IF($A23="","",COUNTIFS(Assessments!G:G,$A23,Assessments!B:B,"&gt;="&amp;$B$4,Assessments!B:B,"&lt;="&amp;$B$5,Assessments!C:C,IF($E$4="",$B23,$E$4),Assessments!D:D,IF($E$5="",$C23,$E$5)))</f>
        <v/>
      </c>
      <c r="E23">
        <f>IF($D23=0,"",ROUND(AVERAGEIFS(Assessments!J:J,Assessments!G:G,$A23,Assessments!B:B,"&gt;="&amp;$B$4,Assessments!B:B,"&lt;="&amp;$B$5,Assessments!C:C,IF($E$4="",$B23,$E$4),Assessments!D:D,IF($E$5="",$C23,$E$5)),0))</f>
        <v/>
      </c>
      <c r="F23">
        <f>IF($D23=0,"",MAXIFS(Assessments!J:J,Assessments!G:G,$A23,Assessments!B:B,"&gt;="&amp;$B$4,Assessments!B:B,"&lt;="&amp;$B$5,Assessments!C:C,IF($E$4="",$B23,$E$4),Assessments!D:D,IF($E$5="",$C23,$E$5)))</f>
        <v/>
      </c>
      <c r="G23">
        <f>IF($D23=0,"",MINIFS(Assessments!J:J,Assessments!G:G,$A23,Assessments!B:B,"&gt;="&amp;$B$4,Assessments!B:B,"&lt;="&amp;$B$5,Assessments!C:C,IF($E$4="",$B23,$E$4),Assessments!D:D,IF($E$5="",$C23,$E$5)))</f>
        <v/>
      </c>
      <c r="H23">
        <f>IF($E23="","",RANK($E23,$E$8:$E$507,0))</f>
        <v/>
      </c>
      <c r="I23">
        <f>IF($E23="","",IF($E23&gt;=85,"Excellent",IF($E23&gt;=70,"Good",IF($E23&gt;=50,"Fair","Needs Support"))))</f>
        <v/>
      </c>
    </row>
    <row r="24">
      <c r="A24">
        <f>IF(Students!A18="","",Students!A18)</f>
        <v/>
      </c>
      <c r="B24">
        <f>IF($A24="","",Students!B18)</f>
        <v/>
      </c>
      <c r="C24">
        <f>IF($A24="","",Students!C18)</f>
        <v/>
      </c>
      <c r="D24">
        <f>IF($A24="","",COUNTIFS(Assessments!G:G,$A24,Assessments!B:B,"&gt;="&amp;$B$4,Assessments!B:B,"&lt;="&amp;$B$5,Assessments!C:C,IF($E$4="",$B24,$E$4),Assessments!D:D,IF($E$5="",$C24,$E$5)))</f>
        <v/>
      </c>
      <c r="E24">
        <f>IF($D24=0,"",ROUND(AVERAGEIFS(Assessments!J:J,Assessments!G:G,$A24,Assessments!B:B,"&gt;="&amp;$B$4,Assessments!B:B,"&lt;="&amp;$B$5,Assessments!C:C,IF($E$4="",$B24,$E$4),Assessments!D:D,IF($E$5="",$C24,$E$5)),0))</f>
        <v/>
      </c>
      <c r="F24">
        <f>IF($D24=0,"",MAXIFS(Assessments!J:J,Assessments!G:G,$A24,Assessments!B:B,"&gt;="&amp;$B$4,Assessments!B:B,"&lt;="&amp;$B$5,Assessments!C:C,IF($E$4="",$B24,$E$4),Assessments!D:D,IF($E$5="",$C24,$E$5)))</f>
        <v/>
      </c>
      <c r="G24">
        <f>IF($D24=0,"",MINIFS(Assessments!J:J,Assessments!G:G,$A24,Assessments!B:B,"&gt;="&amp;$B$4,Assessments!B:B,"&lt;="&amp;$B$5,Assessments!C:C,IF($E$4="",$B24,$E$4),Assessments!D:D,IF($E$5="",$C24,$E$5)))</f>
        <v/>
      </c>
      <c r="H24">
        <f>IF($E24="","",RANK($E24,$E$8:$E$507,0))</f>
        <v/>
      </c>
      <c r="I24">
        <f>IF($E24="","",IF($E24&gt;=85,"Excellent",IF($E24&gt;=70,"Good",IF($E24&gt;=50,"Fair","Needs Support"))))</f>
        <v/>
      </c>
    </row>
    <row r="25">
      <c r="A25">
        <f>IF(Students!A19="","",Students!A19)</f>
        <v/>
      </c>
      <c r="B25">
        <f>IF($A25="","",Students!B19)</f>
        <v/>
      </c>
      <c r="C25">
        <f>IF($A25="","",Students!C19)</f>
        <v/>
      </c>
      <c r="D25">
        <f>IF($A25="","",COUNTIFS(Assessments!G:G,$A25,Assessments!B:B,"&gt;="&amp;$B$4,Assessments!B:B,"&lt;="&amp;$B$5,Assessments!C:C,IF($E$4="",$B25,$E$4),Assessments!D:D,IF($E$5="",$C25,$E$5)))</f>
        <v/>
      </c>
      <c r="E25">
        <f>IF($D25=0,"",ROUND(AVERAGEIFS(Assessments!J:J,Assessments!G:G,$A25,Assessments!B:B,"&gt;="&amp;$B$4,Assessments!B:B,"&lt;="&amp;$B$5,Assessments!C:C,IF($E$4="",$B25,$E$4),Assessments!D:D,IF($E$5="",$C25,$E$5)),0))</f>
        <v/>
      </c>
      <c r="F25">
        <f>IF($D25=0,"",MAXIFS(Assessments!J:J,Assessments!G:G,$A25,Assessments!B:B,"&gt;="&amp;$B$4,Assessments!B:B,"&lt;="&amp;$B$5,Assessments!C:C,IF($E$4="",$B25,$E$4),Assessments!D:D,IF($E$5="",$C25,$E$5)))</f>
        <v/>
      </c>
      <c r="G25">
        <f>IF($D25=0,"",MINIFS(Assessments!J:J,Assessments!G:G,$A25,Assessments!B:B,"&gt;="&amp;$B$4,Assessments!B:B,"&lt;="&amp;$B$5,Assessments!C:C,IF($E$4="",$B25,$E$4),Assessments!D:D,IF($E$5="",$C25,$E$5)))</f>
        <v/>
      </c>
      <c r="H25">
        <f>IF($E25="","",RANK($E25,$E$8:$E$507,0))</f>
        <v/>
      </c>
      <c r="I25">
        <f>IF($E25="","",IF($E25&gt;=85,"Excellent",IF($E25&gt;=70,"Good",IF($E25&gt;=50,"Fair","Needs Support"))))</f>
        <v/>
      </c>
    </row>
    <row r="26">
      <c r="A26">
        <f>IF(Students!A20="","",Students!A20)</f>
        <v/>
      </c>
      <c r="B26">
        <f>IF($A26="","",Students!B20)</f>
        <v/>
      </c>
      <c r="C26">
        <f>IF($A26="","",Students!C20)</f>
        <v/>
      </c>
      <c r="D26">
        <f>IF($A26="","",COUNTIFS(Assessments!G:G,$A26,Assessments!B:B,"&gt;="&amp;$B$4,Assessments!B:B,"&lt;="&amp;$B$5,Assessments!C:C,IF($E$4="",$B26,$E$4),Assessments!D:D,IF($E$5="",$C26,$E$5)))</f>
        <v/>
      </c>
      <c r="E26">
        <f>IF($D26=0,"",ROUND(AVERAGEIFS(Assessments!J:J,Assessments!G:G,$A26,Assessments!B:B,"&gt;="&amp;$B$4,Assessments!B:B,"&lt;="&amp;$B$5,Assessments!C:C,IF($E$4="",$B26,$E$4),Assessments!D:D,IF($E$5="",$C26,$E$5)),0))</f>
        <v/>
      </c>
      <c r="F26">
        <f>IF($D26=0,"",MAXIFS(Assessments!J:J,Assessments!G:G,$A26,Assessments!B:B,"&gt;="&amp;$B$4,Assessments!B:B,"&lt;="&amp;$B$5,Assessments!C:C,IF($E$4="",$B26,$E$4),Assessments!D:D,IF($E$5="",$C26,$E$5)))</f>
        <v/>
      </c>
      <c r="G26">
        <f>IF($D26=0,"",MINIFS(Assessments!J:J,Assessments!G:G,$A26,Assessments!B:B,"&gt;="&amp;$B$4,Assessments!B:B,"&lt;="&amp;$B$5,Assessments!C:C,IF($E$4="",$B26,$E$4),Assessments!D:D,IF($E$5="",$C26,$E$5)))</f>
        <v/>
      </c>
      <c r="H26">
        <f>IF($E26="","",RANK($E26,$E$8:$E$507,0))</f>
        <v/>
      </c>
      <c r="I26">
        <f>IF($E26="","",IF($E26&gt;=85,"Excellent",IF($E26&gt;=70,"Good",IF($E26&gt;=50,"Fair","Needs Support"))))</f>
        <v/>
      </c>
    </row>
    <row r="27">
      <c r="A27">
        <f>IF(Students!A21="","",Students!A21)</f>
        <v/>
      </c>
      <c r="B27">
        <f>IF($A27="","",Students!B21)</f>
        <v/>
      </c>
      <c r="C27">
        <f>IF($A27="","",Students!C21)</f>
        <v/>
      </c>
      <c r="D27">
        <f>IF($A27="","",COUNTIFS(Assessments!G:G,$A27,Assessments!B:B,"&gt;="&amp;$B$4,Assessments!B:B,"&lt;="&amp;$B$5,Assessments!C:C,IF($E$4="",$B27,$E$4),Assessments!D:D,IF($E$5="",$C27,$E$5)))</f>
        <v/>
      </c>
      <c r="E27">
        <f>IF($D27=0,"",ROUND(AVERAGEIFS(Assessments!J:J,Assessments!G:G,$A27,Assessments!B:B,"&gt;="&amp;$B$4,Assessments!B:B,"&lt;="&amp;$B$5,Assessments!C:C,IF($E$4="",$B27,$E$4),Assessments!D:D,IF($E$5="",$C27,$E$5)),0))</f>
        <v/>
      </c>
      <c r="F27">
        <f>IF($D27=0,"",MAXIFS(Assessments!J:J,Assessments!G:G,$A27,Assessments!B:B,"&gt;="&amp;$B$4,Assessments!B:B,"&lt;="&amp;$B$5,Assessments!C:C,IF($E$4="",$B27,$E$4),Assessments!D:D,IF($E$5="",$C27,$E$5)))</f>
        <v/>
      </c>
      <c r="G27">
        <f>IF($D27=0,"",MINIFS(Assessments!J:J,Assessments!G:G,$A27,Assessments!B:B,"&gt;="&amp;$B$4,Assessments!B:B,"&lt;="&amp;$B$5,Assessments!C:C,IF($E$4="",$B27,$E$4),Assessments!D:D,IF($E$5="",$C27,$E$5)))</f>
        <v/>
      </c>
      <c r="H27">
        <f>IF($E27="","",RANK($E27,$E$8:$E$507,0))</f>
        <v/>
      </c>
      <c r="I27">
        <f>IF($E27="","",IF($E27&gt;=85,"Excellent",IF($E27&gt;=70,"Good",IF($E27&gt;=50,"Fair","Needs Support"))))</f>
        <v/>
      </c>
    </row>
    <row r="28">
      <c r="A28">
        <f>IF(Students!A22="","",Students!A22)</f>
        <v/>
      </c>
      <c r="B28">
        <f>IF($A28="","",Students!B22)</f>
        <v/>
      </c>
      <c r="C28">
        <f>IF($A28="","",Students!C22)</f>
        <v/>
      </c>
      <c r="D28">
        <f>IF($A28="","",COUNTIFS(Assessments!G:G,$A28,Assessments!B:B,"&gt;="&amp;$B$4,Assessments!B:B,"&lt;="&amp;$B$5,Assessments!C:C,IF($E$4="",$B28,$E$4),Assessments!D:D,IF($E$5="",$C28,$E$5)))</f>
        <v/>
      </c>
      <c r="E28">
        <f>IF($D28=0,"",ROUND(AVERAGEIFS(Assessments!J:J,Assessments!G:G,$A28,Assessments!B:B,"&gt;="&amp;$B$4,Assessments!B:B,"&lt;="&amp;$B$5,Assessments!C:C,IF($E$4="",$B28,$E$4),Assessments!D:D,IF($E$5="",$C28,$E$5)),0))</f>
        <v/>
      </c>
      <c r="F28">
        <f>IF($D28=0,"",MAXIFS(Assessments!J:J,Assessments!G:G,$A28,Assessments!B:B,"&gt;="&amp;$B$4,Assessments!B:B,"&lt;="&amp;$B$5,Assessments!C:C,IF($E$4="",$B28,$E$4),Assessments!D:D,IF($E$5="",$C28,$E$5)))</f>
        <v/>
      </c>
      <c r="G28">
        <f>IF($D28=0,"",MINIFS(Assessments!J:J,Assessments!G:G,$A28,Assessments!B:B,"&gt;="&amp;$B$4,Assessments!B:B,"&lt;="&amp;$B$5,Assessments!C:C,IF($E$4="",$B28,$E$4),Assessments!D:D,IF($E$5="",$C28,$E$5)))</f>
        <v/>
      </c>
      <c r="H28">
        <f>IF($E28="","",RANK($E28,$E$8:$E$507,0))</f>
        <v/>
      </c>
      <c r="I28">
        <f>IF($E28="","",IF($E28&gt;=85,"Excellent",IF($E28&gt;=70,"Good",IF($E28&gt;=50,"Fair","Needs Support"))))</f>
        <v/>
      </c>
    </row>
    <row r="29">
      <c r="A29">
        <f>IF(Students!A23="","",Students!A23)</f>
        <v/>
      </c>
      <c r="B29">
        <f>IF($A29="","",Students!B23)</f>
        <v/>
      </c>
      <c r="C29">
        <f>IF($A29="","",Students!C23)</f>
        <v/>
      </c>
      <c r="D29">
        <f>IF($A29="","",COUNTIFS(Assessments!G:G,$A29,Assessments!B:B,"&gt;="&amp;$B$4,Assessments!B:B,"&lt;="&amp;$B$5,Assessments!C:C,IF($E$4="",$B29,$E$4),Assessments!D:D,IF($E$5="",$C29,$E$5)))</f>
        <v/>
      </c>
      <c r="E29">
        <f>IF($D29=0,"",ROUND(AVERAGEIFS(Assessments!J:J,Assessments!G:G,$A29,Assessments!B:B,"&gt;="&amp;$B$4,Assessments!B:B,"&lt;="&amp;$B$5,Assessments!C:C,IF($E$4="",$B29,$E$4),Assessments!D:D,IF($E$5="",$C29,$E$5)),0))</f>
        <v/>
      </c>
      <c r="F29">
        <f>IF($D29=0,"",MAXIFS(Assessments!J:J,Assessments!G:G,$A29,Assessments!B:B,"&gt;="&amp;$B$4,Assessments!B:B,"&lt;="&amp;$B$5,Assessments!C:C,IF($E$4="",$B29,$E$4),Assessments!D:D,IF($E$5="",$C29,$E$5)))</f>
        <v/>
      </c>
      <c r="G29">
        <f>IF($D29=0,"",MINIFS(Assessments!J:J,Assessments!G:G,$A29,Assessments!B:B,"&gt;="&amp;$B$4,Assessments!B:B,"&lt;="&amp;$B$5,Assessments!C:C,IF($E$4="",$B29,$E$4),Assessments!D:D,IF($E$5="",$C29,$E$5)))</f>
        <v/>
      </c>
      <c r="H29">
        <f>IF($E29="","",RANK($E29,$E$8:$E$507,0))</f>
        <v/>
      </c>
      <c r="I29">
        <f>IF($E29="","",IF($E29&gt;=85,"Excellent",IF($E29&gt;=70,"Good",IF($E29&gt;=50,"Fair","Needs Support"))))</f>
        <v/>
      </c>
    </row>
    <row r="30">
      <c r="A30">
        <f>IF(Students!A24="","",Students!A24)</f>
        <v/>
      </c>
      <c r="B30">
        <f>IF($A30="","",Students!B24)</f>
        <v/>
      </c>
      <c r="C30">
        <f>IF($A30="","",Students!C24)</f>
        <v/>
      </c>
      <c r="D30">
        <f>IF($A30="","",COUNTIFS(Assessments!G:G,$A30,Assessments!B:B,"&gt;="&amp;$B$4,Assessments!B:B,"&lt;="&amp;$B$5,Assessments!C:C,IF($E$4="",$B30,$E$4),Assessments!D:D,IF($E$5="",$C30,$E$5)))</f>
        <v/>
      </c>
      <c r="E30">
        <f>IF($D30=0,"",ROUND(AVERAGEIFS(Assessments!J:J,Assessments!G:G,$A30,Assessments!B:B,"&gt;="&amp;$B$4,Assessments!B:B,"&lt;="&amp;$B$5,Assessments!C:C,IF($E$4="",$B30,$E$4),Assessments!D:D,IF($E$5="",$C30,$E$5)),0))</f>
        <v/>
      </c>
      <c r="F30">
        <f>IF($D30=0,"",MAXIFS(Assessments!J:J,Assessments!G:G,$A30,Assessments!B:B,"&gt;="&amp;$B$4,Assessments!B:B,"&lt;="&amp;$B$5,Assessments!C:C,IF($E$4="",$B30,$E$4),Assessments!D:D,IF($E$5="",$C30,$E$5)))</f>
        <v/>
      </c>
      <c r="G30">
        <f>IF($D30=0,"",MINIFS(Assessments!J:J,Assessments!G:G,$A30,Assessments!B:B,"&gt;="&amp;$B$4,Assessments!B:B,"&lt;="&amp;$B$5,Assessments!C:C,IF($E$4="",$B30,$E$4),Assessments!D:D,IF($E$5="",$C30,$E$5)))</f>
        <v/>
      </c>
      <c r="H30">
        <f>IF($E30="","",RANK($E30,$E$8:$E$507,0))</f>
        <v/>
      </c>
      <c r="I30">
        <f>IF($E30="","",IF($E30&gt;=85,"Excellent",IF($E30&gt;=70,"Good",IF($E30&gt;=50,"Fair","Needs Support"))))</f>
        <v/>
      </c>
    </row>
    <row r="31">
      <c r="A31">
        <f>IF(Students!A25="","",Students!A25)</f>
        <v/>
      </c>
      <c r="B31">
        <f>IF($A31="","",Students!B25)</f>
        <v/>
      </c>
      <c r="C31">
        <f>IF($A31="","",Students!C25)</f>
        <v/>
      </c>
      <c r="D31">
        <f>IF($A31="","",COUNTIFS(Assessments!G:G,$A31,Assessments!B:B,"&gt;="&amp;$B$4,Assessments!B:B,"&lt;="&amp;$B$5,Assessments!C:C,IF($E$4="",$B31,$E$4),Assessments!D:D,IF($E$5="",$C31,$E$5)))</f>
        <v/>
      </c>
      <c r="E31">
        <f>IF($D31=0,"",ROUND(AVERAGEIFS(Assessments!J:J,Assessments!G:G,$A31,Assessments!B:B,"&gt;="&amp;$B$4,Assessments!B:B,"&lt;="&amp;$B$5,Assessments!C:C,IF($E$4="",$B31,$E$4),Assessments!D:D,IF($E$5="",$C31,$E$5)),0))</f>
        <v/>
      </c>
      <c r="F31">
        <f>IF($D31=0,"",MAXIFS(Assessments!J:J,Assessments!G:G,$A31,Assessments!B:B,"&gt;="&amp;$B$4,Assessments!B:B,"&lt;="&amp;$B$5,Assessments!C:C,IF($E$4="",$B31,$E$4),Assessments!D:D,IF($E$5="",$C31,$E$5)))</f>
        <v/>
      </c>
      <c r="G31">
        <f>IF($D31=0,"",MINIFS(Assessments!J:J,Assessments!G:G,$A31,Assessments!B:B,"&gt;="&amp;$B$4,Assessments!B:B,"&lt;="&amp;$B$5,Assessments!C:C,IF($E$4="",$B31,$E$4),Assessments!D:D,IF($E$5="",$C31,$E$5)))</f>
        <v/>
      </c>
      <c r="H31">
        <f>IF($E31="","",RANK($E31,$E$8:$E$507,0))</f>
        <v/>
      </c>
      <c r="I31">
        <f>IF($E31="","",IF($E31&gt;=85,"Excellent",IF($E31&gt;=70,"Good",IF($E31&gt;=50,"Fair","Needs Support"))))</f>
        <v/>
      </c>
    </row>
    <row r="32">
      <c r="A32">
        <f>IF(Students!A26="","",Students!A26)</f>
        <v/>
      </c>
      <c r="B32">
        <f>IF($A32="","",Students!B26)</f>
        <v/>
      </c>
      <c r="C32">
        <f>IF($A32="","",Students!C26)</f>
        <v/>
      </c>
      <c r="D32">
        <f>IF($A32="","",COUNTIFS(Assessments!G:G,$A32,Assessments!B:B,"&gt;="&amp;$B$4,Assessments!B:B,"&lt;="&amp;$B$5,Assessments!C:C,IF($E$4="",$B32,$E$4),Assessments!D:D,IF($E$5="",$C32,$E$5)))</f>
        <v/>
      </c>
      <c r="E32">
        <f>IF($D32=0,"",ROUND(AVERAGEIFS(Assessments!J:J,Assessments!G:G,$A32,Assessments!B:B,"&gt;="&amp;$B$4,Assessments!B:B,"&lt;="&amp;$B$5,Assessments!C:C,IF($E$4="",$B32,$E$4),Assessments!D:D,IF($E$5="",$C32,$E$5)),0))</f>
        <v/>
      </c>
      <c r="F32">
        <f>IF($D32=0,"",MAXIFS(Assessments!J:J,Assessments!G:G,$A32,Assessments!B:B,"&gt;="&amp;$B$4,Assessments!B:B,"&lt;="&amp;$B$5,Assessments!C:C,IF($E$4="",$B32,$E$4),Assessments!D:D,IF($E$5="",$C32,$E$5)))</f>
        <v/>
      </c>
      <c r="G32">
        <f>IF($D32=0,"",MINIFS(Assessments!J:J,Assessments!G:G,$A32,Assessments!B:B,"&gt;="&amp;$B$4,Assessments!B:B,"&lt;="&amp;$B$5,Assessments!C:C,IF($E$4="",$B32,$E$4),Assessments!D:D,IF($E$5="",$C32,$E$5)))</f>
        <v/>
      </c>
      <c r="H32">
        <f>IF($E32="","",RANK($E32,$E$8:$E$507,0))</f>
        <v/>
      </c>
      <c r="I32">
        <f>IF($E32="","",IF($E32&gt;=85,"Excellent",IF($E32&gt;=70,"Good",IF($E32&gt;=50,"Fair","Needs Support"))))</f>
        <v/>
      </c>
    </row>
    <row r="33">
      <c r="A33">
        <f>IF(Students!A27="","",Students!A27)</f>
        <v/>
      </c>
      <c r="B33">
        <f>IF($A33="","",Students!B27)</f>
        <v/>
      </c>
      <c r="C33">
        <f>IF($A33="","",Students!C27)</f>
        <v/>
      </c>
      <c r="D33">
        <f>IF($A33="","",COUNTIFS(Assessments!G:G,$A33,Assessments!B:B,"&gt;="&amp;$B$4,Assessments!B:B,"&lt;="&amp;$B$5,Assessments!C:C,IF($E$4="",$B33,$E$4),Assessments!D:D,IF($E$5="",$C33,$E$5)))</f>
        <v/>
      </c>
      <c r="E33">
        <f>IF($D33=0,"",ROUND(AVERAGEIFS(Assessments!J:J,Assessments!G:G,$A33,Assessments!B:B,"&gt;="&amp;$B$4,Assessments!B:B,"&lt;="&amp;$B$5,Assessments!C:C,IF($E$4="",$B33,$E$4),Assessments!D:D,IF($E$5="",$C33,$E$5)),0))</f>
        <v/>
      </c>
      <c r="F33">
        <f>IF($D33=0,"",MAXIFS(Assessments!J:J,Assessments!G:G,$A33,Assessments!B:B,"&gt;="&amp;$B$4,Assessments!B:B,"&lt;="&amp;$B$5,Assessments!C:C,IF($E$4="",$B33,$E$4),Assessments!D:D,IF($E$5="",$C33,$E$5)))</f>
        <v/>
      </c>
      <c r="G33">
        <f>IF($D33=0,"",MINIFS(Assessments!J:J,Assessments!G:G,$A33,Assessments!B:B,"&gt;="&amp;$B$4,Assessments!B:B,"&lt;="&amp;$B$5,Assessments!C:C,IF($E$4="",$B33,$E$4),Assessments!D:D,IF($E$5="",$C33,$E$5)))</f>
        <v/>
      </c>
      <c r="H33">
        <f>IF($E33="","",RANK($E33,$E$8:$E$507,0))</f>
        <v/>
      </c>
      <c r="I33">
        <f>IF($E33="","",IF($E33&gt;=85,"Excellent",IF($E33&gt;=70,"Good",IF($E33&gt;=50,"Fair","Needs Support"))))</f>
        <v/>
      </c>
    </row>
    <row r="34">
      <c r="A34">
        <f>IF(Students!A28="","",Students!A28)</f>
        <v/>
      </c>
      <c r="B34">
        <f>IF($A34="","",Students!B28)</f>
        <v/>
      </c>
      <c r="C34">
        <f>IF($A34="","",Students!C28)</f>
        <v/>
      </c>
      <c r="D34">
        <f>IF($A34="","",COUNTIFS(Assessments!G:G,$A34,Assessments!B:B,"&gt;="&amp;$B$4,Assessments!B:B,"&lt;="&amp;$B$5,Assessments!C:C,IF($E$4="",$B34,$E$4),Assessments!D:D,IF($E$5="",$C34,$E$5)))</f>
        <v/>
      </c>
      <c r="E34">
        <f>IF($D34=0,"",ROUND(AVERAGEIFS(Assessments!J:J,Assessments!G:G,$A34,Assessments!B:B,"&gt;="&amp;$B$4,Assessments!B:B,"&lt;="&amp;$B$5,Assessments!C:C,IF($E$4="",$B34,$E$4),Assessments!D:D,IF($E$5="",$C34,$E$5)),0))</f>
        <v/>
      </c>
      <c r="F34">
        <f>IF($D34=0,"",MAXIFS(Assessments!J:J,Assessments!G:G,$A34,Assessments!B:B,"&gt;="&amp;$B$4,Assessments!B:B,"&lt;="&amp;$B$5,Assessments!C:C,IF($E$4="",$B34,$E$4),Assessments!D:D,IF($E$5="",$C34,$E$5)))</f>
        <v/>
      </c>
      <c r="G34">
        <f>IF($D34=0,"",MINIFS(Assessments!J:J,Assessments!G:G,$A34,Assessments!B:B,"&gt;="&amp;$B$4,Assessments!B:B,"&lt;="&amp;$B$5,Assessments!C:C,IF($E$4="",$B34,$E$4),Assessments!D:D,IF($E$5="",$C34,$E$5)))</f>
        <v/>
      </c>
      <c r="H34">
        <f>IF($E34="","",RANK($E34,$E$8:$E$507,0))</f>
        <v/>
      </c>
      <c r="I34">
        <f>IF($E34="","",IF($E34&gt;=85,"Excellent",IF($E34&gt;=70,"Good",IF($E34&gt;=50,"Fair","Needs Support"))))</f>
        <v/>
      </c>
    </row>
    <row r="35">
      <c r="A35">
        <f>IF(Students!A29="","",Students!A29)</f>
        <v/>
      </c>
      <c r="B35">
        <f>IF($A35="","",Students!B29)</f>
        <v/>
      </c>
      <c r="C35">
        <f>IF($A35="","",Students!C29)</f>
        <v/>
      </c>
      <c r="D35">
        <f>IF($A35="","",COUNTIFS(Assessments!G:G,$A35,Assessments!B:B,"&gt;="&amp;$B$4,Assessments!B:B,"&lt;="&amp;$B$5,Assessments!C:C,IF($E$4="",$B35,$E$4),Assessments!D:D,IF($E$5="",$C35,$E$5)))</f>
        <v/>
      </c>
      <c r="E35">
        <f>IF($D35=0,"",ROUND(AVERAGEIFS(Assessments!J:J,Assessments!G:G,$A35,Assessments!B:B,"&gt;="&amp;$B$4,Assessments!B:B,"&lt;="&amp;$B$5,Assessments!C:C,IF($E$4="",$B35,$E$4),Assessments!D:D,IF($E$5="",$C35,$E$5)),0))</f>
        <v/>
      </c>
      <c r="F35">
        <f>IF($D35=0,"",MAXIFS(Assessments!J:J,Assessments!G:G,$A35,Assessments!B:B,"&gt;="&amp;$B$4,Assessments!B:B,"&lt;="&amp;$B$5,Assessments!C:C,IF($E$4="",$B35,$E$4),Assessments!D:D,IF($E$5="",$C35,$E$5)))</f>
        <v/>
      </c>
      <c r="G35">
        <f>IF($D35=0,"",MINIFS(Assessments!J:J,Assessments!G:G,$A35,Assessments!B:B,"&gt;="&amp;$B$4,Assessments!B:B,"&lt;="&amp;$B$5,Assessments!C:C,IF($E$4="",$B35,$E$4),Assessments!D:D,IF($E$5="",$C35,$E$5)))</f>
        <v/>
      </c>
      <c r="H35">
        <f>IF($E35="","",RANK($E35,$E$8:$E$507,0))</f>
        <v/>
      </c>
      <c r="I35">
        <f>IF($E35="","",IF($E35&gt;=85,"Excellent",IF($E35&gt;=70,"Good",IF($E35&gt;=50,"Fair","Needs Support"))))</f>
        <v/>
      </c>
    </row>
    <row r="36">
      <c r="A36">
        <f>IF(Students!A30="","",Students!A30)</f>
        <v/>
      </c>
      <c r="B36">
        <f>IF($A36="","",Students!B30)</f>
        <v/>
      </c>
      <c r="C36">
        <f>IF($A36="","",Students!C30)</f>
        <v/>
      </c>
      <c r="D36">
        <f>IF($A36="","",COUNTIFS(Assessments!G:G,$A36,Assessments!B:B,"&gt;="&amp;$B$4,Assessments!B:B,"&lt;="&amp;$B$5,Assessments!C:C,IF($E$4="",$B36,$E$4),Assessments!D:D,IF($E$5="",$C36,$E$5)))</f>
        <v/>
      </c>
      <c r="E36">
        <f>IF($D36=0,"",ROUND(AVERAGEIFS(Assessments!J:J,Assessments!G:G,$A36,Assessments!B:B,"&gt;="&amp;$B$4,Assessments!B:B,"&lt;="&amp;$B$5,Assessments!C:C,IF($E$4="",$B36,$E$4),Assessments!D:D,IF($E$5="",$C36,$E$5)),0))</f>
        <v/>
      </c>
      <c r="F36">
        <f>IF($D36=0,"",MAXIFS(Assessments!J:J,Assessments!G:G,$A36,Assessments!B:B,"&gt;="&amp;$B$4,Assessments!B:B,"&lt;="&amp;$B$5,Assessments!C:C,IF($E$4="",$B36,$E$4),Assessments!D:D,IF($E$5="",$C36,$E$5)))</f>
        <v/>
      </c>
      <c r="G36">
        <f>IF($D36=0,"",MINIFS(Assessments!J:J,Assessments!G:G,$A36,Assessments!B:B,"&gt;="&amp;$B$4,Assessments!B:B,"&lt;="&amp;$B$5,Assessments!C:C,IF($E$4="",$B36,$E$4),Assessments!D:D,IF($E$5="",$C36,$E$5)))</f>
        <v/>
      </c>
      <c r="H36">
        <f>IF($E36="","",RANK($E36,$E$8:$E$507,0))</f>
        <v/>
      </c>
      <c r="I36">
        <f>IF($E36="","",IF($E36&gt;=85,"Excellent",IF($E36&gt;=70,"Good",IF($E36&gt;=50,"Fair","Needs Support"))))</f>
        <v/>
      </c>
    </row>
    <row r="37">
      <c r="A37">
        <f>IF(Students!A31="","",Students!A31)</f>
        <v/>
      </c>
      <c r="B37">
        <f>IF($A37="","",Students!B31)</f>
        <v/>
      </c>
      <c r="C37">
        <f>IF($A37="","",Students!C31)</f>
        <v/>
      </c>
      <c r="D37">
        <f>IF($A37="","",COUNTIFS(Assessments!G:G,$A37,Assessments!B:B,"&gt;="&amp;$B$4,Assessments!B:B,"&lt;="&amp;$B$5,Assessments!C:C,IF($E$4="",$B37,$E$4),Assessments!D:D,IF($E$5="",$C37,$E$5)))</f>
        <v/>
      </c>
      <c r="E37">
        <f>IF($D37=0,"",ROUND(AVERAGEIFS(Assessments!J:J,Assessments!G:G,$A37,Assessments!B:B,"&gt;="&amp;$B$4,Assessments!B:B,"&lt;="&amp;$B$5,Assessments!C:C,IF($E$4="",$B37,$E$4),Assessments!D:D,IF($E$5="",$C37,$E$5)),0))</f>
        <v/>
      </c>
      <c r="F37">
        <f>IF($D37=0,"",MAXIFS(Assessments!J:J,Assessments!G:G,$A37,Assessments!B:B,"&gt;="&amp;$B$4,Assessments!B:B,"&lt;="&amp;$B$5,Assessments!C:C,IF($E$4="",$B37,$E$4),Assessments!D:D,IF($E$5="",$C37,$E$5)))</f>
        <v/>
      </c>
      <c r="G37">
        <f>IF($D37=0,"",MINIFS(Assessments!J:J,Assessments!G:G,$A37,Assessments!B:B,"&gt;="&amp;$B$4,Assessments!B:B,"&lt;="&amp;$B$5,Assessments!C:C,IF($E$4="",$B37,$E$4),Assessments!D:D,IF($E$5="",$C37,$E$5)))</f>
        <v/>
      </c>
      <c r="H37">
        <f>IF($E37="","",RANK($E37,$E$8:$E$507,0))</f>
        <v/>
      </c>
      <c r="I37">
        <f>IF($E37="","",IF($E37&gt;=85,"Excellent",IF($E37&gt;=70,"Good",IF($E37&gt;=50,"Fair","Needs Support"))))</f>
        <v/>
      </c>
    </row>
    <row r="38">
      <c r="A38">
        <f>IF(Students!A32="","",Students!A32)</f>
        <v/>
      </c>
      <c r="B38">
        <f>IF($A38="","",Students!B32)</f>
        <v/>
      </c>
      <c r="C38">
        <f>IF($A38="","",Students!C32)</f>
        <v/>
      </c>
      <c r="D38">
        <f>IF($A38="","",COUNTIFS(Assessments!G:G,$A38,Assessments!B:B,"&gt;="&amp;$B$4,Assessments!B:B,"&lt;="&amp;$B$5,Assessments!C:C,IF($E$4="",$B38,$E$4),Assessments!D:D,IF($E$5="",$C38,$E$5)))</f>
        <v/>
      </c>
      <c r="E38">
        <f>IF($D38=0,"",ROUND(AVERAGEIFS(Assessments!J:J,Assessments!G:G,$A38,Assessments!B:B,"&gt;="&amp;$B$4,Assessments!B:B,"&lt;="&amp;$B$5,Assessments!C:C,IF($E$4="",$B38,$E$4),Assessments!D:D,IF($E$5="",$C38,$E$5)),0))</f>
        <v/>
      </c>
      <c r="F38">
        <f>IF($D38=0,"",MAXIFS(Assessments!J:J,Assessments!G:G,$A38,Assessments!B:B,"&gt;="&amp;$B$4,Assessments!B:B,"&lt;="&amp;$B$5,Assessments!C:C,IF($E$4="",$B38,$E$4),Assessments!D:D,IF($E$5="",$C38,$E$5)))</f>
        <v/>
      </c>
      <c r="G38">
        <f>IF($D38=0,"",MINIFS(Assessments!J:J,Assessments!G:G,$A38,Assessments!B:B,"&gt;="&amp;$B$4,Assessments!B:B,"&lt;="&amp;$B$5,Assessments!C:C,IF($E$4="",$B38,$E$4),Assessments!D:D,IF($E$5="",$C38,$E$5)))</f>
        <v/>
      </c>
      <c r="H38">
        <f>IF($E38="","",RANK($E38,$E$8:$E$507,0))</f>
        <v/>
      </c>
      <c r="I38">
        <f>IF($E38="","",IF($E38&gt;=85,"Excellent",IF($E38&gt;=70,"Good",IF($E38&gt;=50,"Fair","Needs Support"))))</f>
        <v/>
      </c>
    </row>
    <row r="39">
      <c r="A39">
        <f>IF(Students!A33="","",Students!A33)</f>
        <v/>
      </c>
      <c r="B39">
        <f>IF($A39="","",Students!B33)</f>
        <v/>
      </c>
      <c r="C39">
        <f>IF($A39="","",Students!C33)</f>
        <v/>
      </c>
      <c r="D39">
        <f>IF($A39="","",COUNTIFS(Assessments!G:G,$A39,Assessments!B:B,"&gt;="&amp;$B$4,Assessments!B:B,"&lt;="&amp;$B$5,Assessments!C:C,IF($E$4="",$B39,$E$4),Assessments!D:D,IF($E$5="",$C39,$E$5)))</f>
        <v/>
      </c>
      <c r="E39">
        <f>IF($D39=0,"",ROUND(AVERAGEIFS(Assessments!J:J,Assessments!G:G,$A39,Assessments!B:B,"&gt;="&amp;$B$4,Assessments!B:B,"&lt;="&amp;$B$5,Assessments!C:C,IF($E$4="",$B39,$E$4),Assessments!D:D,IF($E$5="",$C39,$E$5)),0))</f>
        <v/>
      </c>
      <c r="F39">
        <f>IF($D39=0,"",MAXIFS(Assessments!J:J,Assessments!G:G,$A39,Assessments!B:B,"&gt;="&amp;$B$4,Assessments!B:B,"&lt;="&amp;$B$5,Assessments!C:C,IF($E$4="",$B39,$E$4),Assessments!D:D,IF($E$5="",$C39,$E$5)))</f>
        <v/>
      </c>
      <c r="G39">
        <f>IF($D39=0,"",MINIFS(Assessments!J:J,Assessments!G:G,$A39,Assessments!B:B,"&gt;="&amp;$B$4,Assessments!B:B,"&lt;="&amp;$B$5,Assessments!C:C,IF($E$4="",$B39,$E$4),Assessments!D:D,IF($E$5="",$C39,$E$5)))</f>
        <v/>
      </c>
      <c r="H39">
        <f>IF($E39="","",RANK($E39,$E$8:$E$507,0))</f>
        <v/>
      </c>
      <c r="I39">
        <f>IF($E39="","",IF($E39&gt;=85,"Excellent",IF($E39&gt;=70,"Good",IF($E39&gt;=50,"Fair","Needs Support"))))</f>
        <v/>
      </c>
    </row>
    <row r="40">
      <c r="A40">
        <f>IF(Students!A34="","",Students!A34)</f>
        <v/>
      </c>
      <c r="B40">
        <f>IF($A40="","",Students!B34)</f>
        <v/>
      </c>
      <c r="C40">
        <f>IF($A40="","",Students!C34)</f>
        <v/>
      </c>
      <c r="D40">
        <f>IF($A40="","",COUNTIFS(Assessments!G:G,$A40,Assessments!B:B,"&gt;="&amp;$B$4,Assessments!B:B,"&lt;="&amp;$B$5,Assessments!C:C,IF($E$4="",$B40,$E$4),Assessments!D:D,IF($E$5="",$C40,$E$5)))</f>
        <v/>
      </c>
      <c r="E40">
        <f>IF($D40=0,"",ROUND(AVERAGEIFS(Assessments!J:J,Assessments!G:G,$A40,Assessments!B:B,"&gt;="&amp;$B$4,Assessments!B:B,"&lt;="&amp;$B$5,Assessments!C:C,IF($E$4="",$B40,$E$4),Assessments!D:D,IF($E$5="",$C40,$E$5)),0))</f>
        <v/>
      </c>
      <c r="F40">
        <f>IF($D40=0,"",MAXIFS(Assessments!J:J,Assessments!G:G,$A40,Assessments!B:B,"&gt;="&amp;$B$4,Assessments!B:B,"&lt;="&amp;$B$5,Assessments!C:C,IF($E$4="",$B40,$E$4),Assessments!D:D,IF($E$5="",$C40,$E$5)))</f>
        <v/>
      </c>
      <c r="G40">
        <f>IF($D40=0,"",MINIFS(Assessments!J:J,Assessments!G:G,$A40,Assessments!B:B,"&gt;="&amp;$B$4,Assessments!B:B,"&lt;="&amp;$B$5,Assessments!C:C,IF($E$4="",$B40,$E$4),Assessments!D:D,IF($E$5="",$C40,$E$5)))</f>
        <v/>
      </c>
      <c r="H40">
        <f>IF($E40="","",RANK($E40,$E$8:$E$507,0))</f>
        <v/>
      </c>
      <c r="I40">
        <f>IF($E40="","",IF($E40&gt;=85,"Excellent",IF($E40&gt;=70,"Good",IF($E40&gt;=50,"Fair","Needs Support"))))</f>
        <v/>
      </c>
    </row>
    <row r="41">
      <c r="A41">
        <f>IF(Students!A35="","",Students!A35)</f>
        <v/>
      </c>
      <c r="B41">
        <f>IF($A41="","",Students!B35)</f>
        <v/>
      </c>
      <c r="C41">
        <f>IF($A41="","",Students!C35)</f>
        <v/>
      </c>
      <c r="D41">
        <f>IF($A41="","",COUNTIFS(Assessments!G:G,$A41,Assessments!B:B,"&gt;="&amp;$B$4,Assessments!B:B,"&lt;="&amp;$B$5,Assessments!C:C,IF($E$4="",$B41,$E$4),Assessments!D:D,IF($E$5="",$C41,$E$5)))</f>
        <v/>
      </c>
      <c r="E41">
        <f>IF($D41=0,"",ROUND(AVERAGEIFS(Assessments!J:J,Assessments!G:G,$A41,Assessments!B:B,"&gt;="&amp;$B$4,Assessments!B:B,"&lt;="&amp;$B$5,Assessments!C:C,IF($E$4="",$B41,$E$4),Assessments!D:D,IF($E$5="",$C41,$E$5)),0))</f>
        <v/>
      </c>
      <c r="F41">
        <f>IF($D41=0,"",MAXIFS(Assessments!J:J,Assessments!G:G,$A41,Assessments!B:B,"&gt;="&amp;$B$4,Assessments!B:B,"&lt;="&amp;$B$5,Assessments!C:C,IF($E$4="",$B41,$E$4),Assessments!D:D,IF($E$5="",$C41,$E$5)))</f>
        <v/>
      </c>
      <c r="G41">
        <f>IF($D41=0,"",MINIFS(Assessments!J:J,Assessments!G:G,$A41,Assessments!B:B,"&gt;="&amp;$B$4,Assessments!B:B,"&lt;="&amp;$B$5,Assessments!C:C,IF($E$4="",$B41,$E$4),Assessments!D:D,IF($E$5="",$C41,$E$5)))</f>
        <v/>
      </c>
      <c r="H41">
        <f>IF($E41="","",RANK($E41,$E$8:$E$507,0))</f>
        <v/>
      </c>
      <c r="I41">
        <f>IF($E41="","",IF($E41&gt;=85,"Excellent",IF($E41&gt;=70,"Good",IF($E41&gt;=50,"Fair","Needs Support"))))</f>
        <v/>
      </c>
    </row>
    <row r="42">
      <c r="A42">
        <f>IF(Students!A36="","",Students!A36)</f>
        <v/>
      </c>
      <c r="B42">
        <f>IF($A42="","",Students!B36)</f>
        <v/>
      </c>
      <c r="C42">
        <f>IF($A42="","",Students!C36)</f>
        <v/>
      </c>
      <c r="D42">
        <f>IF($A42="","",COUNTIFS(Assessments!G:G,$A42,Assessments!B:B,"&gt;="&amp;$B$4,Assessments!B:B,"&lt;="&amp;$B$5,Assessments!C:C,IF($E$4="",$B42,$E$4),Assessments!D:D,IF($E$5="",$C42,$E$5)))</f>
        <v/>
      </c>
      <c r="E42">
        <f>IF($D42=0,"",ROUND(AVERAGEIFS(Assessments!J:J,Assessments!G:G,$A42,Assessments!B:B,"&gt;="&amp;$B$4,Assessments!B:B,"&lt;="&amp;$B$5,Assessments!C:C,IF($E$4="",$B42,$E$4),Assessments!D:D,IF($E$5="",$C42,$E$5)),0))</f>
        <v/>
      </c>
      <c r="F42">
        <f>IF($D42=0,"",MAXIFS(Assessments!J:J,Assessments!G:G,$A42,Assessments!B:B,"&gt;="&amp;$B$4,Assessments!B:B,"&lt;="&amp;$B$5,Assessments!C:C,IF($E$4="",$B42,$E$4),Assessments!D:D,IF($E$5="",$C42,$E$5)))</f>
        <v/>
      </c>
      <c r="G42">
        <f>IF($D42=0,"",MINIFS(Assessments!J:J,Assessments!G:G,$A42,Assessments!B:B,"&gt;="&amp;$B$4,Assessments!B:B,"&lt;="&amp;$B$5,Assessments!C:C,IF($E$4="",$B42,$E$4),Assessments!D:D,IF($E$5="",$C42,$E$5)))</f>
        <v/>
      </c>
      <c r="H42">
        <f>IF($E42="","",RANK($E42,$E$8:$E$507,0))</f>
        <v/>
      </c>
      <c r="I42">
        <f>IF($E42="","",IF($E42&gt;=85,"Excellent",IF($E42&gt;=70,"Good",IF($E42&gt;=50,"Fair","Needs Support"))))</f>
        <v/>
      </c>
    </row>
    <row r="43">
      <c r="A43">
        <f>IF(Students!A37="","",Students!A37)</f>
        <v/>
      </c>
      <c r="B43">
        <f>IF($A43="","",Students!B37)</f>
        <v/>
      </c>
      <c r="C43">
        <f>IF($A43="","",Students!C37)</f>
        <v/>
      </c>
      <c r="D43">
        <f>IF($A43="","",COUNTIFS(Assessments!G:G,$A43,Assessments!B:B,"&gt;="&amp;$B$4,Assessments!B:B,"&lt;="&amp;$B$5,Assessments!C:C,IF($E$4="",$B43,$E$4),Assessments!D:D,IF($E$5="",$C43,$E$5)))</f>
        <v/>
      </c>
      <c r="E43">
        <f>IF($D43=0,"",ROUND(AVERAGEIFS(Assessments!J:J,Assessments!G:G,$A43,Assessments!B:B,"&gt;="&amp;$B$4,Assessments!B:B,"&lt;="&amp;$B$5,Assessments!C:C,IF($E$4="",$B43,$E$4),Assessments!D:D,IF($E$5="",$C43,$E$5)),0))</f>
        <v/>
      </c>
      <c r="F43">
        <f>IF($D43=0,"",MAXIFS(Assessments!J:J,Assessments!G:G,$A43,Assessments!B:B,"&gt;="&amp;$B$4,Assessments!B:B,"&lt;="&amp;$B$5,Assessments!C:C,IF($E$4="",$B43,$E$4),Assessments!D:D,IF($E$5="",$C43,$E$5)))</f>
        <v/>
      </c>
      <c r="G43">
        <f>IF($D43=0,"",MINIFS(Assessments!J:J,Assessments!G:G,$A43,Assessments!B:B,"&gt;="&amp;$B$4,Assessments!B:B,"&lt;="&amp;$B$5,Assessments!C:C,IF($E$4="",$B43,$E$4),Assessments!D:D,IF($E$5="",$C43,$E$5)))</f>
        <v/>
      </c>
      <c r="H43">
        <f>IF($E43="","",RANK($E43,$E$8:$E$507,0))</f>
        <v/>
      </c>
      <c r="I43">
        <f>IF($E43="","",IF($E43&gt;=85,"Excellent",IF($E43&gt;=70,"Good",IF($E43&gt;=50,"Fair","Needs Support"))))</f>
        <v/>
      </c>
    </row>
    <row r="44">
      <c r="A44">
        <f>IF(Students!A38="","",Students!A38)</f>
        <v/>
      </c>
      <c r="B44">
        <f>IF($A44="","",Students!B38)</f>
        <v/>
      </c>
      <c r="C44">
        <f>IF($A44="","",Students!C38)</f>
        <v/>
      </c>
      <c r="D44">
        <f>IF($A44="","",COUNTIFS(Assessments!G:G,$A44,Assessments!B:B,"&gt;="&amp;$B$4,Assessments!B:B,"&lt;="&amp;$B$5,Assessments!C:C,IF($E$4="",$B44,$E$4),Assessments!D:D,IF($E$5="",$C44,$E$5)))</f>
        <v/>
      </c>
      <c r="E44">
        <f>IF($D44=0,"",ROUND(AVERAGEIFS(Assessments!J:J,Assessments!G:G,$A44,Assessments!B:B,"&gt;="&amp;$B$4,Assessments!B:B,"&lt;="&amp;$B$5,Assessments!C:C,IF($E$4="",$B44,$E$4),Assessments!D:D,IF($E$5="",$C44,$E$5)),0))</f>
        <v/>
      </c>
      <c r="F44">
        <f>IF($D44=0,"",MAXIFS(Assessments!J:J,Assessments!G:G,$A44,Assessments!B:B,"&gt;="&amp;$B$4,Assessments!B:B,"&lt;="&amp;$B$5,Assessments!C:C,IF($E$4="",$B44,$E$4),Assessments!D:D,IF($E$5="",$C44,$E$5)))</f>
        <v/>
      </c>
      <c r="G44">
        <f>IF($D44=0,"",MINIFS(Assessments!J:J,Assessments!G:G,$A44,Assessments!B:B,"&gt;="&amp;$B$4,Assessments!B:B,"&lt;="&amp;$B$5,Assessments!C:C,IF($E$4="",$B44,$E$4),Assessments!D:D,IF($E$5="",$C44,$E$5)))</f>
        <v/>
      </c>
      <c r="H44">
        <f>IF($E44="","",RANK($E44,$E$8:$E$507,0))</f>
        <v/>
      </c>
      <c r="I44">
        <f>IF($E44="","",IF($E44&gt;=85,"Excellent",IF($E44&gt;=70,"Good",IF($E44&gt;=50,"Fair","Needs Support"))))</f>
        <v/>
      </c>
    </row>
    <row r="45">
      <c r="A45">
        <f>IF(Students!A39="","",Students!A39)</f>
        <v/>
      </c>
      <c r="B45">
        <f>IF($A45="","",Students!B39)</f>
        <v/>
      </c>
      <c r="C45">
        <f>IF($A45="","",Students!C39)</f>
        <v/>
      </c>
      <c r="D45">
        <f>IF($A45="","",COUNTIFS(Assessments!G:G,$A45,Assessments!B:B,"&gt;="&amp;$B$4,Assessments!B:B,"&lt;="&amp;$B$5,Assessments!C:C,IF($E$4="",$B45,$E$4),Assessments!D:D,IF($E$5="",$C45,$E$5)))</f>
        <v/>
      </c>
      <c r="E45">
        <f>IF($D45=0,"",ROUND(AVERAGEIFS(Assessments!J:J,Assessments!G:G,$A45,Assessments!B:B,"&gt;="&amp;$B$4,Assessments!B:B,"&lt;="&amp;$B$5,Assessments!C:C,IF($E$4="",$B45,$E$4),Assessments!D:D,IF($E$5="",$C45,$E$5)),0))</f>
        <v/>
      </c>
      <c r="F45">
        <f>IF($D45=0,"",MAXIFS(Assessments!J:J,Assessments!G:G,$A45,Assessments!B:B,"&gt;="&amp;$B$4,Assessments!B:B,"&lt;="&amp;$B$5,Assessments!C:C,IF($E$4="",$B45,$E$4),Assessments!D:D,IF($E$5="",$C45,$E$5)))</f>
        <v/>
      </c>
      <c r="G45">
        <f>IF($D45=0,"",MINIFS(Assessments!J:J,Assessments!G:G,$A45,Assessments!B:B,"&gt;="&amp;$B$4,Assessments!B:B,"&lt;="&amp;$B$5,Assessments!C:C,IF($E$4="",$B45,$E$4),Assessments!D:D,IF($E$5="",$C45,$E$5)))</f>
        <v/>
      </c>
      <c r="H45">
        <f>IF($E45="","",RANK($E45,$E$8:$E$507,0))</f>
        <v/>
      </c>
      <c r="I45">
        <f>IF($E45="","",IF($E45&gt;=85,"Excellent",IF($E45&gt;=70,"Good",IF($E45&gt;=50,"Fair","Needs Support"))))</f>
        <v/>
      </c>
    </row>
    <row r="46">
      <c r="A46">
        <f>IF(Students!A40="","",Students!A40)</f>
        <v/>
      </c>
      <c r="B46">
        <f>IF($A46="","",Students!B40)</f>
        <v/>
      </c>
      <c r="C46">
        <f>IF($A46="","",Students!C40)</f>
        <v/>
      </c>
      <c r="D46">
        <f>IF($A46="","",COUNTIFS(Assessments!G:G,$A46,Assessments!B:B,"&gt;="&amp;$B$4,Assessments!B:B,"&lt;="&amp;$B$5,Assessments!C:C,IF($E$4="",$B46,$E$4),Assessments!D:D,IF($E$5="",$C46,$E$5)))</f>
        <v/>
      </c>
      <c r="E46">
        <f>IF($D46=0,"",ROUND(AVERAGEIFS(Assessments!J:J,Assessments!G:G,$A46,Assessments!B:B,"&gt;="&amp;$B$4,Assessments!B:B,"&lt;="&amp;$B$5,Assessments!C:C,IF($E$4="",$B46,$E$4),Assessments!D:D,IF($E$5="",$C46,$E$5)),0))</f>
        <v/>
      </c>
      <c r="F46">
        <f>IF($D46=0,"",MAXIFS(Assessments!J:J,Assessments!G:G,$A46,Assessments!B:B,"&gt;="&amp;$B$4,Assessments!B:B,"&lt;="&amp;$B$5,Assessments!C:C,IF($E$4="",$B46,$E$4),Assessments!D:D,IF($E$5="",$C46,$E$5)))</f>
        <v/>
      </c>
      <c r="G46">
        <f>IF($D46=0,"",MINIFS(Assessments!J:J,Assessments!G:G,$A46,Assessments!B:B,"&gt;="&amp;$B$4,Assessments!B:B,"&lt;="&amp;$B$5,Assessments!C:C,IF($E$4="",$B46,$E$4),Assessments!D:D,IF($E$5="",$C46,$E$5)))</f>
        <v/>
      </c>
      <c r="H46">
        <f>IF($E46="","",RANK($E46,$E$8:$E$507,0))</f>
        <v/>
      </c>
      <c r="I46">
        <f>IF($E46="","",IF($E46&gt;=85,"Excellent",IF($E46&gt;=70,"Good",IF($E46&gt;=50,"Fair","Needs Support"))))</f>
        <v/>
      </c>
    </row>
    <row r="47">
      <c r="A47">
        <f>IF(Students!A41="","",Students!A41)</f>
        <v/>
      </c>
      <c r="B47">
        <f>IF($A47="","",Students!B41)</f>
        <v/>
      </c>
      <c r="C47">
        <f>IF($A47="","",Students!C41)</f>
        <v/>
      </c>
      <c r="D47">
        <f>IF($A47="","",COUNTIFS(Assessments!G:G,$A47,Assessments!B:B,"&gt;="&amp;$B$4,Assessments!B:B,"&lt;="&amp;$B$5,Assessments!C:C,IF($E$4="",$B47,$E$4),Assessments!D:D,IF($E$5="",$C47,$E$5)))</f>
        <v/>
      </c>
      <c r="E47">
        <f>IF($D47=0,"",ROUND(AVERAGEIFS(Assessments!J:J,Assessments!G:G,$A47,Assessments!B:B,"&gt;="&amp;$B$4,Assessments!B:B,"&lt;="&amp;$B$5,Assessments!C:C,IF($E$4="",$B47,$E$4),Assessments!D:D,IF($E$5="",$C47,$E$5)),0))</f>
        <v/>
      </c>
      <c r="F47">
        <f>IF($D47=0,"",MAXIFS(Assessments!J:J,Assessments!G:G,$A47,Assessments!B:B,"&gt;="&amp;$B$4,Assessments!B:B,"&lt;="&amp;$B$5,Assessments!C:C,IF($E$4="",$B47,$E$4),Assessments!D:D,IF($E$5="",$C47,$E$5)))</f>
        <v/>
      </c>
      <c r="G47">
        <f>IF($D47=0,"",MINIFS(Assessments!J:J,Assessments!G:G,$A47,Assessments!B:B,"&gt;="&amp;$B$4,Assessments!B:B,"&lt;="&amp;$B$5,Assessments!C:C,IF($E$4="",$B47,$E$4),Assessments!D:D,IF($E$5="",$C47,$E$5)))</f>
        <v/>
      </c>
      <c r="H47">
        <f>IF($E47="","",RANK($E47,$E$8:$E$507,0))</f>
        <v/>
      </c>
      <c r="I47">
        <f>IF($E47="","",IF($E47&gt;=85,"Excellent",IF($E47&gt;=70,"Good",IF($E47&gt;=50,"Fair","Needs Support"))))</f>
        <v/>
      </c>
    </row>
    <row r="48">
      <c r="A48">
        <f>IF(Students!A42="","",Students!A42)</f>
        <v/>
      </c>
      <c r="B48">
        <f>IF($A48="","",Students!B42)</f>
        <v/>
      </c>
      <c r="C48">
        <f>IF($A48="","",Students!C42)</f>
        <v/>
      </c>
      <c r="D48">
        <f>IF($A48="","",COUNTIFS(Assessments!G:G,$A48,Assessments!B:B,"&gt;="&amp;$B$4,Assessments!B:B,"&lt;="&amp;$B$5,Assessments!C:C,IF($E$4="",$B48,$E$4),Assessments!D:D,IF($E$5="",$C48,$E$5)))</f>
        <v/>
      </c>
      <c r="E48">
        <f>IF($D48=0,"",ROUND(AVERAGEIFS(Assessments!J:J,Assessments!G:G,$A48,Assessments!B:B,"&gt;="&amp;$B$4,Assessments!B:B,"&lt;="&amp;$B$5,Assessments!C:C,IF($E$4="",$B48,$E$4),Assessments!D:D,IF($E$5="",$C48,$E$5)),0))</f>
        <v/>
      </c>
      <c r="F48">
        <f>IF($D48=0,"",MAXIFS(Assessments!J:J,Assessments!G:G,$A48,Assessments!B:B,"&gt;="&amp;$B$4,Assessments!B:B,"&lt;="&amp;$B$5,Assessments!C:C,IF($E$4="",$B48,$E$4),Assessments!D:D,IF($E$5="",$C48,$E$5)))</f>
        <v/>
      </c>
      <c r="G48">
        <f>IF($D48=0,"",MINIFS(Assessments!J:J,Assessments!G:G,$A48,Assessments!B:B,"&gt;="&amp;$B$4,Assessments!B:B,"&lt;="&amp;$B$5,Assessments!C:C,IF($E$4="",$B48,$E$4),Assessments!D:D,IF($E$5="",$C48,$E$5)))</f>
        <v/>
      </c>
      <c r="H48">
        <f>IF($E48="","",RANK($E48,$E$8:$E$507,0))</f>
        <v/>
      </c>
      <c r="I48">
        <f>IF($E48="","",IF($E48&gt;=85,"Excellent",IF($E48&gt;=70,"Good",IF($E48&gt;=50,"Fair","Needs Support"))))</f>
        <v/>
      </c>
    </row>
    <row r="49">
      <c r="A49">
        <f>IF(Students!A43="","",Students!A43)</f>
        <v/>
      </c>
      <c r="B49">
        <f>IF($A49="","",Students!B43)</f>
        <v/>
      </c>
      <c r="C49">
        <f>IF($A49="","",Students!C43)</f>
        <v/>
      </c>
      <c r="D49">
        <f>IF($A49="","",COUNTIFS(Assessments!G:G,$A49,Assessments!B:B,"&gt;="&amp;$B$4,Assessments!B:B,"&lt;="&amp;$B$5,Assessments!C:C,IF($E$4="",$B49,$E$4),Assessments!D:D,IF($E$5="",$C49,$E$5)))</f>
        <v/>
      </c>
      <c r="E49">
        <f>IF($D49=0,"",ROUND(AVERAGEIFS(Assessments!J:J,Assessments!G:G,$A49,Assessments!B:B,"&gt;="&amp;$B$4,Assessments!B:B,"&lt;="&amp;$B$5,Assessments!C:C,IF($E$4="",$B49,$E$4),Assessments!D:D,IF($E$5="",$C49,$E$5)),0))</f>
        <v/>
      </c>
      <c r="F49">
        <f>IF($D49=0,"",MAXIFS(Assessments!J:J,Assessments!G:G,$A49,Assessments!B:B,"&gt;="&amp;$B$4,Assessments!B:B,"&lt;="&amp;$B$5,Assessments!C:C,IF($E$4="",$B49,$E$4),Assessments!D:D,IF($E$5="",$C49,$E$5)))</f>
        <v/>
      </c>
      <c r="G49">
        <f>IF($D49=0,"",MINIFS(Assessments!J:J,Assessments!G:G,$A49,Assessments!B:B,"&gt;="&amp;$B$4,Assessments!B:B,"&lt;="&amp;$B$5,Assessments!C:C,IF($E$4="",$B49,$E$4),Assessments!D:D,IF($E$5="",$C49,$E$5)))</f>
        <v/>
      </c>
      <c r="H49">
        <f>IF($E49="","",RANK($E49,$E$8:$E$507,0))</f>
        <v/>
      </c>
      <c r="I49">
        <f>IF($E49="","",IF($E49&gt;=85,"Excellent",IF($E49&gt;=70,"Good",IF($E49&gt;=50,"Fair","Needs Support"))))</f>
        <v/>
      </c>
    </row>
    <row r="50">
      <c r="A50">
        <f>IF(Students!A44="","",Students!A44)</f>
        <v/>
      </c>
      <c r="B50">
        <f>IF($A50="","",Students!B44)</f>
        <v/>
      </c>
      <c r="C50">
        <f>IF($A50="","",Students!C44)</f>
        <v/>
      </c>
      <c r="D50">
        <f>IF($A50="","",COUNTIFS(Assessments!G:G,$A50,Assessments!B:B,"&gt;="&amp;$B$4,Assessments!B:B,"&lt;="&amp;$B$5,Assessments!C:C,IF($E$4="",$B50,$E$4),Assessments!D:D,IF($E$5="",$C50,$E$5)))</f>
        <v/>
      </c>
      <c r="E50">
        <f>IF($D50=0,"",ROUND(AVERAGEIFS(Assessments!J:J,Assessments!G:G,$A50,Assessments!B:B,"&gt;="&amp;$B$4,Assessments!B:B,"&lt;="&amp;$B$5,Assessments!C:C,IF($E$4="",$B50,$E$4),Assessments!D:D,IF($E$5="",$C50,$E$5)),0))</f>
        <v/>
      </c>
      <c r="F50">
        <f>IF($D50=0,"",MAXIFS(Assessments!J:J,Assessments!G:G,$A50,Assessments!B:B,"&gt;="&amp;$B$4,Assessments!B:B,"&lt;="&amp;$B$5,Assessments!C:C,IF($E$4="",$B50,$E$4),Assessments!D:D,IF($E$5="",$C50,$E$5)))</f>
        <v/>
      </c>
      <c r="G50">
        <f>IF($D50=0,"",MINIFS(Assessments!J:J,Assessments!G:G,$A50,Assessments!B:B,"&gt;="&amp;$B$4,Assessments!B:B,"&lt;="&amp;$B$5,Assessments!C:C,IF($E$4="",$B50,$E$4),Assessments!D:D,IF($E$5="",$C50,$E$5)))</f>
        <v/>
      </c>
      <c r="H50">
        <f>IF($E50="","",RANK($E50,$E$8:$E$507,0))</f>
        <v/>
      </c>
      <c r="I50">
        <f>IF($E50="","",IF($E50&gt;=85,"Excellent",IF($E50&gt;=70,"Good",IF($E50&gt;=50,"Fair","Needs Support"))))</f>
        <v/>
      </c>
    </row>
    <row r="51">
      <c r="A51">
        <f>IF(Students!A45="","",Students!A45)</f>
        <v/>
      </c>
      <c r="B51">
        <f>IF($A51="","",Students!B45)</f>
        <v/>
      </c>
      <c r="C51">
        <f>IF($A51="","",Students!C45)</f>
        <v/>
      </c>
      <c r="D51">
        <f>IF($A51="","",COUNTIFS(Assessments!G:G,$A51,Assessments!B:B,"&gt;="&amp;$B$4,Assessments!B:B,"&lt;="&amp;$B$5,Assessments!C:C,IF($E$4="",$B51,$E$4),Assessments!D:D,IF($E$5="",$C51,$E$5)))</f>
        <v/>
      </c>
      <c r="E51">
        <f>IF($D51=0,"",ROUND(AVERAGEIFS(Assessments!J:J,Assessments!G:G,$A51,Assessments!B:B,"&gt;="&amp;$B$4,Assessments!B:B,"&lt;="&amp;$B$5,Assessments!C:C,IF($E$4="",$B51,$E$4),Assessments!D:D,IF($E$5="",$C51,$E$5)),0))</f>
        <v/>
      </c>
      <c r="F51">
        <f>IF($D51=0,"",MAXIFS(Assessments!J:J,Assessments!G:G,$A51,Assessments!B:B,"&gt;="&amp;$B$4,Assessments!B:B,"&lt;="&amp;$B$5,Assessments!C:C,IF($E$4="",$B51,$E$4),Assessments!D:D,IF($E$5="",$C51,$E$5)))</f>
        <v/>
      </c>
      <c r="G51">
        <f>IF($D51=0,"",MINIFS(Assessments!J:J,Assessments!G:G,$A51,Assessments!B:B,"&gt;="&amp;$B$4,Assessments!B:B,"&lt;="&amp;$B$5,Assessments!C:C,IF($E$4="",$B51,$E$4),Assessments!D:D,IF($E$5="",$C51,$E$5)))</f>
        <v/>
      </c>
      <c r="H51">
        <f>IF($E51="","",RANK($E51,$E$8:$E$507,0))</f>
        <v/>
      </c>
      <c r="I51">
        <f>IF($E51="","",IF($E51&gt;=85,"Excellent",IF($E51&gt;=70,"Good",IF($E51&gt;=50,"Fair","Needs Support"))))</f>
        <v/>
      </c>
    </row>
    <row r="52">
      <c r="A52">
        <f>IF(Students!A46="","",Students!A46)</f>
        <v/>
      </c>
      <c r="B52">
        <f>IF($A52="","",Students!B46)</f>
        <v/>
      </c>
      <c r="C52">
        <f>IF($A52="","",Students!C46)</f>
        <v/>
      </c>
      <c r="D52">
        <f>IF($A52="","",COUNTIFS(Assessments!G:G,$A52,Assessments!B:B,"&gt;="&amp;$B$4,Assessments!B:B,"&lt;="&amp;$B$5,Assessments!C:C,IF($E$4="",$B52,$E$4),Assessments!D:D,IF($E$5="",$C52,$E$5)))</f>
        <v/>
      </c>
      <c r="E52">
        <f>IF($D52=0,"",ROUND(AVERAGEIFS(Assessments!J:J,Assessments!G:G,$A52,Assessments!B:B,"&gt;="&amp;$B$4,Assessments!B:B,"&lt;="&amp;$B$5,Assessments!C:C,IF($E$4="",$B52,$E$4),Assessments!D:D,IF($E$5="",$C52,$E$5)),0))</f>
        <v/>
      </c>
      <c r="F52">
        <f>IF($D52=0,"",MAXIFS(Assessments!J:J,Assessments!G:G,$A52,Assessments!B:B,"&gt;="&amp;$B$4,Assessments!B:B,"&lt;="&amp;$B$5,Assessments!C:C,IF($E$4="",$B52,$E$4),Assessments!D:D,IF($E$5="",$C52,$E$5)))</f>
        <v/>
      </c>
      <c r="G52">
        <f>IF($D52=0,"",MINIFS(Assessments!J:J,Assessments!G:G,$A52,Assessments!B:B,"&gt;="&amp;$B$4,Assessments!B:B,"&lt;="&amp;$B$5,Assessments!C:C,IF($E$4="",$B52,$E$4),Assessments!D:D,IF($E$5="",$C52,$E$5)))</f>
        <v/>
      </c>
      <c r="H52">
        <f>IF($E52="","",RANK($E52,$E$8:$E$507,0))</f>
        <v/>
      </c>
      <c r="I52">
        <f>IF($E52="","",IF($E52&gt;=85,"Excellent",IF($E52&gt;=70,"Good",IF($E52&gt;=50,"Fair","Needs Support"))))</f>
        <v/>
      </c>
    </row>
    <row r="53">
      <c r="A53">
        <f>IF(Students!A47="","",Students!A47)</f>
        <v/>
      </c>
      <c r="B53">
        <f>IF($A53="","",Students!B47)</f>
        <v/>
      </c>
      <c r="C53">
        <f>IF($A53="","",Students!C47)</f>
        <v/>
      </c>
      <c r="D53">
        <f>IF($A53="","",COUNTIFS(Assessments!G:G,$A53,Assessments!B:B,"&gt;="&amp;$B$4,Assessments!B:B,"&lt;="&amp;$B$5,Assessments!C:C,IF($E$4="",$B53,$E$4),Assessments!D:D,IF($E$5="",$C53,$E$5)))</f>
        <v/>
      </c>
      <c r="E53">
        <f>IF($D53=0,"",ROUND(AVERAGEIFS(Assessments!J:J,Assessments!G:G,$A53,Assessments!B:B,"&gt;="&amp;$B$4,Assessments!B:B,"&lt;="&amp;$B$5,Assessments!C:C,IF($E$4="",$B53,$E$4),Assessments!D:D,IF($E$5="",$C53,$E$5)),0))</f>
        <v/>
      </c>
      <c r="F53">
        <f>IF($D53=0,"",MAXIFS(Assessments!J:J,Assessments!G:G,$A53,Assessments!B:B,"&gt;="&amp;$B$4,Assessments!B:B,"&lt;="&amp;$B$5,Assessments!C:C,IF($E$4="",$B53,$E$4),Assessments!D:D,IF($E$5="",$C53,$E$5)))</f>
        <v/>
      </c>
      <c r="G53">
        <f>IF($D53=0,"",MINIFS(Assessments!J:J,Assessments!G:G,$A53,Assessments!B:B,"&gt;="&amp;$B$4,Assessments!B:B,"&lt;="&amp;$B$5,Assessments!C:C,IF($E$4="",$B53,$E$4),Assessments!D:D,IF($E$5="",$C53,$E$5)))</f>
        <v/>
      </c>
      <c r="H53">
        <f>IF($E53="","",RANK($E53,$E$8:$E$507,0))</f>
        <v/>
      </c>
      <c r="I53">
        <f>IF($E53="","",IF($E53&gt;=85,"Excellent",IF($E53&gt;=70,"Good",IF($E53&gt;=50,"Fair","Needs Support"))))</f>
        <v/>
      </c>
    </row>
    <row r="54">
      <c r="A54">
        <f>IF(Students!A48="","",Students!A48)</f>
        <v/>
      </c>
      <c r="B54">
        <f>IF($A54="","",Students!B48)</f>
        <v/>
      </c>
      <c r="C54">
        <f>IF($A54="","",Students!C48)</f>
        <v/>
      </c>
      <c r="D54">
        <f>IF($A54="","",COUNTIFS(Assessments!G:G,$A54,Assessments!B:B,"&gt;="&amp;$B$4,Assessments!B:B,"&lt;="&amp;$B$5,Assessments!C:C,IF($E$4="",$B54,$E$4),Assessments!D:D,IF($E$5="",$C54,$E$5)))</f>
        <v/>
      </c>
      <c r="E54">
        <f>IF($D54=0,"",ROUND(AVERAGEIFS(Assessments!J:J,Assessments!G:G,$A54,Assessments!B:B,"&gt;="&amp;$B$4,Assessments!B:B,"&lt;="&amp;$B$5,Assessments!C:C,IF($E$4="",$B54,$E$4),Assessments!D:D,IF($E$5="",$C54,$E$5)),0))</f>
        <v/>
      </c>
      <c r="F54">
        <f>IF($D54=0,"",MAXIFS(Assessments!J:J,Assessments!G:G,$A54,Assessments!B:B,"&gt;="&amp;$B$4,Assessments!B:B,"&lt;="&amp;$B$5,Assessments!C:C,IF($E$4="",$B54,$E$4),Assessments!D:D,IF($E$5="",$C54,$E$5)))</f>
        <v/>
      </c>
      <c r="G54">
        <f>IF($D54=0,"",MINIFS(Assessments!J:J,Assessments!G:G,$A54,Assessments!B:B,"&gt;="&amp;$B$4,Assessments!B:B,"&lt;="&amp;$B$5,Assessments!C:C,IF($E$4="",$B54,$E$4),Assessments!D:D,IF($E$5="",$C54,$E$5)))</f>
        <v/>
      </c>
      <c r="H54">
        <f>IF($E54="","",RANK($E54,$E$8:$E$507,0))</f>
        <v/>
      </c>
      <c r="I54">
        <f>IF($E54="","",IF($E54&gt;=85,"Excellent",IF($E54&gt;=70,"Good",IF($E54&gt;=50,"Fair","Needs Support"))))</f>
        <v/>
      </c>
    </row>
    <row r="55">
      <c r="A55">
        <f>IF(Students!A49="","",Students!A49)</f>
        <v/>
      </c>
      <c r="B55">
        <f>IF($A55="","",Students!B49)</f>
        <v/>
      </c>
      <c r="C55">
        <f>IF($A55="","",Students!C49)</f>
        <v/>
      </c>
      <c r="D55">
        <f>IF($A55="","",COUNTIFS(Assessments!G:G,$A55,Assessments!B:B,"&gt;="&amp;$B$4,Assessments!B:B,"&lt;="&amp;$B$5,Assessments!C:C,IF($E$4="",$B55,$E$4),Assessments!D:D,IF($E$5="",$C55,$E$5)))</f>
        <v/>
      </c>
      <c r="E55">
        <f>IF($D55=0,"",ROUND(AVERAGEIFS(Assessments!J:J,Assessments!G:G,$A55,Assessments!B:B,"&gt;="&amp;$B$4,Assessments!B:B,"&lt;="&amp;$B$5,Assessments!C:C,IF($E$4="",$B55,$E$4),Assessments!D:D,IF($E$5="",$C55,$E$5)),0))</f>
        <v/>
      </c>
      <c r="F55">
        <f>IF($D55=0,"",MAXIFS(Assessments!J:J,Assessments!G:G,$A55,Assessments!B:B,"&gt;="&amp;$B$4,Assessments!B:B,"&lt;="&amp;$B$5,Assessments!C:C,IF($E$4="",$B55,$E$4),Assessments!D:D,IF($E$5="",$C55,$E$5)))</f>
        <v/>
      </c>
      <c r="G55">
        <f>IF($D55=0,"",MINIFS(Assessments!J:J,Assessments!G:G,$A55,Assessments!B:B,"&gt;="&amp;$B$4,Assessments!B:B,"&lt;="&amp;$B$5,Assessments!C:C,IF($E$4="",$B55,$E$4),Assessments!D:D,IF($E$5="",$C55,$E$5)))</f>
        <v/>
      </c>
      <c r="H55">
        <f>IF($E55="","",RANK($E55,$E$8:$E$507,0))</f>
        <v/>
      </c>
      <c r="I55">
        <f>IF($E55="","",IF($E55&gt;=85,"Excellent",IF($E55&gt;=70,"Good",IF($E55&gt;=50,"Fair","Needs Support"))))</f>
        <v/>
      </c>
    </row>
    <row r="56">
      <c r="A56">
        <f>IF(Students!A50="","",Students!A50)</f>
        <v/>
      </c>
      <c r="B56">
        <f>IF($A56="","",Students!B50)</f>
        <v/>
      </c>
      <c r="C56">
        <f>IF($A56="","",Students!C50)</f>
        <v/>
      </c>
      <c r="D56">
        <f>IF($A56="","",COUNTIFS(Assessments!G:G,$A56,Assessments!B:B,"&gt;="&amp;$B$4,Assessments!B:B,"&lt;="&amp;$B$5,Assessments!C:C,IF($E$4="",$B56,$E$4),Assessments!D:D,IF($E$5="",$C56,$E$5)))</f>
        <v/>
      </c>
      <c r="E56">
        <f>IF($D56=0,"",ROUND(AVERAGEIFS(Assessments!J:J,Assessments!G:G,$A56,Assessments!B:B,"&gt;="&amp;$B$4,Assessments!B:B,"&lt;="&amp;$B$5,Assessments!C:C,IF($E$4="",$B56,$E$4),Assessments!D:D,IF($E$5="",$C56,$E$5)),0))</f>
        <v/>
      </c>
      <c r="F56">
        <f>IF($D56=0,"",MAXIFS(Assessments!J:J,Assessments!G:G,$A56,Assessments!B:B,"&gt;="&amp;$B$4,Assessments!B:B,"&lt;="&amp;$B$5,Assessments!C:C,IF($E$4="",$B56,$E$4),Assessments!D:D,IF($E$5="",$C56,$E$5)))</f>
        <v/>
      </c>
      <c r="G56">
        <f>IF($D56=0,"",MINIFS(Assessments!J:J,Assessments!G:G,$A56,Assessments!B:B,"&gt;="&amp;$B$4,Assessments!B:B,"&lt;="&amp;$B$5,Assessments!C:C,IF($E$4="",$B56,$E$4),Assessments!D:D,IF($E$5="",$C56,$E$5)))</f>
        <v/>
      </c>
      <c r="H56">
        <f>IF($E56="","",RANK($E56,$E$8:$E$507,0))</f>
        <v/>
      </c>
      <c r="I56">
        <f>IF($E56="","",IF($E56&gt;=85,"Excellent",IF($E56&gt;=70,"Good",IF($E56&gt;=50,"Fair","Needs Support"))))</f>
        <v/>
      </c>
    </row>
    <row r="57">
      <c r="A57">
        <f>IF(Students!A51="","",Students!A51)</f>
        <v/>
      </c>
      <c r="B57">
        <f>IF($A57="","",Students!B51)</f>
        <v/>
      </c>
      <c r="C57">
        <f>IF($A57="","",Students!C51)</f>
        <v/>
      </c>
      <c r="D57">
        <f>IF($A57="","",COUNTIFS(Assessments!G:G,$A57,Assessments!B:B,"&gt;="&amp;$B$4,Assessments!B:B,"&lt;="&amp;$B$5,Assessments!C:C,IF($E$4="",$B57,$E$4),Assessments!D:D,IF($E$5="",$C57,$E$5)))</f>
        <v/>
      </c>
      <c r="E57">
        <f>IF($D57=0,"",ROUND(AVERAGEIFS(Assessments!J:J,Assessments!G:G,$A57,Assessments!B:B,"&gt;="&amp;$B$4,Assessments!B:B,"&lt;="&amp;$B$5,Assessments!C:C,IF($E$4="",$B57,$E$4),Assessments!D:D,IF($E$5="",$C57,$E$5)),0))</f>
        <v/>
      </c>
      <c r="F57">
        <f>IF($D57=0,"",MAXIFS(Assessments!J:J,Assessments!G:G,$A57,Assessments!B:B,"&gt;="&amp;$B$4,Assessments!B:B,"&lt;="&amp;$B$5,Assessments!C:C,IF($E$4="",$B57,$E$4),Assessments!D:D,IF($E$5="",$C57,$E$5)))</f>
        <v/>
      </c>
      <c r="G57">
        <f>IF($D57=0,"",MINIFS(Assessments!J:J,Assessments!G:G,$A57,Assessments!B:B,"&gt;="&amp;$B$4,Assessments!B:B,"&lt;="&amp;$B$5,Assessments!C:C,IF($E$4="",$B57,$E$4),Assessments!D:D,IF($E$5="",$C57,$E$5)))</f>
        <v/>
      </c>
      <c r="H57">
        <f>IF($E57="","",RANK($E57,$E$8:$E$507,0))</f>
        <v/>
      </c>
      <c r="I57">
        <f>IF($E57="","",IF($E57&gt;=85,"Excellent",IF($E57&gt;=70,"Good",IF($E57&gt;=50,"Fair","Needs Support"))))</f>
        <v/>
      </c>
    </row>
    <row r="58">
      <c r="A58">
        <f>IF(Students!A52="","",Students!A52)</f>
        <v/>
      </c>
      <c r="B58">
        <f>IF($A58="","",Students!B52)</f>
        <v/>
      </c>
      <c r="C58">
        <f>IF($A58="","",Students!C52)</f>
        <v/>
      </c>
      <c r="D58">
        <f>IF($A58="","",COUNTIFS(Assessments!G:G,$A58,Assessments!B:B,"&gt;="&amp;$B$4,Assessments!B:B,"&lt;="&amp;$B$5,Assessments!C:C,IF($E$4="",$B58,$E$4),Assessments!D:D,IF($E$5="",$C58,$E$5)))</f>
        <v/>
      </c>
      <c r="E58">
        <f>IF($D58=0,"",ROUND(AVERAGEIFS(Assessments!J:J,Assessments!G:G,$A58,Assessments!B:B,"&gt;="&amp;$B$4,Assessments!B:B,"&lt;="&amp;$B$5,Assessments!C:C,IF($E$4="",$B58,$E$4),Assessments!D:D,IF($E$5="",$C58,$E$5)),0))</f>
        <v/>
      </c>
      <c r="F58">
        <f>IF($D58=0,"",MAXIFS(Assessments!J:J,Assessments!G:G,$A58,Assessments!B:B,"&gt;="&amp;$B$4,Assessments!B:B,"&lt;="&amp;$B$5,Assessments!C:C,IF($E$4="",$B58,$E$4),Assessments!D:D,IF($E$5="",$C58,$E$5)))</f>
        <v/>
      </c>
      <c r="G58">
        <f>IF($D58=0,"",MINIFS(Assessments!J:J,Assessments!G:G,$A58,Assessments!B:B,"&gt;="&amp;$B$4,Assessments!B:B,"&lt;="&amp;$B$5,Assessments!C:C,IF($E$4="",$B58,$E$4),Assessments!D:D,IF($E$5="",$C58,$E$5)))</f>
        <v/>
      </c>
      <c r="H58">
        <f>IF($E58="","",RANK($E58,$E$8:$E$507,0))</f>
        <v/>
      </c>
      <c r="I58">
        <f>IF($E58="","",IF($E58&gt;=85,"Excellent",IF($E58&gt;=70,"Good",IF($E58&gt;=50,"Fair","Needs Support"))))</f>
        <v/>
      </c>
    </row>
    <row r="59">
      <c r="A59">
        <f>IF(Students!A53="","",Students!A53)</f>
        <v/>
      </c>
      <c r="B59">
        <f>IF($A59="","",Students!B53)</f>
        <v/>
      </c>
      <c r="C59">
        <f>IF($A59="","",Students!C53)</f>
        <v/>
      </c>
      <c r="D59">
        <f>IF($A59="","",COUNTIFS(Assessments!G:G,$A59,Assessments!B:B,"&gt;="&amp;$B$4,Assessments!B:B,"&lt;="&amp;$B$5,Assessments!C:C,IF($E$4="",$B59,$E$4),Assessments!D:D,IF($E$5="",$C59,$E$5)))</f>
        <v/>
      </c>
      <c r="E59">
        <f>IF($D59=0,"",ROUND(AVERAGEIFS(Assessments!J:J,Assessments!G:G,$A59,Assessments!B:B,"&gt;="&amp;$B$4,Assessments!B:B,"&lt;="&amp;$B$5,Assessments!C:C,IF($E$4="",$B59,$E$4),Assessments!D:D,IF($E$5="",$C59,$E$5)),0))</f>
        <v/>
      </c>
      <c r="F59">
        <f>IF($D59=0,"",MAXIFS(Assessments!J:J,Assessments!G:G,$A59,Assessments!B:B,"&gt;="&amp;$B$4,Assessments!B:B,"&lt;="&amp;$B$5,Assessments!C:C,IF($E$4="",$B59,$E$4),Assessments!D:D,IF($E$5="",$C59,$E$5)))</f>
        <v/>
      </c>
      <c r="G59">
        <f>IF($D59=0,"",MINIFS(Assessments!J:J,Assessments!G:G,$A59,Assessments!B:B,"&gt;="&amp;$B$4,Assessments!B:B,"&lt;="&amp;$B$5,Assessments!C:C,IF($E$4="",$B59,$E$4),Assessments!D:D,IF($E$5="",$C59,$E$5)))</f>
        <v/>
      </c>
      <c r="H59">
        <f>IF($E59="","",RANK($E59,$E$8:$E$507,0))</f>
        <v/>
      </c>
      <c r="I59">
        <f>IF($E59="","",IF($E59&gt;=85,"Excellent",IF($E59&gt;=70,"Good",IF($E59&gt;=50,"Fair","Needs Support"))))</f>
        <v/>
      </c>
    </row>
    <row r="60">
      <c r="A60">
        <f>IF(Students!A54="","",Students!A54)</f>
        <v/>
      </c>
      <c r="B60">
        <f>IF($A60="","",Students!B54)</f>
        <v/>
      </c>
      <c r="C60">
        <f>IF($A60="","",Students!C54)</f>
        <v/>
      </c>
      <c r="D60">
        <f>IF($A60="","",COUNTIFS(Assessments!G:G,$A60,Assessments!B:B,"&gt;="&amp;$B$4,Assessments!B:B,"&lt;="&amp;$B$5,Assessments!C:C,IF($E$4="",$B60,$E$4),Assessments!D:D,IF($E$5="",$C60,$E$5)))</f>
        <v/>
      </c>
      <c r="E60">
        <f>IF($D60=0,"",ROUND(AVERAGEIFS(Assessments!J:J,Assessments!G:G,$A60,Assessments!B:B,"&gt;="&amp;$B$4,Assessments!B:B,"&lt;="&amp;$B$5,Assessments!C:C,IF($E$4="",$B60,$E$4),Assessments!D:D,IF($E$5="",$C60,$E$5)),0))</f>
        <v/>
      </c>
      <c r="F60">
        <f>IF($D60=0,"",MAXIFS(Assessments!J:J,Assessments!G:G,$A60,Assessments!B:B,"&gt;="&amp;$B$4,Assessments!B:B,"&lt;="&amp;$B$5,Assessments!C:C,IF($E$4="",$B60,$E$4),Assessments!D:D,IF($E$5="",$C60,$E$5)))</f>
        <v/>
      </c>
      <c r="G60">
        <f>IF($D60=0,"",MINIFS(Assessments!J:J,Assessments!G:G,$A60,Assessments!B:B,"&gt;="&amp;$B$4,Assessments!B:B,"&lt;="&amp;$B$5,Assessments!C:C,IF($E$4="",$B60,$E$4),Assessments!D:D,IF($E$5="",$C60,$E$5)))</f>
        <v/>
      </c>
      <c r="H60">
        <f>IF($E60="","",RANK($E60,$E$8:$E$507,0))</f>
        <v/>
      </c>
      <c r="I60">
        <f>IF($E60="","",IF($E60&gt;=85,"Excellent",IF($E60&gt;=70,"Good",IF($E60&gt;=50,"Fair","Needs Support"))))</f>
        <v/>
      </c>
    </row>
    <row r="61">
      <c r="A61">
        <f>IF(Students!A55="","",Students!A55)</f>
        <v/>
      </c>
      <c r="B61">
        <f>IF($A61="","",Students!B55)</f>
        <v/>
      </c>
      <c r="C61">
        <f>IF($A61="","",Students!C55)</f>
        <v/>
      </c>
      <c r="D61">
        <f>IF($A61="","",COUNTIFS(Assessments!G:G,$A61,Assessments!B:B,"&gt;="&amp;$B$4,Assessments!B:B,"&lt;="&amp;$B$5,Assessments!C:C,IF($E$4="",$B61,$E$4),Assessments!D:D,IF($E$5="",$C61,$E$5)))</f>
        <v/>
      </c>
      <c r="E61">
        <f>IF($D61=0,"",ROUND(AVERAGEIFS(Assessments!J:J,Assessments!G:G,$A61,Assessments!B:B,"&gt;="&amp;$B$4,Assessments!B:B,"&lt;="&amp;$B$5,Assessments!C:C,IF($E$4="",$B61,$E$4),Assessments!D:D,IF($E$5="",$C61,$E$5)),0))</f>
        <v/>
      </c>
      <c r="F61">
        <f>IF($D61=0,"",MAXIFS(Assessments!J:J,Assessments!G:G,$A61,Assessments!B:B,"&gt;="&amp;$B$4,Assessments!B:B,"&lt;="&amp;$B$5,Assessments!C:C,IF($E$4="",$B61,$E$4),Assessments!D:D,IF($E$5="",$C61,$E$5)))</f>
        <v/>
      </c>
      <c r="G61">
        <f>IF($D61=0,"",MINIFS(Assessments!J:J,Assessments!G:G,$A61,Assessments!B:B,"&gt;="&amp;$B$4,Assessments!B:B,"&lt;="&amp;$B$5,Assessments!C:C,IF($E$4="",$B61,$E$4),Assessments!D:D,IF($E$5="",$C61,$E$5)))</f>
        <v/>
      </c>
      <c r="H61">
        <f>IF($E61="","",RANK($E61,$E$8:$E$507,0))</f>
        <v/>
      </c>
      <c r="I61">
        <f>IF($E61="","",IF($E61&gt;=85,"Excellent",IF($E61&gt;=70,"Good",IF($E61&gt;=50,"Fair","Needs Support"))))</f>
        <v/>
      </c>
    </row>
    <row r="62">
      <c r="A62">
        <f>IF(Students!A56="","",Students!A56)</f>
        <v/>
      </c>
      <c r="B62">
        <f>IF($A62="","",Students!B56)</f>
        <v/>
      </c>
      <c r="C62">
        <f>IF($A62="","",Students!C56)</f>
        <v/>
      </c>
      <c r="D62">
        <f>IF($A62="","",COUNTIFS(Assessments!G:G,$A62,Assessments!B:B,"&gt;="&amp;$B$4,Assessments!B:B,"&lt;="&amp;$B$5,Assessments!C:C,IF($E$4="",$B62,$E$4),Assessments!D:D,IF($E$5="",$C62,$E$5)))</f>
        <v/>
      </c>
      <c r="E62">
        <f>IF($D62=0,"",ROUND(AVERAGEIFS(Assessments!J:J,Assessments!G:G,$A62,Assessments!B:B,"&gt;="&amp;$B$4,Assessments!B:B,"&lt;="&amp;$B$5,Assessments!C:C,IF($E$4="",$B62,$E$4),Assessments!D:D,IF($E$5="",$C62,$E$5)),0))</f>
        <v/>
      </c>
      <c r="F62">
        <f>IF($D62=0,"",MAXIFS(Assessments!J:J,Assessments!G:G,$A62,Assessments!B:B,"&gt;="&amp;$B$4,Assessments!B:B,"&lt;="&amp;$B$5,Assessments!C:C,IF($E$4="",$B62,$E$4),Assessments!D:D,IF($E$5="",$C62,$E$5)))</f>
        <v/>
      </c>
      <c r="G62">
        <f>IF($D62=0,"",MINIFS(Assessments!J:J,Assessments!G:G,$A62,Assessments!B:B,"&gt;="&amp;$B$4,Assessments!B:B,"&lt;="&amp;$B$5,Assessments!C:C,IF($E$4="",$B62,$E$4),Assessments!D:D,IF($E$5="",$C62,$E$5)))</f>
        <v/>
      </c>
      <c r="H62">
        <f>IF($E62="","",RANK($E62,$E$8:$E$507,0))</f>
        <v/>
      </c>
      <c r="I62">
        <f>IF($E62="","",IF($E62&gt;=85,"Excellent",IF($E62&gt;=70,"Good",IF($E62&gt;=50,"Fair","Needs Support"))))</f>
        <v/>
      </c>
    </row>
    <row r="63">
      <c r="A63">
        <f>IF(Students!A57="","",Students!A57)</f>
        <v/>
      </c>
      <c r="B63">
        <f>IF($A63="","",Students!B57)</f>
        <v/>
      </c>
      <c r="C63">
        <f>IF($A63="","",Students!C57)</f>
        <v/>
      </c>
      <c r="D63">
        <f>IF($A63="","",COUNTIFS(Assessments!G:G,$A63,Assessments!B:B,"&gt;="&amp;$B$4,Assessments!B:B,"&lt;="&amp;$B$5,Assessments!C:C,IF($E$4="",$B63,$E$4),Assessments!D:D,IF($E$5="",$C63,$E$5)))</f>
        <v/>
      </c>
      <c r="E63">
        <f>IF($D63=0,"",ROUND(AVERAGEIFS(Assessments!J:J,Assessments!G:G,$A63,Assessments!B:B,"&gt;="&amp;$B$4,Assessments!B:B,"&lt;="&amp;$B$5,Assessments!C:C,IF($E$4="",$B63,$E$4),Assessments!D:D,IF($E$5="",$C63,$E$5)),0))</f>
        <v/>
      </c>
      <c r="F63">
        <f>IF($D63=0,"",MAXIFS(Assessments!J:J,Assessments!G:G,$A63,Assessments!B:B,"&gt;="&amp;$B$4,Assessments!B:B,"&lt;="&amp;$B$5,Assessments!C:C,IF($E$4="",$B63,$E$4),Assessments!D:D,IF($E$5="",$C63,$E$5)))</f>
        <v/>
      </c>
      <c r="G63">
        <f>IF($D63=0,"",MINIFS(Assessments!J:J,Assessments!G:G,$A63,Assessments!B:B,"&gt;="&amp;$B$4,Assessments!B:B,"&lt;="&amp;$B$5,Assessments!C:C,IF($E$4="",$B63,$E$4),Assessments!D:D,IF($E$5="",$C63,$E$5)))</f>
        <v/>
      </c>
      <c r="H63">
        <f>IF($E63="","",RANK($E63,$E$8:$E$507,0))</f>
        <v/>
      </c>
      <c r="I63">
        <f>IF($E63="","",IF($E63&gt;=85,"Excellent",IF($E63&gt;=70,"Good",IF($E63&gt;=50,"Fair","Needs Support"))))</f>
        <v/>
      </c>
    </row>
    <row r="64">
      <c r="A64">
        <f>IF(Students!A58="","",Students!A58)</f>
        <v/>
      </c>
      <c r="B64">
        <f>IF($A64="","",Students!B58)</f>
        <v/>
      </c>
      <c r="C64">
        <f>IF($A64="","",Students!C58)</f>
        <v/>
      </c>
      <c r="D64">
        <f>IF($A64="","",COUNTIFS(Assessments!G:G,$A64,Assessments!B:B,"&gt;="&amp;$B$4,Assessments!B:B,"&lt;="&amp;$B$5,Assessments!C:C,IF($E$4="",$B64,$E$4),Assessments!D:D,IF($E$5="",$C64,$E$5)))</f>
        <v/>
      </c>
      <c r="E64">
        <f>IF($D64=0,"",ROUND(AVERAGEIFS(Assessments!J:J,Assessments!G:G,$A64,Assessments!B:B,"&gt;="&amp;$B$4,Assessments!B:B,"&lt;="&amp;$B$5,Assessments!C:C,IF($E$4="",$B64,$E$4),Assessments!D:D,IF($E$5="",$C64,$E$5)),0))</f>
        <v/>
      </c>
      <c r="F64">
        <f>IF($D64=0,"",MAXIFS(Assessments!J:J,Assessments!G:G,$A64,Assessments!B:B,"&gt;="&amp;$B$4,Assessments!B:B,"&lt;="&amp;$B$5,Assessments!C:C,IF($E$4="",$B64,$E$4),Assessments!D:D,IF($E$5="",$C64,$E$5)))</f>
        <v/>
      </c>
      <c r="G64">
        <f>IF($D64=0,"",MINIFS(Assessments!J:J,Assessments!G:G,$A64,Assessments!B:B,"&gt;="&amp;$B$4,Assessments!B:B,"&lt;="&amp;$B$5,Assessments!C:C,IF($E$4="",$B64,$E$4),Assessments!D:D,IF($E$5="",$C64,$E$5)))</f>
        <v/>
      </c>
      <c r="H64">
        <f>IF($E64="","",RANK($E64,$E$8:$E$507,0))</f>
        <v/>
      </c>
      <c r="I64">
        <f>IF($E64="","",IF($E64&gt;=85,"Excellent",IF($E64&gt;=70,"Good",IF($E64&gt;=50,"Fair","Needs Support"))))</f>
        <v/>
      </c>
    </row>
    <row r="65">
      <c r="A65">
        <f>IF(Students!A59="","",Students!A59)</f>
        <v/>
      </c>
      <c r="B65">
        <f>IF($A65="","",Students!B59)</f>
        <v/>
      </c>
      <c r="C65">
        <f>IF($A65="","",Students!C59)</f>
        <v/>
      </c>
      <c r="D65">
        <f>IF($A65="","",COUNTIFS(Assessments!G:G,$A65,Assessments!B:B,"&gt;="&amp;$B$4,Assessments!B:B,"&lt;="&amp;$B$5,Assessments!C:C,IF($E$4="",$B65,$E$4),Assessments!D:D,IF($E$5="",$C65,$E$5)))</f>
        <v/>
      </c>
      <c r="E65">
        <f>IF($D65=0,"",ROUND(AVERAGEIFS(Assessments!J:J,Assessments!G:G,$A65,Assessments!B:B,"&gt;="&amp;$B$4,Assessments!B:B,"&lt;="&amp;$B$5,Assessments!C:C,IF($E$4="",$B65,$E$4),Assessments!D:D,IF($E$5="",$C65,$E$5)),0))</f>
        <v/>
      </c>
      <c r="F65">
        <f>IF($D65=0,"",MAXIFS(Assessments!J:J,Assessments!G:G,$A65,Assessments!B:B,"&gt;="&amp;$B$4,Assessments!B:B,"&lt;="&amp;$B$5,Assessments!C:C,IF($E$4="",$B65,$E$4),Assessments!D:D,IF($E$5="",$C65,$E$5)))</f>
        <v/>
      </c>
      <c r="G65">
        <f>IF($D65=0,"",MINIFS(Assessments!J:J,Assessments!G:G,$A65,Assessments!B:B,"&gt;="&amp;$B$4,Assessments!B:B,"&lt;="&amp;$B$5,Assessments!C:C,IF($E$4="",$B65,$E$4),Assessments!D:D,IF($E$5="",$C65,$E$5)))</f>
        <v/>
      </c>
      <c r="H65">
        <f>IF($E65="","",RANK($E65,$E$8:$E$507,0))</f>
        <v/>
      </c>
      <c r="I65">
        <f>IF($E65="","",IF($E65&gt;=85,"Excellent",IF($E65&gt;=70,"Good",IF($E65&gt;=50,"Fair","Needs Support"))))</f>
        <v/>
      </c>
    </row>
    <row r="66">
      <c r="A66">
        <f>IF(Students!A60="","",Students!A60)</f>
        <v/>
      </c>
      <c r="B66">
        <f>IF($A66="","",Students!B60)</f>
        <v/>
      </c>
      <c r="C66">
        <f>IF($A66="","",Students!C60)</f>
        <v/>
      </c>
      <c r="D66">
        <f>IF($A66="","",COUNTIFS(Assessments!G:G,$A66,Assessments!B:B,"&gt;="&amp;$B$4,Assessments!B:B,"&lt;="&amp;$B$5,Assessments!C:C,IF($E$4="",$B66,$E$4),Assessments!D:D,IF($E$5="",$C66,$E$5)))</f>
        <v/>
      </c>
      <c r="E66">
        <f>IF($D66=0,"",ROUND(AVERAGEIFS(Assessments!J:J,Assessments!G:G,$A66,Assessments!B:B,"&gt;="&amp;$B$4,Assessments!B:B,"&lt;="&amp;$B$5,Assessments!C:C,IF($E$4="",$B66,$E$4),Assessments!D:D,IF($E$5="",$C66,$E$5)),0))</f>
        <v/>
      </c>
      <c r="F66">
        <f>IF($D66=0,"",MAXIFS(Assessments!J:J,Assessments!G:G,$A66,Assessments!B:B,"&gt;="&amp;$B$4,Assessments!B:B,"&lt;="&amp;$B$5,Assessments!C:C,IF($E$4="",$B66,$E$4),Assessments!D:D,IF($E$5="",$C66,$E$5)))</f>
        <v/>
      </c>
      <c r="G66">
        <f>IF($D66=0,"",MINIFS(Assessments!J:J,Assessments!G:G,$A66,Assessments!B:B,"&gt;="&amp;$B$4,Assessments!B:B,"&lt;="&amp;$B$5,Assessments!C:C,IF($E$4="",$B66,$E$4),Assessments!D:D,IF($E$5="",$C66,$E$5)))</f>
        <v/>
      </c>
      <c r="H66">
        <f>IF($E66="","",RANK($E66,$E$8:$E$507,0))</f>
        <v/>
      </c>
      <c r="I66">
        <f>IF($E66="","",IF($E66&gt;=85,"Excellent",IF($E66&gt;=70,"Good",IF($E66&gt;=50,"Fair","Needs Support"))))</f>
        <v/>
      </c>
    </row>
    <row r="67">
      <c r="A67">
        <f>IF(Students!A61="","",Students!A61)</f>
        <v/>
      </c>
      <c r="B67">
        <f>IF($A67="","",Students!B61)</f>
        <v/>
      </c>
      <c r="C67">
        <f>IF($A67="","",Students!C61)</f>
        <v/>
      </c>
      <c r="D67">
        <f>IF($A67="","",COUNTIFS(Assessments!G:G,$A67,Assessments!B:B,"&gt;="&amp;$B$4,Assessments!B:B,"&lt;="&amp;$B$5,Assessments!C:C,IF($E$4="",$B67,$E$4),Assessments!D:D,IF($E$5="",$C67,$E$5)))</f>
        <v/>
      </c>
      <c r="E67">
        <f>IF($D67=0,"",ROUND(AVERAGEIFS(Assessments!J:J,Assessments!G:G,$A67,Assessments!B:B,"&gt;="&amp;$B$4,Assessments!B:B,"&lt;="&amp;$B$5,Assessments!C:C,IF($E$4="",$B67,$E$4),Assessments!D:D,IF($E$5="",$C67,$E$5)),0))</f>
        <v/>
      </c>
      <c r="F67">
        <f>IF($D67=0,"",MAXIFS(Assessments!J:J,Assessments!G:G,$A67,Assessments!B:B,"&gt;="&amp;$B$4,Assessments!B:B,"&lt;="&amp;$B$5,Assessments!C:C,IF($E$4="",$B67,$E$4),Assessments!D:D,IF($E$5="",$C67,$E$5)))</f>
        <v/>
      </c>
      <c r="G67">
        <f>IF($D67=0,"",MINIFS(Assessments!J:J,Assessments!G:G,$A67,Assessments!B:B,"&gt;="&amp;$B$4,Assessments!B:B,"&lt;="&amp;$B$5,Assessments!C:C,IF($E$4="",$B67,$E$4),Assessments!D:D,IF($E$5="",$C67,$E$5)))</f>
        <v/>
      </c>
      <c r="H67">
        <f>IF($E67="","",RANK($E67,$E$8:$E$507,0))</f>
        <v/>
      </c>
      <c r="I67">
        <f>IF($E67="","",IF($E67&gt;=85,"Excellent",IF($E67&gt;=70,"Good",IF($E67&gt;=50,"Fair","Needs Support"))))</f>
        <v/>
      </c>
    </row>
    <row r="68">
      <c r="A68">
        <f>IF(Students!A62="","",Students!A62)</f>
        <v/>
      </c>
      <c r="B68">
        <f>IF($A68="","",Students!B62)</f>
        <v/>
      </c>
      <c r="C68">
        <f>IF($A68="","",Students!C62)</f>
        <v/>
      </c>
      <c r="D68">
        <f>IF($A68="","",COUNTIFS(Assessments!G:G,$A68,Assessments!B:B,"&gt;="&amp;$B$4,Assessments!B:B,"&lt;="&amp;$B$5,Assessments!C:C,IF($E$4="",$B68,$E$4),Assessments!D:D,IF($E$5="",$C68,$E$5)))</f>
        <v/>
      </c>
      <c r="E68">
        <f>IF($D68=0,"",ROUND(AVERAGEIFS(Assessments!J:J,Assessments!G:G,$A68,Assessments!B:B,"&gt;="&amp;$B$4,Assessments!B:B,"&lt;="&amp;$B$5,Assessments!C:C,IF($E$4="",$B68,$E$4),Assessments!D:D,IF($E$5="",$C68,$E$5)),0))</f>
        <v/>
      </c>
      <c r="F68">
        <f>IF($D68=0,"",MAXIFS(Assessments!J:J,Assessments!G:G,$A68,Assessments!B:B,"&gt;="&amp;$B$4,Assessments!B:B,"&lt;="&amp;$B$5,Assessments!C:C,IF($E$4="",$B68,$E$4),Assessments!D:D,IF($E$5="",$C68,$E$5)))</f>
        <v/>
      </c>
      <c r="G68">
        <f>IF($D68=0,"",MINIFS(Assessments!J:J,Assessments!G:G,$A68,Assessments!B:B,"&gt;="&amp;$B$4,Assessments!B:B,"&lt;="&amp;$B$5,Assessments!C:C,IF($E$4="",$B68,$E$4),Assessments!D:D,IF($E$5="",$C68,$E$5)))</f>
        <v/>
      </c>
      <c r="H68">
        <f>IF($E68="","",RANK($E68,$E$8:$E$507,0))</f>
        <v/>
      </c>
      <c r="I68">
        <f>IF($E68="","",IF($E68&gt;=85,"Excellent",IF($E68&gt;=70,"Good",IF($E68&gt;=50,"Fair","Needs Support"))))</f>
        <v/>
      </c>
    </row>
    <row r="69">
      <c r="A69">
        <f>IF(Students!A63="","",Students!A63)</f>
        <v/>
      </c>
      <c r="B69">
        <f>IF($A69="","",Students!B63)</f>
        <v/>
      </c>
      <c r="C69">
        <f>IF($A69="","",Students!C63)</f>
        <v/>
      </c>
      <c r="D69">
        <f>IF($A69="","",COUNTIFS(Assessments!G:G,$A69,Assessments!B:B,"&gt;="&amp;$B$4,Assessments!B:B,"&lt;="&amp;$B$5,Assessments!C:C,IF($E$4="",$B69,$E$4),Assessments!D:D,IF($E$5="",$C69,$E$5)))</f>
        <v/>
      </c>
      <c r="E69">
        <f>IF($D69=0,"",ROUND(AVERAGEIFS(Assessments!J:J,Assessments!G:G,$A69,Assessments!B:B,"&gt;="&amp;$B$4,Assessments!B:B,"&lt;="&amp;$B$5,Assessments!C:C,IF($E$4="",$B69,$E$4),Assessments!D:D,IF($E$5="",$C69,$E$5)),0))</f>
        <v/>
      </c>
      <c r="F69">
        <f>IF($D69=0,"",MAXIFS(Assessments!J:J,Assessments!G:G,$A69,Assessments!B:B,"&gt;="&amp;$B$4,Assessments!B:B,"&lt;="&amp;$B$5,Assessments!C:C,IF($E$4="",$B69,$E$4),Assessments!D:D,IF($E$5="",$C69,$E$5)))</f>
        <v/>
      </c>
      <c r="G69">
        <f>IF($D69=0,"",MINIFS(Assessments!J:J,Assessments!G:G,$A69,Assessments!B:B,"&gt;="&amp;$B$4,Assessments!B:B,"&lt;="&amp;$B$5,Assessments!C:C,IF($E$4="",$B69,$E$4),Assessments!D:D,IF($E$5="",$C69,$E$5)))</f>
        <v/>
      </c>
      <c r="H69">
        <f>IF($E69="","",RANK($E69,$E$8:$E$507,0))</f>
        <v/>
      </c>
      <c r="I69">
        <f>IF($E69="","",IF($E69&gt;=85,"Excellent",IF($E69&gt;=70,"Good",IF($E69&gt;=50,"Fair","Needs Support"))))</f>
        <v/>
      </c>
    </row>
    <row r="70">
      <c r="A70">
        <f>IF(Students!A64="","",Students!A64)</f>
        <v/>
      </c>
      <c r="B70">
        <f>IF($A70="","",Students!B64)</f>
        <v/>
      </c>
      <c r="C70">
        <f>IF($A70="","",Students!C64)</f>
        <v/>
      </c>
      <c r="D70">
        <f>IF($A70="","",COUNTIFS(Assessments!G:G,$A70,Assessments!B:B,"&gt;="&amp;$B$4,Assessments!B:B,"&lt;="&amp;$B$5,Assessments!C:C,IF($E$4="",$B70,$E$4),Assessments!D:D,IF($E$5="",$C70,$E$5)))</f>
        <v/>
      </c>
      <c r="E70">
        <f>IF($D70=0,"",ROUND(AVERAGEIFS(Assessments!J:J,Assessments!G:G,$A70,Assessments!B:B,"&gt;="&amp;$B$4,Assessments!B:B,"&lt;="&amp;$B$5,Assessments!C:C,IF($E$4="",$B70,$E$4),Assessments!D:D,IF($E$5="",$C70,$E$5)),0))</f>
        <v/>
      </c>
      <c r="F70">
        <f>IF($D70=0,"",MAXIFS(Assessments!J:J,Assessments!G:G,$A70,Assessments!B:B,"&gt;="&amp;$B$4,Assessments!B:B,"&lt;="&amp;$B$5,Assessments!C:C,IF($E$4="",$B70,$E$4),Assessments!D:D,IF($E$5="",$C70,$E$5)))</f>
        <v/>
      </c>
      <c r="G70">
        <f>IF($D70=0,"",MINIFS(Assessments!J:J,Assessments!G:G,$A70,Assessments!B:B,"&gt;="&amp;$B$4,Assessments!B:B,"&lt;="&amp;$B$5,Assessments!C:C,IF($E$4="",$B70,$E$4),Assessments!D:D,IF($E$5="",$C70,$E$5)))</f>
        <v/>
      </c>
      <c r="H70">
        <f>IF($E70="","",RANK($E70,$E$8:$E$507,0))</f>
        <v/>
      </c>
      <c r="I70">
        <f>IF($E70="","",IF($E70&gt;=85,"Excellent",IF($E70&gt;=70,"Good",IF($E70&gt;=50,"Fair","Needs Support"))))</f>
        <v/>
      </c>
    </row>
    <row r="71">
      <c r="A71">
        <f>IF(Students!A65="","",Students!A65)</f>
        <v/>
      </c>
      <c r="B71">
        <f>IF($A71="","",Students!B65)</f>
        <v/>
      </c>
      <c r="C71">
        <f>IF($A71="","",Students!C65)</f>
        <v/>
      </c>
      <c r="D71">
        <f>IF($A71="","",COUNTIFS(Assessments!G:G,$A71,Assessments!B:B,"&gt;="&amp;$B$4,Assessments!B:B,"&lt;="&amp;$B$5,Assessments!C:C,IF($E$4="",$B71,$E$4),Assessments!D:D,IF($E$5="",$C71,$E$5)))</f>
        <v/>
      </c>
      <c r="E71">
        <f>IF($D71=0,"",ROUND(AVERAGEIFS(Assessments!J:J,Assessments!G:G,$A71,Assessments!B:B,"&gt;="&amp;$B$4,Assessments!B:B,"&lt;="&amp;$B$5,Assessments!C:C,IF($E$4="",$B71,$E$4),Assessments!D:D,IF($E$5="",$C71,$E$5)),0))</f>
        <v/>
      </c>
      <c r="F71">
        <f>IF($D71=0,"",MAXIFS(Assessments!J:J,Assessments!G:G,$A71,Assessments!B:B,"&gt;="&amp;$B$4,Assessments!B:B,"&lt;="&amp;$B$5,Assessments!C:C,IF($E$4="",$B71,$E$4),Assessments!D:D,IF($E$5="",$C71,$E$5)))</f>
        <v/>
      </c>
      <c r="G71">
        <f>IF($D71=0,"",MINIFS(Assessments!J:J,Assessments!G:G,$A71,Assessments!B:B,"&gt;="&amp;$B$4,Assessments!B:B,"&lt;="&amp;$B$5,Assessments!C:C,IF($E$4="",$B71,$E$4),Assessments!D:D,IF($E$5="",$C71,$E$5)))</f>
        <v/>
      </c>
      <c r="H71">
        <f>IF($E71="","",RANK($E71,$E$8:$E$507,0))</f>
        <v/>
      </c>
      <c r="I71">
        <f>IF($E71="","",IF($E71&gt;=85,"Excellent",IF($E71&gt;=70,"Good",IF($E71&gt;=50,"Fair","Needs Support"))))</f>
        <v/>
      </c>
    </row>
    <row r="72">
      <c r="A72">
        <f>IF(Students!A66="","",Students!A66)</f>
        <v/>
      </c>
      <c r="B72">
        <f>IF($A72="","",Students!B66)</f>
        <v/>
      </c>
      <c r="C72">
        <f>IF($A72="","",Students!C66)</f>
        <v/>
      </c>
      <c r="D72">
        <f>IF($A72="","",COUNTIFS(Assessments!G:G,$A72,Assessments!B:B,"&gt;="&amp;$B$4,Assessments!B:B,"&lt;="&amp;$B$5,Assessments!C:C,IF($E$4="",$B72,$E$4),Assessments!D:D,IF($E$5="",$C72,$E$5)))</f>
        <v/>
      </c>
      <c r="E72">
        <f>IF($D72=0,"",ROUND(AVERAGEIFS(Assessments!J:J,Assessments!G:G,$A72,Assessments!B:B,"&gt;="&amp;$B$4,Assessments!B:B,"&lt;="&amp;$B$5,Assessments!C:C,IF($E$4="",$B72,$E$4),Assessments!D:D,IF($E$5="",$C72,$E$5)),0))</f>
        <v/>
      </c>
      <c r="F72">
        <f>IF($D72=0,"",MAXIFS(Assessments!J:J,Assessments!G:G,$A72,Assessments!B:B,"&gt;="&amp;$B$4,Assessments!B:B,"&lt;="&amp;$B$5,Assessments!C:C,IF($E$4="",$B72,$E$4),Assessments!D:D,IF($E$5="",$C72,$E$5)))</f>
        <v/>
      </c>
      <c r="G72">
        <f>IF($D72=0,"",MINIFS(Assessments!J:J,Assessments!G:G,$A72,Assessments!B:B,"&gt;="&amp;$B$4,Assessments!B:B,"&lt;="&amp;$B$5,Assessments!C:C,IF($E$4="",$B72,$E$4),Assessments!D:D,IF($E$5="",$C72,$E$5)))</f>
        <v/>
      </c>
      <c r="H72">
        <f>IF($E72="","",RANK($E72,$E$8:$E$507,0))</f>
        <v/>
      </c>
      <c r="I72">
        <f>IF($E72="","",IF($E72&gt;=85,"Excellent",IF($E72&gt;=70,"Good",IF($E72&gt;=50,"Fair","Needs Support"))))</f>
        <v/>
      </c>
    </row>
    <row r="73">
      <c r="A73">
        <f>IF(Students!A67="","",Students!A67)</f>
        <v/>
      </c>
      <c r="B73">
        <f>IF($A73="","",Students!B67)</f>
        <v/>
      </c>
      <c r="C73">
        <f>IF($A73="","",Students!C67)</f>
        <v/>
      </c>
      <c r="D73">
        <f>IF($A73="","",COUNTIFS(Assessments!G:G,$A73,Assessments!B:B,"&gt;="&amp;$B$4,Assessments!B:B,"&lt;="&amp;$B$5,Assessments!C:C,IF($E$4="",$B73,$E$4),Assessments!D:D,IF($E$5="",$C73,$E$5)))</f>
        <v/>
      </c>
      <c r="E73">
        <f>IF($D73=0,"",ROUND(AVERAGEIFS(Assessments!J:J,Assessments!G:G,$A73,Assessments!B:B,"&gt;="&amp;$B$4,Assessments!B:B,"&lt;="&amp;$B$5,Assessments!C:C,IF($E$4="",$B73,$E$4),Assessments!D:D,IF($E$5="",$C73,$E$5)),0))</f>
        <v/>
      </c>
      <c r="F73">
        <f>IF($D73=0,"",MAXIFS(Assessments!J:J,Assessments!G:G,$A73,Assessments!B:B,"&gt;="&amp;$B$4,Assessments!B:B,"&lt;="&amp;$B$5,Assessments!C:C,IF($E$4="",$B73,$E$4),Assessments!D:D,IF($E$5="",$C73,$E$5)))</f>
        <v/>
      </c>
      <c r="G73">
        <f>IF($D73=0,"",MINIFS(Assessments!J:J,Assessments!G:G,$A73,Assessments!B:B,"&gt;="&amp;$B$4,Assessments!B:B,"&lt;="&amp;$B$5,Assessments!C:C,IF($E$4="",$B73,$E$4),Assessments!D:D,IF($E$5="",$C73,$E$5)))</f>
        <v/>
      </c>
      <c r="H73">
        <f>IF($E73="","",RANK($E73,$E$8:$E$507,0))</f>
        <v/>
      </c>
      <c r="I73">
        <f>IF($E73="","",IF($E73&gt;=85,"Excellent",IF($E73&gt;=70,"Good",IF($E73&gt;=50,"Fair","Needs Support"))))</f>
        <v/>
      </c>
    </row>
    <row r="74">
      <c r="A74">
        <f>IF(Students!A68="","",Students!A68)</f>
        <v/>
      </c>
      <c r="B74">
        <f>IF($A74="","",Students!B68)</f>
        <v/>
      </c>
      <c r="C74">
        <f>IF($A74="","",Students!C68)</f>
        <v/>
      </c>
      <c r="D74">
        <f>IF($A74="","",COUNTIFS(Assessments!G:G,$A74,Assessments!B:B,"&gt;="&amp;$B$4,Assessments!B:B,"&lt;="&amp;$B$5,Assessments!C:C,IF($E$4="",$B74,$E$4),Assessments!D:D,IF($E$5="",$C74,$E$5)))</f>
        <v/>
      </c>
      <c r="E74">
        <f>IF($D74=0,"",ROUND(AVERAGEIFS(Assessments!J:J,Assessments!G:G,$A74,Assessments!B:B,"&gt;="&amp;$B$4,Assessments!B:B,"&lt;="&amp;$B$5,Assessments!C:C,IF($E$4="",$B74,$E$4),Assessments!D:D,IF($E$5="",$C74,$E$5)),0))</f>
        <v/>
      </c>
      <c r="F74">
        <f>IF($D74=0,"",MAXIFS(Assessments!J:J,Assessments!G:G,$A74,Assessments!B:B,"&gt;="&amp;$B$4,Assessments!B:B,"&lt;="&amp;$B$5,Assessments!C:C,IF($E$4="",$B74,$E$4),Assessments!D:D,IF($E$5="",$C74,$E$5)))</f>
        <v/>
      </c>
      <c r="G74">
        <f>IF($D74=0,"",MINIFS(Assessments!J:J,Assessments!G:G,$A74,Assessments!B:B,"&gt;="&amp;$B$4,Assessments!B:B,"&lt;="&amp;$B$5,Assessments!C:C,IF($E$4="",$B74,$E$4),Assessments!D:D,IF($E$5="",$C74,$E$5)))</f>
        <v/>
      </c>
      <c r="H74">
        <f>IF($E74="","",RANK($E74,$E$8:$E$507,0))</f>
        <v/>
      </c>
      <c r="I74">
        <f>IF($E74="","",IF($E74&gt;=85,"Excellent",IF($E74&gt;=70,"Good",IF($E74&gt;=50,"Fair","Needs Support"))))</f>
        <v/>
      </c>
    </row>
    <row r="75">
      <c r="A75">
        <f>IF(Students!A69="","",Students!A69)</f>
        <v/>
      </c>
      <c r="B75">
        <f>IF($A75="","",Students!B69)</f>
        <v/>
      </c>
      <c r="C75">
        <f>IF($A75="","",Students!C69)</f>
        <v/>
      </c>
      <c r="D75">
        <f>IF($A75="","",COUNTIFS(Assessments!G:G,$A75,Assessments!B:B,"&gt;="&amp;$B$4,Assessments!B:B,"&lt;="&amp;$B$5,Assessments!C:C,IF($E$4="",$B75,$E$4),Assessments!D:D,IF($E$5="",$C75,$E$5)))</f>
        <v/>
      </c>
      <c r="E75">
        <f>IF($D75=0,"",ROUND(AVERAGEIFS(Assessments!J:J,Assessments!G:G,$A75,Assessments!B:B,"&gt;="&amp;$B$4,Assessments!B:B,"&lt;="&amp;$B$5,Assessments!C:C,IF($E$4="",$B75,$E$4),Assessments!D:D,IF($E$5="",$C75,$E$5)),0))</f>
        <v/>
      </c>
      <c r="F75">
        <f>IF($D75=0,"",MAXIFS(Assessments!J:J,Assessments!G:G,$A75,Assessments!B:B,"&gt;="&amp;$B$4,Assessments!B:B,"&lt;="&amp;$B$5,Assessments!C:C,IF($E$4="",$B75,$E$4),Assessments!D:D,IF($E$5="",$C75,$E$5)))</f>
        <v/>
      </c>
      <c r="G75">
        <f>IF($D75=0,"",MINIFS(Assessments!J:J,Assessments!G:G,$A75,Assessments!B:B,"&gt;="&amp;$B$4,Assessments!B:B,"&lt;="&amp;$B$5,Assessments!C:C,IF($E$4="",$B75,$E$4),Assessments!D:D,IF($E$5="",$C75,$E$5)))</f>
        <v/>
      </c>
      <c r="H75">
        <f>IF($E75="","",RANK($E75,$E$8:$E$507,0))</f>
        <v/>
      </c>
      <c r="I75">
        <f>IF($E75="","",IF($E75&gt;=85,"Excellent",IF($E75&gt;=70,"Good",IF($E75&gt;=50,"Fair","Needs Support"))))</f>
        <v/>
      </c>
    </row>
    <row r="76">
      <c r="A76">
        <f>IF(Students!A70="","",Students!A70)</f>
        <v/>
      </c>
      <c r="B76">
        <f>IF($A76="","",Students!B70)</f>
        <v/>
      </c>
      <c r="C76">
        <f>IF($A76="","",Students!C70)</f>
        <v/>
      </c>
      <c r="D76">
        <f>IF($A76="","",COUNTIFS(Assessments!G:G,$A76,Assessments!B:B,"&gt;="&amp;$B$4,Assessments!B:B,"&lt;="&amp;$B$5,Assessments!C:C,IF($E$4="",$B76,$E$4),Assessments!D:D,IF($E$5="",$C76,$E$5)))</f>
        <v/>
      </c>
      <c r="E76">
        <f>IF($D76=0,"",ROUND(AVERAGEIFS(Assessments!J:J,Assessments!G:G,$A76,Assessments!B:B,"&gt;="&amp;$B$4,Assessments!B:B,"&lt;="&amp;$B$5,Assessments!C:C,IF($E$4="",$B76,$E$4),Assessments!D:D,IF($E$5="",$C76,$E$5)),0))</f>
        <v/>
      </c>
      <c r="F76">
        <f>IF($D76=0,"",MAXIFS(Assessments!J:J,Assessments!G:G,$A76,Assessments!B:B,"&gt;="&amp;$B$4,Assessments!B:B,"&lt;="&amp;$B$5,Assessments!C:C,IF($E$4="",$B76,$E$4),Assessments!D:D,IF($E$5="",$C76,$E$5)))</f>
        <v/>
      </c>
      <c r="G76">
        <f>IF($D76=0,"",MINIFS(Assessments!J:J,Assessments!G:G,$A76,Assessments!B:B,"&gt;="&amp;$B$4,Assessments!B:B,"&lt;="&amp;$B$5,Assessments!C:C,IF($E$4="",$B76,$E$4),Assessments!D:D,IF($E$5="",$C76,$E$5)))</f>
        <v/>
      </c>
      <c r="H76">
        <f>IF($E76="","",RANK($E76,$E$8:$E$507,0))</f>
        <v/>
      </c>
      <c r="I76">
        <f>IF($E76="","",IF($E76&gt;=85,"Excellent",IF($E76&gt;=70,"Good",IF($E76&gt;=50,"Fair","Needs Support"))))</f>
        <v/>
      </c>
    </row>
    <row r="77">
      <c r="A77">
        <f>IF(Students!A71="","",Students!A71)</f>
        <v/>
      </c>
      <c r="B77">
        <f>IF($A77="","",Students!B71)</f>
        <v/>
      </c>
      <c r="C77">
        <f>IF($A77="","",Students!C71)</f>
        <v/>
      </c>
      <c r="D77">
        <f>IF($A77="","",COUNTIFS(Assessments!G:G,$A77,Assessments!B:B,"&gt;="&amp;$B$4,Assessments!B:B,"&lt;="&amp;$B$5,Assessments!C:C,IF($E$4="",$B77,$E$4),Assessments!D:D,IF($E$5="",$C77,$E$5)))</f>
        <v/>
      </c>
      <c r="E77">
        <f>IF($D77=0,"",ROUND(AVERAGEIFS(Assessments!J:J,Assessments!G:G,$A77,Assessments!B:B,"&gt;="&amp;$B$4,Assessments!B:B,"&lt;="&amp;$B$5,Assessments!C:C,IF($E$4="",$B77,$E$4),Assessments!D:D,IF($E$5="",$C77,$E$5)),0))</f>
        <v/>
      </c>
      <c r="F77">
        <f>IF($D77=0,"",MAXIFS(Assessments!J:J,Assessments!G:G,$A77,Assessments!B:B,"&gt;="&amp;$B$4,Assessments!B:B,"&lt;="&amp;$B$5,Assessments!C:C,IF($E$4="",$B77,$E$4),Assessments!D:D,IF($E$5="",$C77,$E$5)))</f>
        <v/>
      </c>
      <c r="G77">
        <f>IF($D77=0,"",MINIFS(Assessments!J:J,Assessments!G:G,$A77,Assessments!B:B,"&gt;="&amp;$B$4,Assessments!B:B,"&lt;="&amp;$B$5,Assessments!C:C,IF($E$4="",$B77,$E$4),Assessments!D:D,IF($E$5="",$C77,$E$5)))</f>
        <v/>
      </c>
      <c r="H77">
        <f>IF($E77="","",RANK($E77,$E$8:$E$507,0))</f>
        <v/>
      </c>
      <c r="I77">
        <f>IF($E77="","",IF($E77&gt;=85,"Excellent",IF($E77&gt;=70,"Good",IF($E77&gt;=50,"Fair","Needs Support"))))</f>
        <v/>
      </c>
    </row>
    <row r="78">
      <c r="A78">
        <f>IF(Students!A72="","",Students!A72)</f>
        <v/>
      </c>
      <c r="B78">
        <f>IF($A78="","",Students!B72)</f>
        <v/>
      </c>
      <c r="C78">
        <f>IF($A78="","",Students!C72)</f>
        <v/>
      </c>
      <c r="D78">
        <f>IF($A78="","",COUNTIFS(Assessments!G:G,$A78,Assessments!B:B,"&gt;="&amp;$B$4,Assessments!B:B,"&lt;="&amp;$B$5,Assessments!C:C,IF($E$4="",$B78,$E$4),Assessments!D:D,IF($E$5="",$C78,$E$5)))</f>
        <v/>
      </c>
      <c r="E78">
        <f>IF($D78=0,"",ROUND(AVERAGEIFS(Assessments!J:J,Assessments!G:G,$A78,Assessments!B:B,"&gt;="&amp;$B$4,Assessments!B:B,"&lt;="&amp;$B$5,Assessments!C:C,IF($E$4="",$B78,$E$4),Assessments!D:D,IF($E$5="",$C78,$E$5)),0))</f>
        <v/>
      </c>
      <c r="F78">
        <f>IF($D78=0,"",MAXIFS(Assessments!J:J,Assessments!G:G,$A78,Assessments!B:B,"&gt;="&amp;$B$4,Assessments!B:B,"&lt;="&amp;$B$5,Assessments!C:C,IF($E$4="",$B78,$E$4),Assessments!D:D,IF($E$5="",$C78,$E$5)))</f>
        <v/>
      </c>
      <c r="G78">
        <f>IF($D78=0,"",MINIFS(Assessments!J:J,Assessments!G:G,$A78,Assessments!B:B,"&gt;="&amp;$B$4,Assessments!B:B,"&lt;="&amp;$B$5,Assessments!C:C,IF($E$4="",$B78,$E$4),Assessments!D:D,IF($E$5="",$C78,$E$5)))</f>
        <v/>
      </c>
      <c r="H78">
        <f>IF($E78="","",RANK($E78,$E$8:$E$507,0))</f>
        <v/>
      </c>
      <c r="I78">
        <f>IF($E78="","",IF($E78&gt;=85,"Excellent",IF($E78&gt;=70,"Good",IF($E78&gt;=50,"Fair","Needs Support"))))</f>
        <v/>
      </c>
    </row>
    <row r="79">
      <c r="A79">
        <f>IF(Students!A73="","",Students!A73)</f>
        <v/>
      </c>
      <c r="B79">
        <f>IF($A79="","",Students!B73)</f>
        <v/>
      </c>
      <c r="C79">
        <f>IF($A79="","",Students!C73)</f>
        <v/>
      </c>
      <c r="D79">
        <f>IF($A79="","",COUNTIFS(Assessments!G:G,$A79,Assessments!B:B,"&gt;="&amp;$B$4,Assessments!B:B,"&lt;="&amp;$B$5,Assessments!C:C,IF($E$4="",$B79,$E$4),Assessments!D:D,IF($E$5="",$C79,$E$5)))</f>
        <v/>
      </c>
      <c r="E79">
        <f>IF($D79=0,"",ROUND(AVERAGEIFS(Assessments!J:J,Assessments!G:G,$A79,Assessments!B:B,"&gt;="&amp;$B$4,Assessments!B:B,"&lt;="&amp;$B$5,Assessments!C:C,IF($E$4="",$B79,$E$4),Assessments!D:D,IF($E$5="",$C79,$E$5)),0))</f>
        <v/>
      </c>
      <c r="F79">
        <f>IF($D79=0,"",MAXIFS(Assessments!J:J,Assessments!G:G,$A79,Assessments!B:B,"&gt;="&amp;$B$4,Assessments!B:B,"&lt;="&amp;$B$5,Assessments!C:C,IF($E$4="",$B79,$E$4),Assessments!D:D,IF($E$5="",$C79,$E$5)))</f>
        <v/>
      </c>
      <c r="G79">
        <f>IF($D79=0,"",MINIFS(Assessments!J:J,Assessments!G:G,$A79,Assessments!B:B,"&gt;="&amp;$B$4,Assessments!B:B,"&lt;="&amp;$B$5,Assessments!C:C,IF($E$4="",$B79,$E$4),Assessments!D:D,IF($E$5="",$C79,$E$5)))</f>
        <v/>
      </c>
      <c r="H79">
        <f>IF($E79="","",RANK($E79,$E$8:$E$507,0))</f>
        <v/>
      </c>
      <c r="I79">
        <f>IF($E79="","",IF($E79&gt;=85,"Excellent",IF($E79&gt;=70,"Good",IF($E79&gt;=50,"Fair","Needs Support"))))</f>
        <v/>
      </c>
    </row>
    <row r="80">
      <c r="A80">
        <f>IF(Students!A74="","",Students!A74)</f>
        <v/>
      </c>
      <c r="B80">
        <f>IF($A80="","",Students!B74)</f>
        <v/>
      </c>
      <c r="C80">
        <f>IF($A80="","",Students!C74)</f>
        <v/>
      </c>
      <c r="D80">
        <f>IF($A80="","",COUNTIFS(Assessments!G:G,$A80,Assessments!B:B,"&gt;="&amp;$B$4,Assessments!B:B,"&lt;="&amp;$B$5,Assessments!C:C,IF($E$4="",$B80,$E$4),Assessments!D:D,IF($E$5="",$C80,$E$5)))</f>
        <v/>
      </c>
      <c r="E80">
        <f>IF($D80=0,"",ROUND(AVERAGEIFS(Assessments!J:J,Assessments!G:G,$A80,Assessments!B:B,"&gt;="&amp;$B$4,Assessments!B:B,"&lt;="&amp;$B$5,Assessments!C:C,IF($E$4="",$B80,$E$4),Assessments!D:D,IF($E$5="",$C80,$E$5)),0))</f>
        <v/>
      </c>
      <c r="F80">
        <f>IF($D80=0,"",MAXIFS(Assessments!J:J,Assessments!G:G,$A80,Assessments!B:B,"&gt;="&amp;$B$4,Assessments!B:B,"&lt;="&amp;$B$5,Assessments!C:C,IF($E$4="",$B80,$E$4),Assessments!D:D,IF($E$5="",$C80,$E$5)))</f>
        <v/>
      </c>
      <c r="G80">
        <f>IF($D80=0,"",MINIFS(Assessments!J:J,Assessments!G:G,$A80,Assessments!B:B,"&gt;="&amp;$B$4,Assessments!B:B,"&lt;="&amp;$B$5,Assessments!C:C,IF($E$4="",$B80,$E$4),Assessments!D:D,IF($E$5="",$C80,$E$5)))</f>
        <v/>
      </c>
      <c r="H80">
        <f>IF($E80="","",RANK($E80,$E$8:$E$507,0))</f>
        <v/>
      </c>
      <c r="I80">
        <f>IF($E80="","",IF($E80&gt;=85,"Excellent",IF($E80&gt;=70,"Good",IF($E80&gt;=50,"Fair","Needs Support"))))</f>
        <v/>
      </c>
    </row>
    <row r="81">
      <c r="A81">
        <f>IF(Students!A75="","",Students!A75)</f>
        <v/>
      </c>
      <c r="B81">
        <f>IF($A81="","",Students!B75)</f>
        <v/>
      </c>
      <c r="C81">
        <f>IF($A81="","",Students!C75)</f>
        <v/>
      </c>
      <c r="D81">
        <f>IF($A81="","",COUNTIFS(Assessments!G:G,$A81,Assessments!B:B,"&gt;="&amp;$B$4,Assessments!B:B,"&lt;="&amp;$B$5,Assessments!C:C,IF($E$4="",$B81,$E$4),Assessments!D:D,IF($E$5="",$C81,$E$5)))</f>
        <v/>
      </c>
      <c r="E81">
        <f>IF($D81=0,"",ROUND(AVERAGEIFS(Assessments!J:J,Assessments!G:G,$A81,Assessments!B:B,"&gt;="&amp;$B$4,Assessments!B:B,"&lt;="&amp;$B$5,Assessments!C:C,IF($E$4="",$B81,$E$4),Assessments!D:D,IF($E$5="",$C81,$E$5)),0))</f>
        <v/>
      </c>
      <c r="F81">
        <f>IF($D81=0,"",MAXIFS(Assessments!J:J,Assessments!G:G,$A81,Assessments!B:B,"&gt;="&amp;$B$4,Assessments!B:B,"&lt;="&amp;$B$5,Assessments!C:C,IF($E$4="",$B81,$E$4),Assessments!D:D,IF($E$5="",$C81,$E$5)))</f>
        <v/>
      </c>
      <c r="G81">
        <f>IF($D81=0,"",MINIFS(Assessments!J:J,Assessments!G:G,$A81,Assessments!B:B,"&gt;="&amp;$B$4,Assessments!B:B,"&lt;="&amp;$B$5,Assessments!C:C,IF($E$4="",$B81,$E$4),Assessments!D:D,IF($E$5="",$C81,$E$5)))</f>
        <v/>
      </c>
      <c r="H81">
        <f>IF($E81="","",RANK($E81,$E$8:$E$507,0))</f>
        <v/>
      </c>
      <c r="I81">
        <f>IF($E81="","",IF($E81&gt;=85,"Excellent",IF($E81&gt;=70,"Good",IF($E81&gt;=50,"Fair","Needs Support"))))</f>
        <v/>
      </c>
    </row>
    <row r="82">
      <c r="A82">
        <f>IF(Students!A76="","",Students!A76)</f>
        <v/>
      </c>
      <c r="B82">
        <f>IF($A82="","",Students!B76)</f>
        <v/>
      </c>
      <c r="C82">
        <f>IF($A82="","",Students!C76)</f>
        <v/>
      </c>
      <c r="D82">
        <f>IF($A82="","",COUNTIFS(Assessments!G:G,$A82,Assessments!B:B,"&gt;="&amp;$B$4,Assessments!B:B,"&lt;="&amp;$B$5,Assessments!C:C,IF($E$4="",$B82,$E$4),Assessments!D:D,IF($E$5="",$C82,$E$5)))</f>
        <v/>
      </c>
      <c r="E82">
        <f>IF($D82=0,"",ROUND(AVERAGEIFS(Assessments!J:J,Assessments!G:G,$A82,Assessments!B:B,"&gt;="&amp;$B$4,Assessments!B:B,"&lt;="&amp;$B$5,Assessments!C:C,IF($E$4="",$B82,$E$4),Assessments!D:D,IF($E$5="",$C82,$E$5)),0))</f>
        <v/>
      </c>
      <c r="F82">
        <f>IF($D82=0,"",MAXIFS(Assessments!J:J,Assessments!G:G,$A82,Assessments!B:B,"&gt;="&amp;$B$4,Assessments!B:B,"&lt;="&amp;$B$5,Assessments!C:C,IF($E$4="",$B82,$E$4),Assessments!D:D,IF($E$5="",$C82,$E$5)))</f>
        <v/>
      </c>
      <c r="G82">
        <f>IF($D82=0,"",MINIFS(Assessments!J:J,Assessments!G:G,$A82,Assessments!B:B,"&gt;="&amp;$B$4,Assessments!B:B,"&lt;="&amp;$B$5,Assessments!C:C,IF($E$4="",$B82,$E$4),Assessments!D:D,IF($E$5="",$C82,$E$5)))</f>
        <v/>
      </c>
      <c r="H82">
        <f>IF($E82="","",RANK($E82,$E$8:$E$507,0))</f>
        <v/>
      </c>
      <c r="I82">
        <f>IF($E82="","",IF($E82&gt;=85,"Excellent",IF($E82&gt;=70,"Good",IF($E82&gt;=50,"Fair","Needs Support"))))</f>
        <v/>
      </c>
    </row>
    <row r="83">
      <c r="A83">
        <f>IF(Students!A77="","",Students!A77)</f>
        <v/>
      </c>
      <c r="B83">
        <f>IF($A83="","",Students!B77)</f>
        <v/>
      </c>
      <c r="C83">
        <f>IF($A83="","",Students!C77)</f>
        <v/>
      </c>
      <c r="D83">
        <f>IF($A83="","",COUNTIFS(Assessments!G:G,$A83,Assessments!B:B,"&gt;="&amp;$B$4,Assessments!B:B,"&lt;="&amp;$B$5,Assessments!C:C,IF($E$4="",$B83,$E$4),Assessments!D:D,IF($E$5="",$C83,$E$5)))</f>
        <v/>
      </c>
      <c r="E83">
        <f>IF($D83=0,"",ROUND(AVERAGEIFS(Assessments!J:J,Assessments!G:G,$A83,Assessments!B:B,"&gt;="&amp;$B$4,Assessments!B:B,"&lt;="&amp;$B$5,Assessments!C:C,IF($E$4="",$B83,$E$4),Assessments!D:D,IF($E$5="",$C83,$E$5)),0))</f>
        <v/>
      </c>
      <c r="F83">
        <f>IF($D83=0,"",MAXIFS(Assessments!J:J,Assessments!G:G,$A83,Assessments!B:B,"&gt;="&amp;$B$4,Assessments!B:B,"&lt;="&amp;$B$5,Assessments!C:C,IF($E$4="",$B83,$E$4),Assessments!D:D,IF($E$5="",$C83,$E$5)))</f>
        <v/>
      </c>
      <c r="G83">
        <f>IF($D83=0,"",MINIFS(Assessments!J:J,Assessments!G:G,$A83,Assessments!B:B,"&gt;="&amp;$B$4,Assessments!B:B,"&lt;="&amp;$B$5,Assessments!C:C,IF($E$4="",$B83,$E$4),Assessments!D:D,IF($E$5="",$C83,$E$5)))</f>
        <v/>
      </c>
      <c r="H83">
        <f>IF($E83="","",RANK($E83,$E$8:$E$507,0))</f>
        <v/>
      </c>
      <c r="I83">
        <f>IF($E83="","",IF($E83&gt;=85,"Excellent",IF($E83&gt;=70,"Good",IF($E83&gt;=50,"Fair","Needs Support"))))</f>
        <v/>
      </c>
    </row>
    <row r="84">
      <c r="A84">
        <f>IF(Students!A78="","",Students!A78)</f>
        <v/>
      </c>
      <c r="B84">
        <f>IF($A84="","",Students!B78)</f>
        <v/>
      </c>
      <c r="C84">
        <f>IF($A84="","",Students!C78)</f>
        <v/>
      </c>
      <c r="D84">
        <f>IF($A84="","",COUNTIFS(Assessments!G:G,$A84,Assessments!B:B,"&gt;="&amp;$B$4,Assessments!B:B,"&lt;="&amp;$B$5,Assessments!C:C,IF($E$4="",$B84,$E$4),Assessments!D:D,IF($E$5="",$C84,$E$5)))</f>
        <v/>
      </c>
      <c r="E84">
        <f>IF($D84=0,"",ROUND(AVERAGEIFS(Assessments!J:J,Assessments!G:G,$A84,Assessments!B:B,"&gt;="&amp;$B$4,Assessments!B:B,"&lt;="&amp;$B$5,Assessments!C:C,IF($E$4="",$B84,$E$4),Assessments!D:D,IF($E$5="",$C84,$E$5)),0))</f>
        <v/>
      </c>
      <c r="F84">
        <f>IF($D84=0,"",MAXIFS(Assessments!J:J,Assessments!G:G,$A84,Assessments!B:B,"&gt;="&amp;$B$4,Assessments!B:B,"&lt;="&amp;$B$5,Assessments!C:C,IF($E$4="",$B84,$E$4),Assessments!D:D,IF($E$5="",$C84,$E$5)))</f>
        <v/>
      </c>
      <c r="G84">
        <f>IF($D84=0,"",MINIFS(Assessments!J:J,Assessments!G:G,$A84,Assessments!B:B,"&gt;="&amp;$B$4,Assessments!B:B,"&lt;="&amp;$B$5,Assessments!C:C,IF($E$4="",$B84,$E$4),Assessments!D:D,IF($E$5="",$C84,$E$5)))</f>
        <v/>
      </c>
      <c r="H84">
        <f>IF($E84="","",RANK($E84,$E$8:$E$507,0))</f>
        <v/>
      </c>
      <c r="I84">
        <f>IF($E84="","",IF($E84&gt;=85,"Excellent",IF($E84&gt;=70,"Good",IF($E84&gt;=50,"Fair","Needs Support"))))</f>
        <v/>
      </c>
    </row>
    <row r="85">
      <c r="A85">
        <f>IF(Students!A79="","",Students!A79)</f>
        <v/>
      </c>
      <c r="B85">
        <f>IF($A85="","",Students!B79)</f>
        <v/>
      </c>
      <c r="C85">
        <f>IF($A85="","",Students!C79)</f>
        <v/>
      </c>
      <c r="D85">
        <f>IF($A85="","",COUNTIFS(Assessments!G:G,$A85,Assessments!B:B,"&gt;="&amp;$B$4,Assessments!B:B,"&lt;="&amp;$B$5,Assessments!C:C,IF($E$4="",$B85,$E$4),Assessments!D:D,IF($E$5="",$C85,$E$5)))</f>
        <v/>
      </c>
      <c r="E85">
        <f>IF($D85=0,"",ROUND(AVERAGEIFS(Assessments!J:J,Assessments!G:G,$A85,Assessments!B:B,"&gt;="&amp;$B$4,Assessments!B:B,"&lt;="&amp;$B$5,Assessments!C:C,IF($E$4="",$B85,$E$4),Assessments!D:D,IF($E$5="",$C85,$E$5)),0))</f>
        <v/>
      </c>
      <c r="F85">
        <f>IF($D85=0,"",MAXIFS(Assessments!J:J,Assessments!G:G,$A85,Assessments!B:B,"&gt;="&amp;$B$4,Assessments!B:B,"&lt;="&amp;$B$5,Assessments!C:C,IF($E$4="",$B85,$E$4),Assessments!D:D,IF($E$5="",$C85,$E$5)))</f>
        <v/>
      </c>
      <c r="G85">
        <f>IF($D85=0,"",MINIFS(Assessments!J:J,Assessments!G:G,$A85,Assessments!B:B,"&gt;="&amp;$B$4,Assessments!B:B,"&lt;="&amp;$B$5,Assessments!C:C,IF($E$4="",$B85,$E$4),Assessments!D:D,IF($E$5="",$C85,$E$5)))</f>
        <v/>
      </c>
      <c r="H85">
        <f>IF($E85="","",RANK($E85,$E$8:$E$507,0))</f>
        <v/>
      </c>
      <c r="I85">
        <f>IF($E85="","",IF($E85&gt;=85,"Excellent",IF($E85&gt;=70,"Good",IF($E85&gt;=50,"Fair","Needs Support"))))</f>
        <v/>
      </c>
    </row>
    <row r="86">
      <c r="A86">
        <f>IF(Students!A80="","",Students!A80)</f>
        <v/>
      </c>
      <c r="B86">
        <f>IF($A86="","",Students!B80)</f>
        <v/>
      </c>
      <c r="C86">
        <f>IF($A86="","",Students!C80)</f>
        <v/>
      </c>
      <c r="D86">
        <f>IF($A86="","",COUNTIFS(Assessments!G:G,$A86,Assessments!B:B,"&gt;="&amp;$B$4,Assessments!B:B,"&lt;="&amp;$B$5,Assessments!C:C,IF($E$4="",$B86,$E$4),Assessments!D:D,IF($E$5="",$C86,$E$5)))</f>
        <v/>
      </c>
      <c r="E86">
        <f>IF($D86=0,"",ROUND(AVERAGEIFS(Assessments!J:J,Assessments!G:G,$A86,Assessments!B:B,"&gt;="&amp;$B$4,Assessments!B:B,"&lt;="&amp;$B$5,Assessments!C:C,IF($E$4="",$B86,$E$4),Assessments!D:D,IF($E$5="",$C86,$E$5)),0))</f>
        <v/>
      </c>
      <c r="F86">
        <f>IF($D86=0,"",MAXIFS(Assessments!J:J,Assessments!G:G,$A86,Assessments!B:B,"&gt;="&amp;$B$4,Assessments!B:B,"&lt;="&amp;$B$5,Assessments!C:C,IF($E$4="",$B86,$E$4),Assessments!D:D,IF($E$5="",$C86,$E$5)))</f>
        <v/>
      </c>
      <c r="G86">
        <f>IF($D86=0,"",MINIFS(Assessments!J:J,Assessments!G:G,$A86,Assessments!B:B,"&gt;="&amp;$B$4,Assessments!B:B,"&lt;="&amp;$B$5,Assessments!C:C,IF($E$4="",$B86,$E$4),Assessments!D:D,IF($E$5="",$C86,$E$5)))</f>
        <v/>
      </c>
      <c r="H86">
        <f>IF($E86="","",RANK($E86,$E$8:$E$507,0))</f>
        <v/>
      </c>
      <c r="I86">
        <f>IF($E86="","",IF($E86&gt;=85,"Excellent",IF($E86&gt;=70,"Good",IF($E86&gt;=50,"Fair","Needs Support"))))</f>
        <v/>
      </c>
    </row>
    <row r="87">
      <c r="A87">
        <f>IF(Students!A81="","",Students!A81)</f>
        <v/>
      </c>
      <c r="B87">
        <f>IF($A87="","",Students!B81)</f>
        <v/>
      </c>
      <c r="C87">
        <f>IF($A87="","",Students!C81)</f>
        <v/>
      </c>
      <c r="D87">
        <f>IF($A87="","",COUNTIFS(Assessments!G:G,$A87,Assessments!B:B,"&gt;="&amp;$B$4,Assessments!B:B,"&lt;="&amp;$B$5,Assessments!C:C,IF($E$4="",$B87,$E$4),Assessments!D:D,IF($E$5="",$C87,$E$5)))</f>
        <v/>
      </c>
      <c r="E87">
        <f>IF($D87=0,"",ROUND(AVERAGEIFS(Assessments!J:J,Assessments!G:G,$A87,Assessments!B:B,"&gt;="&amp;$B$4,Assessments!B:B,"&lt;="&amp;$B$5,Assessments!C:C,IF($E$4="",$B87,$E$4),Assessments!D:D,IF($E$5="",$C87,$E$5)),0))</f>
        <v/>
      </c>
      <c r="F87">
        <f>IF($D87=0,"",MAXIFS(Assessments!J:J,Assessments!G:G,$A87,Assessments!B:B,"&gt;="&amp;$B$4,Assessments!B:B,"&lt;="&amp;$B$5,Assessments!C:C,IF($E$4="",$B87,$E$4),Assessments!D:D,IF($E$5="",$C87,$E$5)))</f>
        <v/>
      </c>
      <c r="G87">
        <f>IF($D87=0,"",MINIFS(Assessments!J:J,Assessments!G:G,$A87,Assessments!B:B,"&gt;="&amp;$B$4,Assessments!B:B,"&lt;="&amp;$B$5,Assessments!C:C,IF($E$4="",$B87,$E$4),Assessments!D:D,IF($E$5="",$C87,$E$5)))</f>
        <v/>
      </c>
      <c r="H87">
        <f>IF($E87="","",RANK($E87,$E$8:$E$507,0))</f>
        <v/>
      </c>
      <c r="I87">
        <f>IF($E87="","",IF($E87&gt;=85,"Excellent",IF($E87&gt;=70,"Good",IF($E87&gt;=50,"Fair","Needs Support"))))</f>
        <v/>
      </c>
    </row>
    <row r="88">
      <c r="A88">
        <f>IF(Students!A82="","",Students!A82)</f>
        <v/>
      </c>
      <c r="B88">
        <f>IF($A88="","",Students!B82)</f>
        <v/>
      </c>
      <c r="C88">
        <f>IF($A88="","",Students!C82)</f>
        <v/>
      </c>
      <c r="D88">
        <f>IF($A88="","",COUNTIFS(Assessments!G:G,$A88,Assessments!B:B,"&gt;="&amp;$B$4,Assessments!B:B,"&lt;="&amp;$B$5,Assessments!C:C,IF($E$4="",$B88,$E$4),Assessments!D:D,IF($E$5="",$C88,$E$5)))</f>
        <v/>
      </c>
      <c r="E88">
        <f>IF($D88=0,"",ROUND(AVERAGEIFS(Assessments!J:J,Assessments!G:G,$A88,Assessments!B:B,"&gt;="&amp;$B$4,Assessments!B:B,"&lt;="&amp;$B$5,Assessments!C:C,IF($E$4="",$B88,$E$4),Assessments!D:D,IF($E$5="",$C88,$E$5)),0))</f>
        <v/>
      </c>
      <c r="F88">
        <f>IF($D88=0,"",MAXIFS(Assessments!J:J,Assessments!G:G,$A88,Assessments!B:B,"&gt;="&amp;$B$4,Assessments!B:B,"&lt;="&amp;$B$5,Assessments!C:C,IF($E$4="",$B88,$E$4),Assessments!D:D,IF($E$5="",$C88,$E$5)))</f>
        <v/>
      </c>
      <c r="G88">
        <f>IF($D88=0,"",MINIFS(Assessments!J:J,Assessments!G:G,$A88,Assessments!B:B,"&gt;="&amp;$B$4,Assessments!B:B,"&lt;="&amp;$B$5,Assessments!C:C,IF($E$4="",$B88,$E$4),Assessments!D:D,IF($E$5="",$C88,$E$5)))</f>
        <v/>
      </c>
      <c r="H88">
        <f>IF($E88="","",RANK($E88,$E$8:$E$507,0))</f>
        <v/>
      </c>
      <c r="I88">
        <f>IF($E88="","",IF($E88&gt;=85,"Excellent",IF($E88&gt;=70,"Good",IF($E88&gt;=50,"Fair","Needs Support"))))</f>
        <v/>
      </c>
    </row>
    <row r="89">
      <c r="A89">
        <f>IF(Students!A83="","",Students!A83)</f>
        <v/>
      </c>
      <c r="B89">
        <f>IF($A89="","",Students!B83)</f>
        <v/>
      </c>
      <c r="C89">
        <f>IF($A89="","",Students!C83)</f>
        <v/>
      </c>
      <c r="D89">
        <f>IF($A89="","",COUNTIFS(Assessments!G:G,$A89,Assessments!B:B,"&gt;="&amp;$B$4,Assessments!B:B,"&lt;="&amp;$B$5,Assessments!C:C,IF($E$4="",$B89,$E$4),Assessments!D:D,IF($E$5="",$C89,$E$5)))</f>
        <v/>
      </c>
      <c r="E89">
        <f>IF($D89=0,"",ROUND(AVERAGEIFS(Assessments!J:J,Assessments!G:G,$A89,Assessments!B:B,"&gt;="&amp;$B$4,Assessments!B:B,"&lt;="&amp;$B$5,Assessments!C:C,IF($E$4="",$B89,$E$4),Assessments!D:D,IF($E$5="",$C89,$E$5)),0))</f>
        <v/>
      </c>
      <c r="F89">
        <f>IF($D89=0,"",MAXIFS(Assessments!J:J,Assessments!G:G,$A89,Assessments!B:B,"&gt;="&amp;$B$4,Assessments!B:B,"&lt;="&amp;$B$5,Assessments!C:C,IF($E$4="",$B89,$E$4),Assessments!D:D,IF($E$5="",$C89,$E$5)))</f>
        <v/>
      </c>
      <c r="G89">
        <f>IF($D89=0,"",MINIFS(Assessments!J:J,Assessments!G:G,$A89,Assessments!B:B,"&gt;="&amp;$B$4,Assessments!B:B,"&lt;="&amp;$B$5,Assessments!C:C,IF($E$4="",$B89,$E$4),Assessments!D:D,IF($E$5="",$C89,$E$5)))</f>
        <v/>
      </c>
      <c r="H89">
        <f>IF($E89="","",RANK($E89,$E$8:$E$507,0))</f>
        <v/>
      </c>
      <c r="I89">
        <f>IF($E89="","",IF($E89&gt;=85,"Excellent",IF($E89&gt;=70,"Good",IF($E89&gt;=50,"Fair","Needs Support"))))</f>
        <v/>
      </c>
    </row>
    <row r="90">
      <c r="A90">
        <f>IF(Students!A84="","",Students!A84)</f>
        <v/>
      </c>
      <c r="B90">
        <f>IF($A90="","",Students!B84)</f>
        <v/>
      </c>
      <c r="C90">
        <f>IF($A90="","",Students!C84)</f>
        <v/>
      </c>
      <c r="D90">
        <f>IF($A90="","",COUNTIFS(Assessments!G:G,$A90,Assessments!B:B,"&gt;="&amp;$B$4,Assessments!B:B,"&lt;="&amp;$B$5,Assessments!C:C,IF($E$4="",$B90,$E$4),Assessments!D:D,IF($E$5="",$C90,$E$5)))</f>
        <v/>
      </c>
      <c r="E90">
        <f>IF($D90=0,"",ROUND(AVERAGEIFS(Assessments!J:J,Assessments!G:G,$A90,Assessments!B:B,"&gt;="&amp;$B$4,Assessments!B:B,"&lt;="&amp;$B$5,Assessments!C:C,IF($E$4="",$B90,$E$4),Assessments!D:D,IF($E$5="",$C90,$E$5)),0))</f>
        <v/>
      </c>
      <c r="F90">
        <f>IF($D90=0,"",MAXIFS(Assessments!J:J,Assessments!G:G,$A90,Assessments!B:B,"&gt;="&amp;$B$4,Assessments!B:B,"&lt;="&amp;$B$5,Assessments!C:C,IF($E$4="",$B90,$E$4),Assessments!D:D,IF($E$5="",$C90,$E$5)))</f>
        <v/>
      </c>
      <c r="G90">
        <f>IF($D90=0,"",MINIFS(Assessments!J:J,Assessments!G:G,$A90,Assessments!B:B,"&gt;="&amp;$B$4,Assessments!B:B,"&lt;="&amp;$B$5,Assessments!C:C,IF($E$4="",$B90,$E$4),Assessments!D:D,IF($E$5="",$C90,$E$5)))</f>
        <v/>
      </c>
      <c r="H90">
        <f>IF($E90="","",RANK($E90,$E$8:$E$507,0))</f>
        <v/>
      </c>
      <c r="I90">
        <f>IF($E90="","",IF($E90&gt;=85,"Excellent",IF($E90&gt;=70,"Good",IF($E90&gt;=50,"Fair","Needs Support"))))</f>
        <v/>
      </c>
    </row>
    <row r="91">
      <c r="A91">
        <f>IF(Students!A85="","",Students!A85)</f>
        <v/>
      </c>
      <c r="B91">
        <f>IF($A91="","",Students!B85)</f>
        <v/>
      </c>
      <c r="C91">
        <f>IF($A91="","",Students!C85)</f>
        <v/>
      </c>
      <c r="D91">
        <f>IF($A91="","",COUNTIFS(Assessments!G:G,$A91,Assessments!B:B,"&gt;="&amp;$B$4,Assessments!B:B,"&lt;="&amp;$B$5,Assessments!C:C,IF($E$4="",$B91,$E$4),Assessments!D:D,IF($E$5="",$C91,$E$5)))</f>
        <v/>
      </c>
      <c r="E91">
        <f>IF($D91=0,"",ROUND(AVERAGEIFS(Assessments!J:J,Assessments!G:G,$A91,Assessments!B:B,"&gt;="&amp;$B$4,Assessments!B:B,"&lt;="&amp;$B$5,Assessments!C:C,IF($E$4="",$B91,$E$4),Assessments!D:D,IF($E$5="",$C91,$E$5)),0))</f>
        <v/>
      </c>
      <c r="F91">
        <f>IF($D91=0,"",MAXIFS(Assessments!J:J,Assessments!G:G,$A91,Assessments!B:B,"&gt;="&amp;$B$4,Assessments!B:B,"&lt;="&amp;$B$5,Assessments!C:C,IF($E$4="",$B91,$E$4),Assessments!D:D,IF($E$5="",$C91,$E$5)))</f>
        <v/>
      </c>
      <c r="G91">
        <f>IF($D91=0,"",MINIFS(Assessments!J:J,Assessments!G:G,$A91,Assessments!B:B,"&gt;="&amp;$B$4,Assessments!B:B,"&lt;="&amp;$B$5,Assessments!C:C,IF($E$4="",$B91,$E$4),Assessments!D:D,IF($E$5="",$C91,$E$5)))</f>
        <v/>
      </c>
      <c r="H91">
        <f>IF($E91="","",RANK($E91,$E$8:$E$507,0))</f>
        <v/>
      </c>
      <c r="I91">
        <f>IF($E91="","",IF($E91&gt;=85,"Excellent",IF($E91&gt;=70,"Good",IF($E91&gt;=50,"Fair","Needs Support"))))</f>
        <v/>
      </c>
    </row>
    <row r="92">
      <c r="A92">
        <f>IF(Students!A86="","",Students!A86)</f>
        <v/>
      </c>
      <c r="B92">
        <f>IF($A92="","",Students!B86)</f>
        <v/>
      </c>
      <c r="C92">
        <f>IF($A92="","",Students!C86)</f>
        <v/>
      </c>
      <c r="D92">
        <f>IF($A92="","",COUNTIFS(Assessments!G:G,$A92,Assessments!B:B,"&gt;="&amp;$B$4,Assessments!B:B,"&lt;="&amp;$B$5,Assessments!C:C,IF($E$4="",$B92,$E$4),Assessments!D:D,IF($E$5="",$C92,$E$5)))</f>
        <v/>
      </c>
      <c r="E92">
        <f>IF($D92=0,"",ROUND(AVERAGEIFS(Assessments!J:J,Assessments!G:G,$A92,Assessments!B:B,"&gt;="&amp;$B$4,Assessments!B:B,"&lt;="&amp;$B$5,Assessments!C:C,IF($E$4="",$B92,$E$4),Assessments!D:D,IF($E$5="",$C92,$E$5)),0))</f>
        <v/>
      </c>
      <c r="F92">
        <f>IF($D92=0,"",MAXIFS(Assessments!J:J,Assessments!G:G,$A92,Assessments!B:B,"&gt;="&amp;$B$4,Assessments!B:B,"&lt;="&amp;$B$5,Assessments!C:C,IF($E$4="",$B92,$E$4),Assessments!D:D,IF($E$5="",$C92,$E$5)))</f>
        <v/>
      </c>
      <c r="G92">
        <f>IF($D92=0,"",MINIFS(Assessments!J:J,Assessments!G:G,$A92,Assessments!B:B,"&gt;="&amp;$B$4,Assessments!B:B,"&lt;="&amp;$B$5,Assessments!C:C,IF($E$4="",$B92,$E$4),Assessments!D:D,IF($E$5="",$C92,$E$5)))</f>
        <v/>
      </c>
      <c r="H92">
        <f>IF($E92="","",RANK($E92,$E$8:$E$507,0))</f>
        <v/>
      </c>
      <c r="I92">
        <f>IF($E92="","",IF($E92&gt;=85,"Excellent",IF($E92&gt;=70,"Good",IF($E92&gt;=50,"Fair","Needs Support"))))</f>
        <v/>
      </c>
    </row>
    <row r="93">
      <c r="A93">
        <f>IF(Students!A87="","",Students!A87)</f>
        <v/>
      </c>
      <c r="B93">
        <f>IF($A93="","",Students!B87)</f>
        <v/>
      </c>
      <c r="C93">
        <f>IF($A93="","",Students!C87)</f>
        <v/>
      </c>
      <c r="D93">
        <f>IF($A93="","",COUNTIFS(Assessments!G:G,$A93,Assessments!B:B,"&gt;="&amp;$B$4,Assessments!B:B,"&lt;="&amp;$B$5,Assessments!C:C,IF($E$4="",$B93,$E$4),Assessments!D:D,IF($E$5="",$C93,$E$5)))</f>
        <v/>
      </c>
      <c r="E93">
        <f>IF($D93=0,"",ROUND(AVERAGEIFS(Assessments!J:J,Assessments!G:G,$A93,Assessments!B:B,"&gt;="&amp;$B$4,Assessments!B:B,"&lt;="&amp;$B$5,Assessments!C:C,IF($E$4="",$B93,$E$4),Assessments!D:D,IF($E$5="",$C93,$E$5)),0))</f>
        <v/>
      </c>
      <c r="F93">
        <f>IF($D93=0,"",MAXIFS(Assessments!J:J,Assessments!G:G,$A93,Assessments!B:B,"&gt;="&amp;$B$4,Assessments!B:B,"&lt;="&amp;$B$5,Assessments!C:C,IF($E$4="",$B93,$E$4),Assessments!D:D,IF($E$5="",$C93,$E$5)))</f>
        <v/>
      </c>
      <c r="G93">
        <f>IF($D93=0,"",MINIFS(Assessments!J:J,Assessments!G:G,$A93,Assessments!B:B,"&gt;="&amp;$B$4,Assessments!B:B,"&lt;="&amp;$B$5,Assessments!C:C,IF($E$4="",$B93,$E$4),Assessments!D:D,IF($E$5="",$C93,$E$5)))</f>
        <v/>
      </c>
      <c r="H93">
        <f>IF($E93="","",RANK($E93,$E$8:$E$507,0))</f>
        <v/>
      </c>
      <c r="I93">
        <f>IF($E93="","",IF($E93&gt;=85,"Excellent",IF($E93&gt;=70,"Good",IF($E93&gt;=50,"Fair","Needs Support"))))</f>
        <v/>
      </c>
    </row>
    <row r="94">
      <c r="A94">
        <f>IF(Students!A88="","",Students!A88)</f>
        <v/>
      </c>
      <c r="B94">
        <f>IF($A94="","",Students!B88)</f>
        <v/>
      </c>
      <c r="C94">
        <f>IF($A94="","",Students!C88)</f>
        <v/>
      </c>
      <c r="D94">
        <f>IF($A94="","",COUNTIFS(Assessments!G:G,$A94,Assessments!B:B,"&gt;="&amp;$B$4,Assessments!B:B,"&lt;="&amp;$B$5,Assessments!C:C,IF($E$4="",$B94,$E$4),Assessments!D:D,IF($E$5="",$C94,$E$5)))</f>
        <v/>
      </c>
      <c r="E94">
        <f>IF($D94=0,"",ROUND(AVERAGEIFS(Assessments!J:J,Assessments!G:G,$A94,Assessments!B:B,"&gt;="&amp;$B$4,Assessments!B:B,"&lt;="&amp;$B$5,Assessments!C:C,IF($E$4="",$B94,$E$4),Assessments!D:D,IF($E$5="",$C94,$E$5)),0))</f>
        <v/>
      </c>
      <c r="F94">
        <f>IF($D94=0,"",MAXIFS(Assessments!J:J,Assessments!G:G,$A94,Assessments!B:B,"&gt;="&amp;$B$4,Assessments!B:B,"&lt;="&amp;$B$5,Assessments!C:C,IF($E$4="",$B94,$E$4),Assessments!D:D,IF($E$5="",$C94,$E$5)))</f>
        <v/>
      </c>
      <c r="G94">
        <f>IF($D94=0,"",MINIFS(Assessments!J:J,Assessments!G:G,$A94,Assessments!B:B,"&gt;="&amp;$B$4,Assessments!B:B,"&lt;="&amp;$B$5,Assessments!C:C,IF($E$4="",$B94,$E$4),Assessments!D:D,IF($E$5="",$C94,$E$5)))</f>
        <v/>
      </c>
      <c r="H94">
        <f>IF($E94="","",RANK($E94,$E$8:$E$507,0))</f>
        <v/>
      </c>
      <c r="I94">
        <f>IF($E94="","",IF($E94&gt;=85,"Excellent",IF($E94&gt;=70,"Good",IF($E94&gt;=50,"Fair","Needs Support"))))</f>
        <v/>
      </c>
    </row>
    <row r="95">
      <c r="A95">
        <f>IF(Students!A89="","",Students!A89)</f>
        <v/>
      </c>
      <c r="B95">
        <f>IF($A95="","",Students!B89)</f>
        <v/>
      </c>
      <c r="C95">
        <f>IF($A95="","",Students!C89)</f>
        <v/>
      </c>
      <c r="D95">
        <f>IF($A95="","",COUNTIFS(Assessments!G:G,$A95,Assessments!B:B,"&gt;="&amp;$B$4,Assessments!B:B,"&lt;="&amp;$B$5,Assessments!C:C,IF($E$4="",$B95,$E$4),Assessments!D:D,IF($E$5="",$C95,$E$5)))</f>
        <v/>
      </c>
      <c r="E95">
        <f>IF($D95=0,"",ROUND(AVERAGEIFS(Assessments!J:J,Assessments!G:G,$A95,Assessments!B:B,"&gt;="&amp;$B$4,Assessments!B:B,"&lt;="&amp;$B$5,Assessments!C:C,IF($E$4="",$B95,$E$4),Assessments!D:D,IF($E$5="",$C95,$E$5)),0))</f>
        <v/>
      </c>
      <c r="F95">
        <f>IF($D95=0,"",MAXIFS(Assessments!J:J,Assessments!G:G,$A95,Assessments!B:B,"&gt;="&amp;$B$4,Assessments!B:B,"&lt;="&amp;$B$5,Assessments!C:C,IF($E$4="",$B95,$E$4),Assessments!D:D,IF($E$5="",$C95,$E$5)))</f>
        <v/>
      </c>
      <c r="G95">
        <f>IF($D95=0,"",MINIFS(Assessments!J:J,Assessments!G:G,$A95,Assessments!B:B,"&gt;="&amp;$B$4,Assessments!B:B,"&lt;="&amp;$B$5,Assessments!C:C,IF($E$4="",$B95,$E$4),Assessments!D:D,IF($E$5="",$C95,$E$5)))</f>
        <v/>
      </c>
      <c r="H95">
        <f>IF($E95="","",RANK($E95,$E$8:$E$507,0))</f>
        <v/>
      </c>
      <c r="I95">
        <f>IF($E95="","",IF($E95&gt;=85,"Excellent",IF($E95&gt;=70,"Good",IF($E95&gt;=50,"Fair","Needs Support"))))</f>
        <v/>
      </c>
    </row>
    <row r="96">
      <c r="A96">
        <f>IF(Students!A90="","",Students!A90)</f>
        <v/>
      </c>
      <c r="B96">
        <f>IF($A96="","",Students!B90)</f>
        <v/>
      </c>
      <c r="C96">
        <f>IF($A96="","",Students!C90)</f>
        <v/>
      </c>
      <c r="D96">
        <f>IF($A96="","",COUNTIFS(Assessments!G:G,$A96,Assessments!B:B,"&gt;="&amp;$B$4,Assessments!B:B,"&lt;="&amp;$B$5,Assessments!C:C,IF($E$4="",$B96,$E$4),Assessments!D:D,IF($E$5="",$C96,$E$5)))</f>
        <v/>
      </c>
      <c r="E96">
        <f>IF($D96=0,"",ROUND(AVERAGEIFS(Assessments!J:J,Assessments!G:G,$A96,Assessments!B:B,"&gt;="&amp;$B$4,Assessments!B:B,"&lt;="&amp;$B$5,Assessments!C:C,IF($E$4="",$B96,$E$4),Assessments!D:D,IF($E$5="",$C96,$E$5)),0))</f>
        <v/>
      </c>
      <c r="F96">
        <f>IF($D96=0,"",MAXIFS(Assessments!J:J,Assessments!G:G,$A96,Assessments!B:B,"&gt;="&amp;$B$4,Assessments!B:B,"&lt;="&amp;$B$5,Assessments!C:C,IF($E$4="",$B96,$E$4),Assessments!D:D,IF($E$5="",$C96,$E$5)))</f>
        <v/>
      </c>
      <c r="G96">
        <f>IF($D96=0,"",MINIFS(Assessments!J:J,Assessments!G:G,$A96,Assessments!B:B,"&gt;="&amp;$B$4,Assessments!B:B,"&lt;="&amp;$B$5,Assessments!C:C,IF($E$4="",$B96,$E$4),Assessments!D:D,IF($E$5="",$C96,$E$5)))</f>
        <v/>
      </c>
      <c r="H96">
        <f>IF($E96="","",RANK($E96,$E$8:$E$507,0))</f>
        <v/>
      </c>
      <c r="I96">
        <f>IF($E96="","",IF($E96&gt;=85,"Excellent",IF($E96&gt;=70,"Good",IF($E96&gt;=50,"Fair","Needs Support"))))</f>
        <v/>
      </c>
    </row>
    <row r="97">
      <c r="A97">
        <f>IF(Students!A91="","",Students!A91)</f>
        <v/>
      </c>
      <c r="B97">
        <f>IF($A97="","",Students!B91)</f>
        <v/>
      </c>
      <c r="C97">
        <f>IF($A97="","",Students!C91)</f>
        <v/>
      </c>
      <c r="D97">
        <f>IF($A97="","",COUNTIFS(Assessments!G:G,$A97,Assessments!B:B,"&gt;="&amp;$B$4,Assessments!B:B,"&lt;="&amp;$B$5,Assessments!C:C,IF($E$4="",$B97,$E$4),Assessments!D:D,IF($E$5="",$C97,$E$5)))</f>
        <v/>
      </c>
      <c r="E97">
        <f>IF($D97=0,"",ROUND(AVERAGEIFS(Assessments!J:J,Assessments!G:G,$A97,Assessments!B:B,"&gt;="&amp;$B$4,Assessments!B:B,"&lt;="&amp;$B$5,Assessments!C:C,IF($E$4="",$B97,$E$4),Assessments!D:D,IF($E$5="",$C97,$E$5)),0))</f>
        <v/>
      </c>
      <c r="F97">
        <f>IF($D97=0,"",MAXIFS(Assessments!J:J,Assessments!G:G,$A97,Assessments!B:B,"&gt;="&amp;$B$4,Assessments!B:B,"&lt;="&amp;$B$5,Assessments!C:C,IF($E$4="",$B97,$E$4),Assessments!D:D,IF($E$5="",$C97,$E$5)))</f>
        <v/>
      </c>
      <c r="G97">
        <f>IF($D97=0,"",MINIFS(Assessments!J:J,Assessments!G:G,$A97,Assessments!B:B,"&gt;="&amp;$B$4,Assessments!B:B,"&lt;="&amp;$B$5,Assessments!C:C,IF($E$4="",$B97,$E$4),Assessments!D:D,IF($E$5="",$C97,$E$5)))</f>
        <v/>
      </c>
      <c r="H97">
        <f>IF($E97="","",RANK($E97,$E$8:$E$507,0))</f>
        <v/>
      </c>
      <c r="I97">
        <f>IF($E97="","",IF($E97&gt;=85,"Excellent",IF($E97&gt;=70,"Good",IF($E97&gt;=50,"Fair","Needs Support"))))</f>
        <v/>
      </c>
    </row>
    <row r="98">
      <c r="A98">
        <f>IF(Students!A92="","",Students!A92)</f>
        <v/>
      </c>
      <c r="B98">
        <f>IF($A98="","",Students!B92)</f>
        <v/>
      </c>
      <c r="C98">
        <f>IF($A98="","",Students!C92)</f>
        <v/>
      </c>
      <c r="D98">
        <f>IF($A98="","",COUNTIFS(Assessments!G:G,$A98,Assessments!B:B,"&gt;="&amp;$B$4,Assessments!B:B,"&lt;="&amp;$B$5,Assessments!C:C,IF($E$4="",$B98,$E$4),Assessments!D:D,IF($E$5="",$C98,$E$5)))</f>
        <v/>
      </c>
      <c r="E98">
        <f>IF($D98=0,"",ROUND(AVERAGEIFS(Assessments!J:J,Assessments!G:G,$A98,Assessments!B:B,"&gt;="&amp;$B$4,Assessments!B:B,"&lt;="&amp;$B$5,Assessments!C:C,IF($E$4="",$B98,$E$4),Assessments!D:D,IF($E$5="",$C98,$E$5)),0))</f>
        <v/>
      </c>
      <c r="F98">
        <f>IF($D98=0,"",MAXIFS(Assessments!J:J,Assessments!G:G,$A98,Assessments!B:B,"&gt;="&amp;$B$4,Assessments!B:B,"&lt;="&amp;$B$5,Assessments!C:C,IF($E$4="",$B98,$E$4),Assessments!D:D,IF($E$5="",$C98,$E$5)))</f>
        <v/>
      </c>
      <c r="G98">
        <f>IF($D98=0,"",MINIFS(Assessments!J:J,Assessments!G:G,$A98,Assessments!B:B,"&gt;="&amp;$B$4,Assessments!B:B,"&lt;="&amp;$B$5,Assessments!C:C,IF($E$4="",$B98,$E$4),Assessments!D:D,IF($E$5="",$C98,$E$5)))</f>
        <v/>
      </c>
      <c r="H98">
        <f>IF($E98="","",RANK($E98,$E$8:$E$507,0))</f>
        <v/>
      </c>
      <c r="I98">
        <f>IF($E98="","",IF($E98&gt;=85,"Excellent",IF($E98&gt;=70,"Good",IF($E98&gt;=50,"Fair","Needs Support"))))</f>
        <v/>
      </c>
    </row>
    <row r="99">
      <c r="A99">
        <f>IF(Students!A93="","",Students!A93)</f>
        <v/>
      </c>
      <c r="B99">
        <f>IF($A99="","",Students!B93)</f>
        <v/>
      </c>
      <c r="C99">
        <f>IF($A99="","",Students!C93)</f>
        <v/>
      </c>
      <c r="D99">
        <f>IF($A99="","",COUNTIFS(Assessments!G:G,$A99,Assessments!B:B,"&gt;="&amp;$B$4,Assessments!B:B,"&lt;="&amp;$B$5,Assessments!C:C,IF($E$4="",$B99,$E$4),Assessments!D:D,IF($E$5="",$C99,$E$5)))</f>
        <v/>
      </c>
      <c r="E99">
        <f>IF($D99=0,"",ROUND(AVERAGEIFS(Assessments!J:J,Assessments!G:G,$A99,Assessments!B:B,"&gt;="&amp;$B$4,Assessments!B:B,"&lt;="&amp;$B$5,Assessments!C:C,IF($E$4="",$B99,$E$4),Assessments!D:D,IF($E$5="",$C99,$E$5)),0))</f>
        <v/>
      </c>
      <c r="F99">
        <f>IF($D99=0,"",MAXIFS(Assessments!J:J,Assessments!G:G,$A99,Assessments!B:B,"&gt;="&amp;$B$4,Assessments!B:B,"&lt;="&amp;$B$5,Assessments!C:C,IF($E$4="",$B99,$E$4),Assessments!D:D,IF($E$5="",$C99,$E$5)))</f>
        <v/>
      </c>
      <c r="G99">
        <f>IF($D99=0,"",MINIFS(Assessments!J:J,Assessments!G:G,$A99,Assessments!B:B,"&gt;="&amp;$B$4,Assessments!B:B,"&lt;="&amp;$B$5,Assessments!C:C,IF($E$4="",$B99,$E$4),Assessments!D:D,IF($E$5="",$C99,$E$5)))</f>
        <v/>
      </c>
      <c r="H99">
        <f>IF($E99="","",RANK($E99,$E$8:$E$507,0))</f>
        <v/>
      </c>
      <c r="I99">
        <f>IF($E99="","",IF($E99&gt;=85,"Excellent",IF($E99&gt;=70,"Good",IF($E99&gt;=50,"Fair","Needs Support"))))</f>
        <v/>
      </c>
    </row>
    <row r="100">
      <c r="A100">
        <f>IF(Students!A94="","",Students!A94)</f>
        <v/>
      </c>
      <c r="B100">
        <f>IF($A100="","",Students!B94)</f>
        <v/>
      </c>
      <c r="C100">
        <f>IF($A100="","",Students!C94)</f>
        <v/>
      </c>
      <c r="D100">
        <f>IF($A100="","",COUNTIFS(Assessments!G:G,$A100,Assessments!B:B,"&gt;="&amp;$B$4,Assessments!B:B,"&lt;="&amp;$B$5,Assessments!C:C,IF($E$4="",$B100,$E$4),Assessments!D:D,IF($E$5="",$C100,$E$5)))</f>
        <v/>
      </c>
      <c r="E100">
        <f>IF($D100=0,"",ROUND(AVERAGEIFS(Assessments!J:J,Assessments!G:G,$A100,Assessments!B:B,"&gt;="&amp;$B$4,Assessments!B:B,"&lt;="&amp;$B$5,Assessments!C:C,IF($E$4="",$B100,$E$4),Assessments!D:D,IF($E$5="",$C100,$E$5)),0))</f>
        <v/>
      </c>
      <c r="F100">
        <f>IF($D100=0,"",MAXIFS(Assessments!J:J,Assessments!G:G,$A100,Assessments!B:B,"&gt;="&amp;$B$4,Assessments!B:B,"&lt;="&amp;$B$5,Assessments!C:C,IF($E$4="",$B100,$E$4),Assessments!D:D,IF($E$5="",$C100,$E$5)))</f>
        <v/>
      </c>
      <c r="G100">
        <f>IF($D100=0,"",MINIFS(Assessments!J:J,Assessments!G:G,$A100,Assessments!B:B,"&gt;="&amp;$B$4,Assessments!B:B,"&lt;="&amp;$B$5,Assessments!C:C,IF($E$4="",$B100,$E$4),Assessments!D:D,IF($E$5="",$C100,$E$5)))</f>
        <v/>
      </c>
      <c r="H100">
        <f>IF($E100="","",RANK($E100,$E$8:$E$507,0))</f>
        <v/>
      </c>
      <c r="I100">
        <f>IF($E100="","",IF($E100&gt;=85,"Excellent",IF($E100&gt;=70,"Good",IF($E100&gt;=50,"Fair","Needs Support"))))</f>
        <v/>
      </c>
    </row>
    <row r="101">
      <c r="A101">
        <f>IF(Students!A95="","",Students!A95)</f>
        <v/>
      </c>
      <c r="B101">
        <f>IF($A101="","",Students!B95)</f>
        <v/>
      </c>
      <c r="C101">
        <f>IF($A101="","",Students!C95)</f>
        <v/>
      </c>
      <c r="D101">
        <f>IF($A101="","",COUNTIFS(Assessments!G:G,$A101,Assessments!B:B,"&gt;="&amp;$B$4,Assessments!B:B,"&lt;="&amp;$B$5,Assessments!C:C,IF($E$4="",$B101,$E$4),Assessments!D:D,IF($E$5="",$C101,$E$5)))</f>
        <v/>
      </c>
      <c r="E101">
        <f>IF($D101=0,"",ROUND(AVERAGEIFS(Assessments!J:J,Assessments!G:G,$A101,Assessments!B:B,"&gt;="&amp;$B$4,Assessments!B:B,"&lt;="&amp;$B$5,Assessments!C:C,IF($E$4="",$B101,$E$4),Assessments!D:D,IF($E$5="",$C101,$E$5)),0))</f>
        <v/>
      </c>
      <c r="F101">
        <f>IF($D101=0,"",MAXIFS(Assessments!J:J,Assessments!G:G,$A101,Assessments!B:B,"&gt;="&amp;$B$4,Assessments!B:B,"&lt;="&amp;$B$5,Assessments!C:C,IF($E$4="",$B101,$E$4),Assessments!D:D,IF($E$5="",$C101,$E$5)))</f>
        <v/>
      </c>
      <c r="G101">
        <f>IF($D101=0,"",MINIFS(Assessments!J:J,Assessments!G:G,$A101,Assessments!B:B,"&gt;="&amp;$B$4,Assessments!B:B,"&lt;="&amp;$B$5,Assessments!C:C,IF($E$4="",$B101,$E$4),Assessments!D:D,IF($E$5="",$C101,$E$5)))</f>
        <v/>
      </c>
      <c r="H101">
        <f>IF($E101="","",RANK($E101,$E$8:$E$507,0))</f>
        <v/>
      </c>
      <c r="I101">
        <f>IF($E101="","",IF($E101&gt;=85,"Excellent",IF($E101&gt;=70,"Good",IF($E101&gt;=50,"Fair","Needs Support"))))</f>
        <v/>
      </c>
    </row>
    <row r="102">
      <c r="A102">
        <f>IF(Students!A96="","",Students!A96)</f>
        <v/>
      </c>
      <c r="B102">
        <f>IF($A102="","",Students!B96)</f>
        <v/>
      </c>
      <c r="C102">
        <f>IF($A102="","",Students!C96)</f>
        <v/>
      </c>
      <c r="D102">
        <f>IF($A102="","",COUNTIFS(Assessments!G:G,$A102,Assessments!B:B,"&gt;="&amp;$B$4,Assessments!B:B,"&lt;="&amp;$B$5,Assessments!C:C,IF($E$4="",$B102,$E$4),Assessments!D:D,IF($E$5="",$C102,$E$5)))</f>
        <v/>
      </c>
      <c r="E102">
        <f>IF($D102=0,"",ROUND(AVERAGEIFS(Assessments!J:J,Assessments!G:G,$A102,Assessments!B:B,"&gt;="&amp;$B$4,Assessments!B:B,"&lt;="&amp;$B$5,Assessments!C:C,IF($E$4="",$B102,$E$4),Assessments!D:D,IF($E$5="",$C102,$E$5)),0))</f>
        <v/>
      </c>
      <c r="F102">
        <f>IF($D102=0,"",MAXIFS(Assessments!J:J,Assessments!G:G,$A102,Assessments!B:B,"&gt;="&amp;$B$4,Assessments!B:B,"&lt;="&amp;$B$5,Assessments!C:C,IF($E$4="",$B102,$E$4),Assessments!D:D,IF($E$5="",$C102,$E$5)))</f>
        <v/>
      </c>
      <c r="G102">
        <f>IF($D102=0,"",MINIFS(Assessments!J:J,Assessments!G:G,$A102,Assessments!B:B,"&gt;="&amp;$B$4,Assessments!B:B,"&lt;="&amp;$B$5,Assessments!C:C,IF($E$4="",$B102,$E$4),Assessments!D:D,IF($E$5="",$C102,$E$5)))</f>
        <v/>
      </c>
      <c r="H102">
        <f>IF($E102="","",RANK($E102,$E$8:$E$507,0))</f>
        <v/>
      </c>
      <c r="I102">
        <f>IF($E102="","",IF($E102&gt;=85,"Excellent",IF($E102&gt;=70,"Good",IF($E102&gt;=50,"Fair","Needs Support"))))</f>
        <v/>
      </c>
    </row>
    <row r="103">
      <c r="A103">
        <f>IF(Students!A97="","",Students!A97)</f>
        <v/>
      </c>
      <c r="B103">
        <f>IF($A103="","",Students!B97)</f>
        <v/>
      </c>
      <c r="C103">
        <f>IF($A103="","",Students!C97)</f>
        <v/>
      </c>
      <c r="D103">
        <f>IF($A103="","",COUNTIFS(Assessments!G:G,$A103,Assessments!B:B,"&gt;="&amp;$B$4,Assessments!B:B,"&lt;="&amp;$B$5,Assessments!C:C,IF($E$4="",$B103,$E$4),Assessments!D:D,IF($E$5="",$C103,$E$5)))</f>
        <v/>
      </c>
      <c r="E103">
        <f>IF($D103=0,"",ROUND(AVERAGEIFS(Assessments!J:J,Assessments!G:G,$A103,Assessments!B:B,"&gt;="&amp;$B$4,Assessments!B:B,"&lt;="&amp;$B$5,Assessments!C:C,IF($E$4="",$B103,$E$4),Assessments!D:D,IF($E$5="",$C103,$E$5)),0))</f>
        <v/>
      </c>
      <c r="F103">
        <f>IF($D103=0,"",MAXIFS(Assessments!J:J,Assessments!G:G,$A103,Assessments!B:B,"&gt;="&amp;$B$4,Assessments!B:B,"&lt;="&amp;$B$5,Assessments!C:C,IF($E$4="",$B103,$E$4),Assessments!D:D,IF($E$5="",$C103,$E$5)))</f>
        <v/>
      </c>
      <c r="G103">
        <f>IF($D103=0,"",MINIFS(Assessments!J:J,Assessments!G:G,$A103,Assessments!B:B,"&gt;="&amp;$B$4,Assessments!B:B,"&lt;="&amp;$B$5,Assessments!C:C,IF($E$4="",$B103,$E$4),Assessments!D:D,IF($E$5="",$C103,$E$5)))</f>
        <v/>
      </c>
      <c r="H103">
        <f>IF($E103="","",RANK($E103,$E$8:$E$507,0))</f>
        <v/>
      </c>
      <c r="I103">
        <f>IF($E103="","",IF($E103&gt;=85,"Excellent",IF($E103&gt;=70,"Good",IF($E103&gt;=50,"Fair","Needs Support"))))</f>
        <v/>
      </c>
    </row>
    <row r="104">
      <c r="A104">
        <f>IF(Students!A98="","",Students!A98)</f>
        <v/>
      </c>
      <c r="B104">
        <f>IF($A104="","",Students!B98)</f>
        <v/>
      </c>
      <c r="C104">
        <f>IF($A104="","",Students!C98)</f>
        <v/>
      </c>
      <c r="D104">
        <f>IF($A104="","",COUNTIFS(Assessments!G:G,$A104,Assessments!B:B,"&gt;="&amp;$B$4,Assessments!B:B,"&lt;="&amp;$B$5,Assessments!C:C,IF($E$4="",$B104,$E$4),Assessments!D:D,IF($E$5="",$C104,$E$5)))</f>
        <v/>
      </c>
      <c r="E104">
        <f>IF($D104=0,"",ROUND(AVERAGEIFS(Assessments!J:J,Assessments!G:G,$A104,Assessments!B:B,"&gt;="&amp;$B$4,Assessments!B:B,"&lt;="&amp;$B$5,Assessments!C:C,IF($E$4="",$B104,$E$4),Assessments!D:D,IF($E$5="",$C104,$E$5)),0))</f>
        <v/>
      </c>
      <c r="F104">
        <f>IF($D104=0,"",MAXIFS(Assessments!J:J,Assessments!G:G,$A104,Assessments!B:B,"&gt;="&amp;$B$4,Assessments!B:B,"&lt;="&amp;$B$5,Assessments!C:C,IF($E$4="",$B104,$E$4),Assessments!D:D,IF($E$5="",$C104,$E$5)))</f>
        <v/>
      </c>
      <c r="G104">
        <f>IF($D104=0,"",MINIFS(Assessments!J:J,Assessments!G:G,$A104,Assessments!B:B,"&gt;="&amp;$B$4,Assessments!B:B,"&lt;="&amp;$B$5,Assessments!C:C,IF($E$4="",$B104,$E$4),Assessments!D:D,IF($E$5="",$C104,$E$5)))</f>
        <v/>
      </c>
      <c r="H104">
        <f>IF($E104="","",RANK($E104,$E$8:$E$507,0))</f>
        <v/>
      </c>
      <c r="I104">
        <f>IF($E104="","",IF($E104&gt;=85,"Excellent",IF($E104&gt;=70,"Good",IF($E104&gt;=50,"Fair","Needs Support"))))</f>
        <v/>
      </c>
    </row>
    <row r="105">
      <c r="A105">
        <f>IF(Students!A99="","",Students!A99)</f>
        <v/>
      </c>
      <c r="B105">
        <f>IF($A105="","",Students!B99)</f>
        <v/>
      </c>
      <c r="C105">
        <f>IF($A105="","",Students!C99)</f>
        <v/>
      </c>
      <c r="D105">
        <f>IF($A105="","",COUNTIFS(Assessments!G:G,$A105,Assessments!B:B,"&gt;="&amp;$B$4,Assessments!B:B,"&lt;="&amp;$B$5,Assessments!C:C,IF($E$4="",$B105,$E$4),Assessments!D:D,IF($E$5="",$C105,$E$5)))</f>
        <v/>
      </c>
      <c r="E105">
        <f>IF($D105=0,"",ROUND(AVERAGEIFS(Assessments!J:J,Assessments!G:G,$A105,Assessments!B:B,"&gt;="&amp;$B$4,Assessments!B:B,"&lt;="&amp;$B$5,Assessments!C:C,IF($E$4="",$B105,$E$4),Assessments!D:D,IF($E$5="",$C105,$E$5)),0))</f>
        <v/>
      </c>
      <c r="F105">
        <f>IF($D105=0,"",MAXIFS(Assessments!J:J,Assessments!G:G,$A105,Assessments!B:B,"&gt;="&amp;$B$4,Assessments!B:B,"&lt;="&amp;$B$5,Assessments!C:C,IF($E$4="",$B105,$E$4),Assessments!D:D,IF($E$5="",$C105,$E$5)))</f>
        <v/>
      </c>
      <c r="G105">
        <f>IF($D105=0,"",MINIFS(Assessments!J:J,Assessments!G:G,$A105,Assessments!B:B,"&gt;="&amp;$B$4,Assessments!B:B,"&lt;="&amp;$B$5,Assessments!C:C,IF($E$4="",$B105,$E$4),Assessments!D:D,IF($E$5="",$C105,$E$5)))</f>
        <v/>
      </c>
      <c r="H105">
        <f>IF($E105="","",RANK($E105,$E$8:$E$507,0))</f>
        <v/>
      </c>
      <c r="I105">
        <f>IF($E105="","",IF($E105&gt;=85,"Excellent",IF($E105&gt;=70,"Good",IF($E105&gt;=50,"Fair","Needs Support"))))</f>
        <v/>
      </c>
    </row>
    <row r="106">
      <c r="A106">
        <f>IF(Students!A100="","",Students!A100)</f>
        <v/>
      </c>
      <c r="B106">
        <f>IF($A106="","",Students!B100)</f>
        <v/>
      </c>
      <c r="C106">
        <f>IF($A106="","",Students!C100)</f>
        <v/>
      </c>
      <c r="D106">
        <f>IF($A106="","",COUNTIFS(Assessments!G:G,$A106,Assessments!B:B,"&gt;="&amp;$B$4,Assessments!B:B,"&lt;="&amp;$B$5,Assessments!C:C,IF($E$4="",$B106,$E$4),Assessments!D:D,IF($E$5="",$C106,$E$5)))</f>
        <v/>
      </c>
      <c r="E106">
        <f>IF($D106=0,"",ROUND(AVERAGEIFS(Assessments!J:J,Assessments!G:G,$A106,Assessments!B:B,"&gt;="&amp;$B$4,Assessments!B:B,"&lt;="&amp;$B$5,Assessments!C:C,IF($E$4="",$B106,$E$4),Assessments!D:D,IF($E$5="",$C106,$E$5)),0))</f>
        <v/>
      </c>
      <c r="F106">
        <f>IF($D106=0,"",MAXIFS(Assessments!J:J,Assessments!G:G,$A106,Assessments!B:B,"&gt;="&amp;$B$4,Assessments!B:B,"&lt;="&amp;$B$5,Assessments!C:C,IF($E$4="",$B106,$E$4),Assessments!D:D,IF($E$5="",$C106,$E$5)))</f>
        <v/>
      </c>
      <c r="G106">
        <f>IF($D106=0,"",MINIFS(Assessments!J:J,Assessments!G:G,$A106,Assessments!B:B,"&gt;="&amp;$B$4,Assessments!B:B,"&lt;="&amp;$B$5,Assessments!C:C,IF($E$4="",$B106,$E$4),Assessments!D:D,IF($E$5="",$C106,$E$5)))</f>
        <v/>
      </c>
      <c r="H106">
        <f>IF($E106="","",RANK($E106,$E$8:$E$507,0))</f>
        <v/>
      </c>
      <c r="I106">
        <f>IF($E106="","",IF($E106&gt;=85,"Excellent",IF($E106&gt;=70,"Good",IF($E106&gt;=50,"Fair","Needs Support"))))</f>
        <v/>
      </c>
    </row>
    <row r="107">
      <c r="A107">
        <f>IF(Students!A101="","",Students!A101)</f>
        <v/>
      </c>
      <c r="B107">
        <f>IF($A107="","",Students!B101)</f>
        <v/>
      </c>
      <c r="C107">
        <f>IF($A107="","",Students!C101)</f>
        <v/>
      </c>
      <c r="D107">
        <f>IF($A107="","",COUNTIFS(Assessments!G:G,$A107,Assessments!B:B,"&gt;="&amp;$B$4,Assessments!B:B,"&lt;="&amp;$B$5,Assessments!C:C,IF($E$4="",$B107,$E$4),Assessments!D:D,IF($E$5="",$C107,$E$5)))</f>
        <v/>
      </c>
      <c r="E107">
        <f>IF($D107=0,"",ROUND(AVERAGEIFS(Assessments!J:J,Assessments!G:G,$A107,Assessments!B:B,"&gt;="&amp;$B$4,Assessments!B:B,"&lt;="&amp;$B$5,Assessments!C:C,IF($E$4="",$B107,$E$4),Assessments!D:D,IF($E$5="",$C107,$E$5)),0))</f>
        <v/>
      </c>
      <c r="F107">
        <f>IF($D107=0,"",MAXIFS(Assessments!J:J,Assessments!G:G,$A107,Assessments!B:B,"&gt;="&amp;$B$4,Assessments!B:B,"&lt;="&amp;$B$5,Assessments!C:C,IF($E$4="",$B107,$E$4),Assessments!D:D,IF($E$5="",$C107,$E$5)))</f>
        <v/>
      </c>
      <c r="G107">
        <f>IF($D107=0,"",MINIFS(Assessments!J:J,Assessments!G:G,$A107,Assessments!B:B,"&gt;="&amp;$B$4,Assessments!B:B,"&lt;="&amp;$B$5,Assessments!C:C,IF($E$4="",$B107,$E$4),Assessments!D:D,IF($E$5="",$C107,$E$5)))</f>
        <v/>
      </c>
      <c r="H107">
        <f>IF($E107="","",RANK($E107,$E$8:$E$507,0))</f>
        <v/>
      </c>
      <c r="I107">
        <f>IF($E107="","",IF($E107&gt;=85,"Excellent",IF($E107&gt;=70,"Good",IF($E107&gt;=50,"Fair","Needs Support"))))</f>
        <v/>
      </c>
    </row>
    <row r="108">
      <c r="A108">
        <f>IF(Students!A102="","",Students!A102)</f>
        <v/>
      </c>
      <c r="B108">
        <f>IF($A108="","",Students!B102)</f>
        <v/>
      </c>
      <c r="C108">
        <f>IF($A108="","",Students!C102)</f>
        <v/>
      </c>
      <c r="D108">
        <f>IF($A108="","",COUNTIFS(Assessments!G:G,$A108,Assessments!B:B,"&gt;="&amp;$B$4,Assessments!B:B,"&lt;="&amp;$B$5,Assessments!C:C,IF($E$4="",$B108,$E$4),Assessments!D:D,IF($E$5="",$C108,$E$5)))</f>
        <v/>
      </c>
      <c r="E108">
        <f>IF($D108=0,"",ROUND(AVERAGEIFS(Assessments!J:J,Assessments!G:G,$A108,Assessments!B:B,"&gt;="&amp;$B$4,Assessments!B:B,"&lt;="&amp;$B$5,Assessments!C:C,IF($E$4="",$B108,$E$4),Assessments!D:D,IF($E$5="",$C108,$E$5)),0))</f>
        <v/>
      </c>
      <c r="F108">
        <f>IF($D108=0,"",MAXIFS(Assessments!J:J,Assessments!G:G,$A108,Assessments!B:B,"&gt;="&amp;$B$4,Assessments!B:B,"&lt;="&amp;$B$5,Assessments!C:C,IF($E$4="",$B108,$E$4),Assessments!D:D,IF($E$5="",$C108,$E$5)))</f>
        <v/>
      </c>
      <c r="G108">
        <f>IF($D108=0,"",MINIFS(Assessments!J:J,Assessments!G:G,$A108,Assessments!B:B,"&gt;="&amp;$B$4,Assessments!B:B,"&lt;="&amp;$B$5,Assessments!C:C,IF($E$4="",$B108,$E$4),Assessments!D:D,IF($E$5="",$C108,$E$5)))</f>
        <v/>
      </c>
      <c r="H108">
        <f>IF($E108="","",RANK($E108,$E$8:$E$507,0))</f>
        <v/>
      </c>
      <c r="I108">
        <f>IF($E108="","",IF($E108&gt;=85,"Excellent",IF($E108&gt;=70,"Good",IF($E108&gt;=50,"Fair","Needs Support"))))</f>
        <v/>
      </c>
    </row>
    <row r="109">
      <c r="A109">
        <f>IF(Students!A103="","",Students!A103)</f>
        <v/>
      </c>
      <c r="B109">
        <f>IF($A109="","",Students!B103)</f>
        <v/>
      </c>
      <c r="C109">
        <f>IF($A109="","",Students!C103)</f>
        <v/>
      </c>
      <c r="D109">
        <f>IF($A109="","",COUNTIFS(Assessments!G:G,$A109,Assessments!B:B,"&gt;="&amp;$B$4,Assessments!B:B,"&lt;="&amp;$B$5,Assessments!C:C,IF($E$4="",$B109,$E$4),Assessments!D:D,IF($E$5="",$C109,$E$5)))</f>
        <v/>
      </c>
      <c r="E109">
        <f>IF($D109=0,"",ROUND(AVERAGEIFS(Assessments!J:J,Assessments!G:G,$A109,Assessments!B:B,"&gt;="&amp;$B$4,Assessments!B:B,"&lt;="&amp;$B$5,Assessments!C:C,IF($E$4="",$B109,$E$4),Assessments!D:D,IF($E$5="",$C109,$E$5)),0))</f>
        <v/>
      </c>
      <c r="F109">
        <f>IF($D109=0,"",MAXIFS(Assessments!J:J,Assessments!G:G,$A109,Assessments!B:B,"&gt;="&amp;$B$4,Assessments!B:B,"&lt;="&amp;$B$5,Assessments!C:C,IF($E$4="",$B109,$E$4),Assessments!D:D,IF($E$5="",$C109,$E$5)))</f>
        <v/>
      </c>
      <c r="G109">
        <f>IF($D109=0,"",MINIFS(Assessments!J:J,Assessments!G:G,$A109,Assessments!B:B,"&gt;="&amp;$B$4,Assessments!B:B,"&lt;="&amp;$B$5,Assessments!C:C,IF($E$4="",$B109,$E$4),Assessments!D:D,IF($E$5="",$C109,$E$5)))</f>
        <v/>
      </c>
      <c r="H109">
        <f>IF($E109="","",RANK($E109,$E$8:$E$507,0))</f>
        <v/>
      </c>
      <c r="I109">
        <f>IF($E109="","",IF($E109&gt;=85,"Excellent",IF($E109&gt;=70,"Good",IF($E109&gt;=50,"Fair","Needs Support"))))</f>
        <v/>
      </c>
    </row>
    <row r="110">
      <c r="A110">
        <f>IF(Students!A104="","",Students!A104)</f>
        <v/>
      </c>
      <c r="B110">
        <f>IF($A110="","",Students!B104)</f>
        <v/>
      </c>
      <c r="C110">
        <f>IF($A110="","",Students!C104)</f>
        <v/>
      </c>
      <c r="D110">
        <f>IF($A110="","",COUNTIFS(Assessments!G:G,$A110,Assessments!B:B,"&gt;="&amp;$B$4,Assessments!B:B,"&lt;="&amp;$B$5,Assessments!C:C,IF($E$4="",$B110,$E$4),Assessments!D:D,IF($E$5="",$C110,$E$5)))</f>
        <v/>
      </c>
      <c r="E110">
        <f>IF($D110=0,"",ROUND(AVERAGEIFS(Assessments!J:J,Assessments!G:G,$A110,Assessments!B:B,"&gt;="&amp;$B$4,Assessments!B:B,"&lt;="&amp;$B$5,Assessments!C:C,IF($E$4="",$B110,$E$4),Assessments!D:D,IF($E$5="",$C110,$E$5)),0))</f>
        <v/>
      </c>
      <c r="F110">
        <f>IF($D110=0,"",MAXIFS(Assessments!J:J,Assessments!G:G,$A110,Assessments!B:B,"&gt;="&amp;$B$4,Assessments!B:B,"&lt;="&amp;$B$5,Assessments!C:C,IF($E$4="",$B110,$E$4),Assessments!D:D,IF($E$5="",$C110,$E$5)))</f>
        <v/>
      </c>
      <c r="G110">
        <f>IF($D110=0,"",MINIFS(Assessments!J:J,Assessments!G:G,$A110,Assessments!B:B,"&gt;="&amp;$B$4,Assessments!B:B,"&lt;="&amp;$B$5,Assessments!C:C,IF($E$4="",$B110,$E$4),Assessments!D:D,IF($E$5="",$C110,$E$5)))</f>
        <v/>
      </c>
      <c r="H110">
        <f>IF($E110="","",RANK($E110,$E$8:$E$507,0))</f>
        <v/>
      </c>
      <c r="I110">
        <f>IF($E110="","",IF($E110&gt;=85,"Excellent",IF($E110&gt;=70,"Good",IF($E110&gt;=50,"Fair","Needs Support"))))</f>
        <v/>
      </c>
    </row>
    <row r="111">
      <c r="A111">
        <f>IF(Students!A105="","",Students!A105)</f>
        <v/>
      </c>
      <c r="B111">
        <f>IF($A111="","",Students!B105)</f>
        <v/>
      </c>
      <c r="C111">
        <f>IF($A111="","",Students!C105)</f>
        <v/>
      </c>
      <c r="D111">
        <f>IF($A111="","",COUNTIFS(Assessments!G:G,$A111,Assessments!B:B,"&gt;="&amp;$B$4,Assessments!B:B,"&lt;="&amp;$B$5,Assessments!C:C,IF($E$4="",$B111,$E$4),Assessments!D:D,IF($E$5="",$C111,$E$5)))</f>
        <v/>
      </c>
      <c r="E111">
        <f>IF($D111=0,"",ROUND(AVERAGEIFS(Assessments!J:J,Assessments!G:G,$A111,Assessments!B:B,"&gt;="&amp;$B$4,Assessments!B:B,"&lt;="&amp;$B$5,Assessments!C:C,IF($E$4="",$B111,$E$4),Assessments!D:D,IF($E$5="",$C111,$E$5)),0))</f>
        <v/>
      </c>
      <c r="F111">
        <f>IF($D111=0,"",MAXIFS(Assessments!J:J,Assessments!G:G,$A111,Assessments!B:B,"&gt;="&amp;$B$4,Assessments!B:B,"&lt;="&amp;$B$5,Assessments!C:C,IF($E$4="",$B111,$E$4),Assessments!D:D,IF($E$5="",$C111,$E$5)))</f>
        <v/>
      </c>
      <c r="G111">
        <f>IF($D111=0,"",MINIFS(Assessments!J:J,Assessments!G:G,$A111,Assessments!B:B,"&gt;="&amp;$B$4,Assessments!B:B,"&lt;="&amp;$B$5,Assessments!C:C,IF($E$4="",$B111,$E$4),Assessments!D:D,IF($E$5="",$C111,$E$5)))</f>
        <v/>
      </c>
      <c r="H111">
        <f>IF($E111="","",RANK($E111,$E$8:$E$507,0))</f>
        <v/>
      </c>
      <c r="I111">
        <f>IF($E111="","",IF($E111&gt;=85,"Excellent",IF($E111&gt;=70,"Good",IF($E111&gt;=50,"Fair","Needs Support"))))</f>
        <v/>
      </c>
    </row>
    <row r="112">
      <c r="A112">
        <f>IF(Students!A106="","",Students!A106)</f>
        <v/>
      </c>
      <c r="B112">
        <f>IF($A112="","",Students!B106)</f>
        <v/>
      </c>
      <c r="C112">
        <f>IF($A112="","",Students!C106)</f>
        <v/>
      </c>
      <c r="D112">
        <f>IF($A112="","",COUNTIFS(Assessments!G:G,$A112,Assessments!B:B,"&gt;="&amp;$B$4,Assessments!B:B,"&lt;="&amp;$B$5,Assessments!C:C,IF($E$4="",$B112,$E$4),Assessments!D:D,IF($E$5="",$C112,$E$5)))</f>
        <v/>
      </c>
      <c r="E112">
        <f>IF($D112=0,"",ROUND(AVERAGEIFS(Assessments!J:J,Assessments!G:G,$A112,Assessments!B:B,"&gt;="&amp;$B$4,Assessments!B:B,"&lt;="&amp;$B$5,Assessments!C:C,IF($E$4="",$B112,$E$4),Assessments!D:D,IF($E$5="",$C112,$E$5)),0))</f>
        <v/>
      </c>
      <c r="F112">
        <f>IF($D112=0,"",MAXIFS(Assessments!J:J,Assessments!G:G,$A112,Assessments!B:B,"&gt;="&amp;$B$4,Assessments!B:B,"&lt;="&amp;$B$5,Assessments!C:C,IF($E$4="",$B112,$E$4),Assessments!D:D,IF($E$5="",$C112,$E$5)))</f>
        <v/>
      </c>
      <c r="G112">
        <f>IF($D112=0,"",MINIFS(Assessments!J:J,Assessments!G:G,$A112,Assessments!B:B,"&gt;="&amp;$B$4,Assessments!B:B,"&lt;="&amp;$B$5,Assessments!C:C,IF($E$4="",$B112,$E$4),Assessments!D:D,IF($E$5="",$C112,$E$5)))</f>
        <v/>
      </c>
      <c r="H112">
        <f>IF($E112="","",RANK($E112,$E$8:$E$507,0))</f>
        <v/>
      </c>
      <c r="I112">
        <f>IF($E112="","",IF($E112&gt;=85,"Excellent",IF($E112&gt;=70,"Good",IF($E112&gt;=50,"Fair","Needs Support"))))</f>
        <v/>
      </c>
    </row>
    <row r="113">
      <c r="A113">
        <f>IF(Students!A107="","",Students!A107)</f>
        <v/>
      </c>
      <c r="B113">
        <f>IF($A113="","",Students!B107)</f>
        <v/>
      </c>
      <c r="C113">
        <f>IF($A113="","",Students!C107)</f>
        <v/>
      </c>
      <c r="D113">
        <f>IF($A113="","",COUNTIFS(Assessments!G:G,$A113,Assessments!B:B,"&gt;="&amp;$B$4,Assessments!B:B,"&lt;="&amp;$B$5,Assessments!C:C,IF($E$4="",$B113,$E$4),Assessments!D:D,IF($E$5="",$C113,$E$5)))</f>
        <v/>
      </c>
      <c r="E113">
        <f>IF($D113=0,"",ROUND(AVERAGEIFS(Assessments!J:J,Assessments!G:G,$A113,Assessments!B:B,"&gt;="&amp;$B$4,Assessments!B:B,"&lt;="&amp;$B$5,Assessments!C:C,IF($E$4="",$B113,$E$4),Assessments!D:D,IF($E$5="",$C113,$E$5)),0))</f>
        <v/>
      </c>
      <c r="F113">
        <f>IF($D113=0,"",MAXIFS(Assessments!J:J,Assessments!G:G,$A113,Assessments!B:B,"&gt;="&amp;$B$4,Assessments!B:B,"&lt;="&amp;$B$5,Assessments!C:C,IF($E$4="",$B113,$E$4),Assessments!D:D,IF($E$5="",$C113,$E$5)))</f>
        <v/>
      </c>
      <c r="G113">
        <f>IF($D113=0,"",MINIFS(Assessments!J:J,Assessments!G:G,$A113,Assessments!B:B,"&gt;="&amp;$B$4,Assessments!B:B,"&lt;="&amp;$B$5,Assessments!C:C,IF($E$4="",$B113,$E$4),Assessments!D:D,IF($E$5="",$C113,$E$5)))</f>
        <v/>
      </c>
      <c r="H113">
        <f>IF($E113="","",RANK($E113,$E$8:$E$507,0))</f>
        <v/>
      </c>
      <c r="I113">
        <f>IF($E113="","",IF($E113&gt;=85,"Excellent",IF($E113&gt;=70,"Good",IF($E113&gt;=50,"Fair","Needs Support"))))</f>
        <v/>
      </c>
    </row>
    <row r="114">
      <c r="A114">
        <f>IF(Students!A108="","",Students!A108)</f>
        <v/>
      </c>
      <c r="B114">
        <f>IF($A114="","",Students!B108)</f>
        <v/>
      </c>
      <c r="C114">
        <f>IF($A114="","",Students!C108)</f>
        <v/>
      </c>
      <c r="D114">
        <f>IF($A114="","",COUNTIFS(Assessments!G:G,$A114,Assessments!B:B,"&gt;="&amp;$B$4,Assessments!B:B,"&lt;="&amp;$B$5,Assessments!C:C,IF($E$4="",$B114,$E$4),Assessments!D:D,IF($E$5="",$C114,$E$5)))</f>
        <v/>
      </c>
      <c r="E114">
        <f>IF($D114=0,"",ROUND(AVERAGEIFS(Assessments!J:J,Assessments!G:G,$A114,Assessments!B:B,"&gt;="&amp;$B$4,Assessments!B:B,"&lt;="&amp;$B$5,Assessments!C:C,IF($E$4="",$B114,$E$4),Assessments!D:D,IF($E$5="",$C114,$E$5)),0))</f>
        <v/>
      </c>
      <c r="F114">
        <f>IF($D114=0,"",MAXIFS(Assessments!J:J,Assessments!G:G,$A114,Assessments!B:B,"&gt;="&amp;$B$4,Assessments!B:B,"&lt;="&amp;$B$5,Assessments!C:C,IF($E$4="",$B114,$E$4),Assessments!D:D,IF($E$5="",$C114,$E$5)))</f>
        <v/>
      </c>
      <c r="G114">
        <f>IF($D114=0,"",MINIFS(Assessments!J:J,Assessments!G:G,$A114,Assessments!B:B,"&gt;="&amp;$B$4,Assessments!B:B,"&lt;="&amp;$B$5,Assessments!C:C,IF($E$4="",$B114,$E$4),Assessments!D:D,IF($E$5="",$C114,$E$5)))</f>
        <v/>
      </c>
      <c r="H114">
        <f>IF($E114="","",RANK($E114,$E$8:$E$507,0))</f>
        <v/>
      </c>
      <c r="I114">
        <f>IF($E114="","",IF($E114&gt;=85,"Excellent",IF($E114&gt;=70,"Good",IF($E114&gt;=50,"Fair","Needs Support"))))</f>
        <v/>
      </c>
    </row>
    <row r="115">
      <c r="A115">
        <f>IF(Students!A109="","",Students!A109)</f>
        <v/>
      </c>
      <c r="B115">
        <f>IF($A115="","",Students!B109)</f>
        <v/>
      </c>
      <c r="C115">
        <f>IF($A115="","",Students!C109)</f>
        <v/>
      </c>
      <c r="D115">
        <f>IF($A115="","",COUNTIFS(Assessments!G:G,$A115,Assessments!B:B,"&gt;="&amp;$B$4,Assessments!B:B,"&lt;="&amp;$B$5,Assessments!C:C,IF($E$4="",$B115,$E$4),Assessments!D:D,IF($E$5="",$C115,$E$5)))</f>
        <v/>
      </c>
      <c r="E115">
        <f>IF($D115=0,"",ROUND(AVERAGEIFS(Assessments!J:J,Assessments!G:G,$A115,Assessments!B:B,"&gt;="&amp;$B$4,Assessments!B:B,"&lt;="&amp;$B$5,Assessments!C:C,IF($E$4="",$B115,$E$4),Assessments!D:D,IF($E$5="",$C115,$E$5)),0))</f>
        <v/>
      </c>
      <c r="F115">
        <f>IF($D115=0,"",MAXIFS(Assessments!J:J,Assessments!G:G,$A115,Assessments!B:B,"&gt;="&amp;$B$4,Assessments!B:B,"&lt;="&amp;$B$5,Assessments!C:C,IF($E$4="",$B115,$E$4),Assessments!D:D,IF($E$5="",$C115,$E$5)))</f>
        <v/>
      </c>
      <c r="G115">
        <f>IF($D115=0,"",MINIFS(Assessments!J:J,Assessments!G:G,$A115,Assessments!B:B,"&gt;="&amp;$B$4,Assessments!B:B,"&lt;="&amp;$B$5,Assessments!C:C,IF($E$4="",$B115,$E$4),Assessments!D:D,IF($E$5="",$C115,$E$5)))</f>
        <v/>
      </c>
      <c r="H115">
        <f>IF($E115="","",RANK($E115,$E$8:$E$507,0))</f>
        <v/>
      </c>
      <c r="I115">
        <f>IF($E115="","",IF($E115&gt;=85,"Excellent",IF($E115&gt;=70,"Good",IF($E115&gt;=50,"Fair","Needs Support"))))</f>
        <v/>
      </c>
    </row>
    <row r="116">
      <c r="A116">
        <f>IF(Students!A110="","",Students!A110)</f>
        <v/>
      </c>
      <c r="B116">
        <f>IF($A116="","",Students!B110)</f>
        <v/>
      </c>
      <c r="C116">
        <f>IF($A116="","",Students!C110)</f>
        <v/>
      </c>
      <c r="D116">
        <f>IF($A116="","",COUNTIFS(Assessments!G:G,$A116,Assessments!B:B,"&gt;="&amp;$B$4,Assessments!B:B,"&lt;="&amp;$B$5,Assessments!C:C,IF($E$4="",$B116,$E$4),Assessments!D:D,IF($E$5="",$C116,$E$5)))</f>
        <v/>
      </c>
      <c r="E116">
        <f>IF($D116=0,"",ROUND(AVERAGEIFS(Assessments!J:J,Assessments!G:G,$A116,Assessments!B:B,"&gt;="&amp;$B$4,Assessments!B:B,"&lt;="&amp;$B$5,Assessments!C:C,IF($E$4="",$B116,$E$4),Assessments!D:D,IF($E$5="",$C116,$E$5)),0))</f>
        <v/>
      </c>
      <c r="F116">
        <f>IF($D116=0,"",MAXIFS(Assessments!J:J,Assessments!G:G,$A116,Assessments!B:B,"&gt;="&amp;$B$4,Assessments!B:B,"&lt;="&amp;$B$5,Assessments!C:C,IF($E$4="",$B116,$E$4),Assessments!D:D,IF($E$5="",$C116,$E$5)))</f>
        <v/>
      </c>
      <c r="G116">
        <f>IF($D116=0,"",MINIFS(Assessments!J:J,Assessments!G:G,$A116,Assessments!B:B,"&gt;="&amp;$B$4,Assessments!B:B,"&lt;="&amp;$B$5,Assessments!C:C,IF($E$4="",$B116,$E$4),Assessments!D:D,IF($E$5="",$C116,$E$5)))</f>
        <v/>
      </c>
      <c r="H116">
        <f>IF($E116="","",RANK($E116,$E$8:$E$507,0))</f>
        <v/>
      </c>
      <c r="I116">
        <f>IF($E116="","",IF($E116&gt;=85,"Excellent",IF($E116&gt;=70,"Good",IF($E116&gt;=50,"Fair","Needs Support"))))</f>
        <v/>
      </c>
    </row>
    <row r="117">
      <c r="A117">
        <f>IF(Students!A111="","",Students!A111)</f>
        <v/>
      </c>
      <c r="B117">
        <f>IF($A117="","",Students!B111)</f>
        <v/>
      </c>
      <c r="C117">
        <f>IF($A117="","",Students!C111)</f>
        <v/>
      </c>
      <c r="D117">
        <f>IF($A117="","",COUNTIFS(Assessments!G:G,$A117,Assessments!B:B,"&gt;="&amp;$B$4,Assessments!B:B,"&lt;="&amp;$B$5,Assessments!C:C,IF($E$4="",$B117,$E$4),Assessments!D:D,IF($E$5="",$C117,$E$5)))</f>
        <v/>
      </c>
      <c r="E117">
        <f>IF($D117=0,"",ROUND(AVERAGEIFS(Assessments!J:J,Assessments!G:G,$A117,Assessments!B:B,"&gt;="&amp;$B$4,Assessments!B:B,"&lt;="&amp;$B$5,Assessments!C:C,IF($E$4="",$B117,$E$4),Assessments!D:D,IF($E$5="",$C117,$E$5)),0))</f>
        <v/>
      </c>
      <c r="F117">
        <f>IF($D117=0,"",MAXIFS(Assessments!J:J,Assessments!G:G,$A117,Assessments!B:B,"&gt;="&amp;$B$4,Assessments!B:B,"&lt;="&amp;$B$5,Assessments!C:C,IF($E$4="",$B117,$E$4),Assessments!D:D,IF($E$5="",$C117,$E$5)))</f>
        <v/>
      </c>
      <c r="G117">
        <f>IF($D117=0,"",MINIFS(Assessments!J:J,Assessments!G:G,$A117,Assessments!B:B,"&gt;="&amp;$B$4,Assessments!B:B,"&lt;="&amp;$B$5,Assessments!C:C,IF($E$4="",$B117,$E$4),Assessments!D:D,IF($E$5="",$C117,$E$5)))</f>
        <v/>
      </c>
      <c r="H117">
        <f>IF($E117="","",RANK($E117,$E$8:$E$507,0))</f>
        <v/>
      </c>
      <c r="I117">
        <f>IF($E117="","",IF($E117&gt;=85,"Excellent",IF($E117&gt;=70,"Good",IF($E117&gt;=50,"Fair","Needs Support"))))</f>
        <v/>
      </c>
    </row>
    <row r="118">
      <c r="A118">
        <f>IF(Students!A112="","",Students!A112)</f>
        <v/>
      </c>
      <c r="B118">
        <f>IF($A118="","",Students!B112)</f>
        <v/>
      </c>
      <c r="C118">
        <f>IF($A118="","",Students!C112)</f>
        <v/>
      </c>
      <c r="D118">
        <f>IF($A118="","",COUNTIFS(Assessments!G:G,$A118,Assessments!B:B,"&gt;="&amp;$B$4,Assessments!B:B,"&lt;="&amp;$B$5,Assessments!C:C,IF($E$4="",$B118,$E$4),Assessments!D:D,IF($E$5="",$C118,$E$5)))</f>
        <v/>
      </c>
      <c r="E118">
        <f>IF($D118=0,"",ROUND(AVERAGEIFS(Assessments!J:J,Assessments!G:G,$A118,Assessments!B:B,"&gt;="&amp;$B$4,Assessments!B:B,"&lt;="&amp;$B$5,Assessments!C:C,IF($E$4="",$B118,$E$4),Assessments!D:D,IF($E$5="",$C118,$E$5)),0))</f>
        <v/>
      </c>
      <c r="F118">
        <f>IF($D118=0,"",MAXIFS(Assessments!J:J,Assessments!G:G,$A118,Assessments!B:B,"&gt;="&amp;$B$4,Assessments!B:B,"&lt;="&amp;$B$5,Assessments!C:C,IF($E$4="",$B118,$E$4),Assessments!D:D,IF($E$5="",$C118,$E$5)))</f>
        <v/>
      </c>
      <c r="G118">
        <f>IF($D118=0,"",MINIFS(Assessments!J:J,Assessments!G:G,$A118,Assessments!B:B,"&gt;="&amp;$B$4,Assessments!B:B,"&lt;="&amp;$B$5,Assessments!C:C,IF($E$4="",$B118,$E$4),Assessments!D:D,IF($E$5="",$C118,$E$5)))</f>
        <v/>
      </c>
      <c r="H118">
        <f>IF($E118="","",RANK($E118,$E$8:$E$507,0))</f>
        <v/>
      </c>
      <c r="I118">
        <f>IF($E118="","",IF($E118&gt;=85,"Excellent",IF($E118&gt;=70,"Good",IF($E118&gt;=50,"Fair","Needs Support"))))</f>
        <v/>
      </c>
    </row>
    <row r="119">
      <c r="A119">
        <f>IF(Students!A113="","",Students!A113)</f>
        <v/>
      </c>
      <c r="B119">
        <f>IF($A119="","",Students!B113)</f>
        <v/>
      </c>
      <c r="C119">
        <f>IF($A119="","",Students!C113)</f>
        <v/>
      </c>
      <c r="D119">
        <f>IF($A119="","",COUNTIFS(Assessments!G:G,$A119,Assessments!B:B,"&gt;="&amp;$B$4,Assessments!B:B,"&lt;="&amp;$B$5,Assessments!C:C,IF($E$4="",$B119,$E$4),Assessments!D:D,IF($E$5="",$C119,$E$5)))</f>
        <v/>
      </c>
      <c r="E119">
        <f>IF($D119=0,"",ROUND(AVERAGEIFS(Assessments!J:J,Assessments!G:G,$A119,Assessments!B:B,"&gt;="&amp;$B$4,Assessments!B:B,"&lt;="&amp;$B$5,Assessments!C:C,IF($E$4="",$B119,$E$4),Assessments!D:D,IF($E$5="",$C119,$E$5)),0))</f>
        <v/>
      </c>
      <c r="F119">
        <f>IF($D119=0,"",MAXIFS(Assessments!J:J,Assessments!G:G,$A119,Assessments!B:B,"&gt;="&amp;$B$4,Assessments!B:B,"&lt;="&amp;$B$5,Assessments!C:C,IF($E$4="",$B119,$E$4),Assessments!D:D,IF($E$5="",$C119,$E$5)))</f>
        <v/>
      </c>
      <c r="G119">
        <f>IF($D119=0,"",MINIFS(Assessments!J:J,Assessments!G:G,$A119,Assessments!B:B,"&gt;="&amp;$B$4,Assessments!B:B,"&lt;="&amp;$B$5,Assessments!C:C,IF($E$4="",$B119,$E$4),Assessments!D:D,IF($E$5="",$C119,$E$5)))</f>
        <v/>
      </c>
      <c r="H119">
        <f>IF($E119="","",RANK($E119,$E$8:$E$507,0))</f>
        <v/>
      </c>
      <c r="I119">
        <f>IF($E119="","",IF($E119&gt;=85,"Excellent",IF($E119&gt;=70,"Good",IF($E119&gt;=50,"Fair","Needs Support"))))</f>
        <v/>
      </c>
    </row>
    <row r="120">
      <c r="A120">
        <f>IF(Students!A114="","",Students!A114)</f>
        <v/>
      </c>
      <c r="B120">
        <f>IF($A120="","",Students!B114)</f>
        <v/>
      </c>
      <c r="C120">
        <f>IF($A120="","",Students!C114)</f>
        <v/>
      </c>
      <c r="D120">
        <f>IF($A120="","",COUNTIFS(Assessments!G:G,$A120,Assessments!B:B,"&gt;="&amp;$B$4,Assessments!B:B,"&lt;="&amp;$B$5,Assessments!C:C,IF($E$4="",$B120,$E$4),Assessments!D:D,IF($E$5="",$C120,$E$5)))</f>
        <v/>
      </c>
      <c r="E120">
        <f>IF($D120=0,"",ROUND(AVERAGEIFS(Assessments!J:J,Assessments!G:G,$A120,Assessments!B:B,"&gt;="&amp;$B$4,Assessments!B:B,"&lt;="&amp;$B$5,Assessments!C:C,IF($E$4="",$B120,$E$4),Assessments!D:D,IF($E$5="",$C120,$E$5)),0))</f>
        <v/>
      </c>
      <c r="F120">
        <f>IF($D120=0,"",MAXIFS(Assessments!J:J,Assessments!G:G,$A120,Assessments!B:B,"&gt;="&amp;$B$4,Assessments!B:B,"&lt;="&amp;$B$5,Assessments!C:C,IF($E$4="",$B120,$E$4),Assessments!D:D,IF($E$5="",$C120,$E$5)))</f>
        <v/>
      </c>
      <c r="G120">
        <f>IF($D120=0,"",MINIFS(Assessments!J:J,Assessments!G:G,$A120,Assessments!B:B,"&gt;="&amp;$B$4,Assessments!B:B,"&lt;="&amp;$B$5,Assessments!C:C,IF($E$4="",$B120,$E$4),Assessments!D:D,IF($E$5="",$C120,$E$5)))</f>
        <v/>
      </c>
      <c r="H120">
        <f>IF($E120="","",RANK($E120,$E$8:$E$507,0))</f>
        <v/>
      </c>
      <c r="I120">
        <f>IF($E120="","",IF($E120&gt;=85,"Excellent",IF($E120&gt;=70,"Good",IF($E120&gt;=50,"Fair","Needs Support"))))</f>
        <v/>
      </c>
    </row>
    <row r="121">
      <c r="A121">
        <f>IF(Students!A115="","",Students!A115)</f>
        <v/>
      </c>
      <c r="B121">
        <f>IF($A121="","",Students!B115)</f>
        <v/>
      </c>
      <c r="C121">
        <f>IF($A121="","",Students!C115)</f>
        <v/>
      </c>
      <c r="D121">
        <f>IF($A121="","",COUNTIFS(Assessments!G:G,$A121,Assessments!B:B,"&gt;="&amp;$B$4,Assessments!B:B,"&lt;="&amp;$B$5,Assessments!C:C,IF($E$4="",$B121,$E$4),Assessments!D:D,IF($E$5="",$C121,$E$5)))</f>
        <v/>
      </c>
      <c r="E121">
        <f>IF($D121=0,"",ROUND(AVERAGEIFS(Assessments!J:J,Assessments!G:G,$A121,Assessments!B:B,"&gt;="&amp;$B$4,Assessments!B:B,"&lt;="&amp;$B$5,Assessments!C:C,IF($E$4="",$B121,$E$4),Assessments!D:D,IF($E$5="",$C121,$E$5)),0))</f>
        <v/>
      </c>
      <c r="F121">
        <f>IF($D121=0,"",MAXIFS(Assessments!J:J,Assessments!G:G,$A121,Assessments!B:B,"&gt;="&amp;$B$4,Assessments!B:B,"&lt;="&amp;$B$5,Assessments!C:C,IF($E$4="",$B121,$E$4),Assessments!D:D,IF($E$5="",$C121,$E$5)))</f>
        <v/>
      </c>
      <c r="G121">
        <f>IF($D121=0,"",MINIFS(Assessments!J:J,Assessments!G:G,$A121,Assessments!B:B,"&gt;="&amp;$B$4,Assessments!B:B,"&lt;="&amp;$B$5,Assessments!C:C,IF($E$4="",$B121,$E$4),Assessments!D:D,IF($E$5="",$C121,$E$5)))</f>
        <v/>
      </c>
      <c r="H121">
        <f>IF($E121="","",RANK($E121,$E$8:$E$507,0))</f>
        <v/>
      </c>
      <c r="I121">
        <f>IF($E121="","",IF($E121&gt;=85,"Excellent",IF($E121&gt;=70,"Good",IF($E121&gt;=50,"Fair","Needs Support"))))</f>
        <v/>
      </c>
    </row>
    <row r="122">
      <c r="A122">
        <f>IF(Students!A116="","",Students!A116)</f>
        <v/>
      </c>
      <c r="B122">
        <f>IF($A122="","",Students!B116)</f>
        <v/>
      </c>
      <c r="C122">
        <f>IF($A122="","",Students!C116)</f>
        <v/>
      </c>
      <c r="D122">
        <f>IF($A122="","",COUNTIFS(Assessments!G:G,$A122,Assessments!B:B,"&gt;="&amp;$B$4,Assessments!B:B,"&lt;="&amp;$B$5,Assessments!C:C,IF($E$4="",$B122,$E$4),Assessments!D:D,IF($E$5="",$C122,$E$5)))</f>
        <v/>
      </c>
      <c r="E122">
        <f>IF($D122=0,"",ROUND(AVERAGEIFS(Assessments!J:J,Assessments!G:G,$A122,Assessments!B:B,"&gt;="&amp;$B$4,Assessments!B:B,"&lt;="&amp;$B$5,Assessments!C:C,IF($E$4="",$B122,$E$4),Assessments!D:D,IF($E$5="",$C122,$E$5)),0))</f>
        <v/>
      </c>
      <c r="F122">
        <f>IF($D122=0,"",MAXIFS(Assessments!J:J,Assessments!G:G,$A122,Assessments!B:B,"&gt;="&amp;$B$4,Assessments!B:B,"&lt;="&amp;$B$5,Assessments!C:C,IF($E$4="",$B122,$E$4),Assessments!D:D,IF($E$5="",$C122,$E$5)))</f>
        <v/>
      </c>
      <c r="G122">
        <f>IF($D122=0,"",MINIFS(Assessments!J:J,Assessments!G:G,$A122,Assessments!B:B,"&gt;="&amp;$B$4,Assessments!B:B,"&lt;="&amp;$B$5,Assessments!C:C,IF($E$4="",$B122,$E$4),Assessments!D:D,IF($E$5="",$C122,$E$5)))</f>
        <v/>
      </c>
      <c r="H122">
        <f>IF($E122="","",RANK($E122,$E$8:$E$507,0))</f>
        <v/>
      </c>
      <c r="I122">
        <f>IF($E122="","",IF($E122&gt;=85,"Excellent",IF($E122&gt;=70,"Good",IF($E122&gt;=50,"Fair","Needs Support"))))</f>
        <v/>
      </c>
    </row>
    <row r="123">
      <c r="A123">
        <f>IF(Students!A117="","",Students!A117)</f>
        <v/>
      </c>
      <c r="B123">
        <f>IF($A123="","",Students!B117)</f>
        <v/>
      </c>
      <c r="C123">
        <f>IF($A123="","",Students!C117)</f>
        <v/>
      </c>
      <c r="D123">
        <f>IF($A123="","",COUNTIFS(Assessments!G:G,$A123,Assessments!B:B,"&gt;="&amp;$B$4,Assessments!B:B,"&lt;="&amp;$B$5,Assessments!C:C,IF($E$4="",$B123,$E$4),Assessments!D:D,IF($E$5="",$C123,$E$5)))</f>
        <v/>
      </c>
      <c r="E123">
        <f>IF($D123=0,"",ROUND(AVERAGEIFS(Assessments!J:J,Assessments!G:G,$A123,Assessments!B:B,"&gt;="&amp;$B$4,Assessments!B:B,"&lt;="&amp;$B$5,Assessments!C:C,IF($E$4="",$B123,$E$4),Assessments!D:D,IF($E$5="",$C123,$E$5)),0))</f>
        <v/>
      </c>
      <c r="F123">
        <f>IF($D123=0,"",MAXIFS(Assessments!J:J,Assessments!G:G,$A123,Assessments!B:B,"&gt;="&amp;$B$4,Assessments!B:B,"&lt;="&amp;$B$5,Assessments!C:C,IF($E$4="",$B123,$E$4),Assessments!D:D,IF($E$5="",$C123,$E$5)))</f>
        <v/>
      </c>
      <c r="G123">
        <f>IF($D123=0,"",MINIFS(Assessments!J:J,Assessments!G:G,$A123,Assessments!B:B,"&gt;="&amp;$B$4,Assessments!B:B,"&lt;="&amp;$B$5,Assessments!C:C,IF($E$4="",$B123,$E$4),Assessments!D:D,IF($E$5="",$C123,$E$5)))</f>
        <v/>
      </c>
      <c r="H123">
        <f>IF($E123="","",RANK($E123,$E$8:$E$507,0))</f>
        <v/>
      </c>
      <c r="I123">
        <f>IF($E123="","",IF($E123&gt;=85,"Excellent",IF($E123&gt;=70,"Good",IF($E123&gt;=50,"Fair","Needs Support"))))</f>
        <v/>
      </c>
    </row>
    <row r="124">
      <c r="A124">
        <f>IF(Students!A118="","",Students!A118)</f>
        <v/>
      </c>
      <c r="B124">
        <f>IF($A124="","",Students!B118)</f>
        <v/>
      </c>
      <c r="C124">
        <f>IF($A124="","",Students!C118)</f>
        <v/>
      </c>
      <c r="D124">
        <f>IF($A124="","",COUNTIFS(Assessments!G:G,$A124,Assessments!B:B,"&gt;="&amp;$B$4,Assessments!B:B,"&lt;="&amp;$B$5,Assessments!C:C,IF($E$4="",$B124,$E$4),Assessments!D:D,IF($E$5="",$C124,$E$5)))</f>
        <v/>
      </c>
      <c r="E124">
        <f>IF($D124=0,"",ROUND(AVERAGEIFS(Assessments!J:J,Assessments!G:G,$A124,Assessments!B:B,"&gt;="&amp;$B$4,Assessments!B:B,"&lt;="&amp;$B$5,Assessments!C:C,IF($E$4="",$B124,$E$4),Assessments!D:D,IF($E$5="",$C124,$E$5)),0))</f>
        <v/>
      </c>
      <c r="F124">
        <f>IF($D124=0,"",MAXIFS(Assessments!J:J,Assessments!G:G,$A124,Assessments!B:B,"&gt;="&amp;$B$4,Assessments!B:B,"&lt;="&amp;$B$5,Assessments!C:C,IF($E$4="",$B124,$E$4),Assessments!D:D,IF($E$5="",$C124,$E$5)))</f>
        <v/>
      </c>
      <c r="G124">
        <f>IF($D124=0,"",MINIFS(Assessments!J:J,Assessments!G:G,$A124,Assessments!B:B,"&gt;="&amp;$B$4,Assessments!B:B,"&lt;="&amp;$B$5,Assessments!C:C,IF($E$4="",$B124,$E$4),Assessments!D:D,IF($E$5="",$C124,$E$5)))</f>
        <v/>
      </c>
      <c r="H124">
        <f>IF($E124="","",RANK($E124,$E$8:$E$507,0))</f>
        <v/>
      </c>
      <c r="I124">
        <f>IF($E124="","",IF($E124&gt;=85,"Excellent",IF($E124&gt;=70,"Good",IF($E124&gt;=50,"Fair","Needs Support"))))</f>
        <v/>
      </c>
    </row>
    <row r="125">
      <c r="A125">
        <f>IF(Students!A119="","",Students!A119)</f>
        <v/>
      </c>
      <c r="B125">
        <f>IF($A125="","",Students!B119)</f>
        <v/>
      </c>
      <c r="C125">
        <f>IF($A125="","",Students!C119)</f>
        <v/>
      </c>
      <c r="D125">
        <f>IF($A125="","",COUNTIFS(Assessments!G:G,$A125,Assessments!B:B,"&gt;="&amp;$B$4,Assessments!B:B,"&lt;="&amp;$B$5,Assessments!C:C,IF($E$4="",$B125,$E$4),Assessments!D:D,IF($E$5="",$C125,$E$5)))</f>
        <v/>
      </c>
      <c r="E125">
        <f>IF($D125=0,"",ROUND(AVERAGEIFS(Assessments!J:J,Assessments!G:G,$A125,Assessments!B:B,"&gt;="&amp;$B$4,Assessments!B:B,"&lt;="&amp;$B$5,Assessments!C:C,IF($E$4="",$B125,$E$4),Assessments!D:D,IF($E$5="",$C125,$E$5)),0))</f>
        <v/>
      </c>
      <c r="F125">
        <f>IF($D125=0,"",MAXIFS(Assessments!J:J,Assessments!G:G,$A125,Assessments!B:B,"&gt;="&amp;$B$4,Assessments!B:B,"&lt;="&amp;$B$5,Assessments!C:C,IF($E$4="",$B125,$E$4),Assessments!D:D,IF($E$5="",$C125,$E$5)))</f>
        <v/>
      </c>
      <c r="G125">
        <f>IF($D125=0,"",MINIFS(Assessments!J:J,Assessments!G:G,$A125,Assessments!B:B,"&gt;="&amp;$B$4,Assessments!B:B,"&lt;="&amp;$B$5,Assessments!C:C,IF($E$4="",$B125,$E$4),Assessments!D:D,IF($E$5="",$C125,$E$5)))</f>
        <v/>
      </c>
      <c r="H125">
        <f>IF($E125="","",RANK($E125,$E$8:$E$507,0))</f>
        <v/>
      </c>
      <c r="I125">
        <f>IF($E125="","",IF($E125&gt;=85,"Excellent",IF($E125&gt;=70,"Good",IF($E125&gt;=50,"Fair","Needs Support"))))</f>
        <v/>
      </c>
    </row>
    <row r="126">
      <c r="A126">
        <f>IF(Students!A120="","",Students!A120)</f>
        <v/>
      </c>
      <c r="B126">
        <f>IF($A126="","",Students!B120)</f>
        <v/>
      </c>
      <c r="C126">
        <f>IF($A126="","",Students!C120)</f>
        <v/>
      </c>
      <c r="D126">
        <f>IF($A126="","",COUNTIFS(Assessments!G:G,$A126,Assessments!B:B,"&gt;="&amp;$B$4,Assessments!B:B,"&lt;="&amp;$B$5,Assessments!C:C,IF($E$4="",$B126,$E$4),Assessments!D:D,IF($E$5="",$C126,$E$5)))</f>
        <v/>
      </c>
      <c r="E126">
        <f>IF($D126=0,"",ROUND(AVERAGEIFS(Assessments!J:J,Assessments!G:G,$A126,Assessments!B:B,"&gt;="&amp;$B$4,Assessments!B:B,"&lt;="&amp;$B$5,Assessments!C:C,IF($E$4="",$B126,$E$4),Assessments!D:D,IF($E$5="",$C126,$E$5)),0))</f>
        <v/>
      </c>
      <c r="F126">
        <f>IF($D126=0,"",MAXIFS(Assessments!J:J,Assessments!G:G,$A126,Assessments!B:B,"&gt;="&amp;$B$4,Assessments!B:B,"&lt;="&amp;$B$5,Assessments!C:C,IF($E$4="",$B126,$E$4),Assessments!D:D,IF($E$5="",$C126,$E$5)))</f>
        <v/>
      </c>
      <c r="G126">
        <f>IF($D126=0,"",MINIFS(Assessments!J:J,Assessments!G:G,$A126,Assessments!B:B,"&gt;="&amp;$B$4,Assessments!B:B,"&lt;="&amp;$B$5,Assessments!C:C,IF($E$4="",$B126,$E$4),Assessments!D:D,IF($E$5="",$C126,$E$5)))</f>
        <v/>
      </c>
      <c r="H126">
        <f>IF($E126="","",RANK($E126,$E$8:$E$507,0))</f>
        <v/>
      </c>
      <c r="I126">
        <f>IF($E126="","",IF($E126&gt;=85,"Excellent",IF($E126&gt;=70,"Good",IF($E126&gt;=50,"Fair","Needs Support"))))</f>
        <v/>
      </c>
    </row>
    <row r="127">
      <c r="A127">
        <f>IF(Students!A121="","",Students!A121)</f>
        <v/>
      </c>
      <c r="B127">
        <f>IF($A127="","",Students!B121)</f>
        <v/>
      </c>
      <c r="C127">
        <f>IF($A127="","",Students!C121)</f>
        <v/>
      </c>
      <c r="D127">
        <f>IF($A127="","",COUNTIFS(Assessments!G:G,$A127,Assessments!B:B,"&gt;="&amp;$B$4,Assessments!B:B,"&lt;="&amp;$B$5,Assessments!C:C,IF($E$4="",$B127,$E$4),Assessments!D:D,IF($E$5="",$C127,$E$5)))</f>
        <v/>
      </c>
      <c r="E127">
        <f>IF($D127=0,"",ROUND(AVERAGEIFS(Assessments!J:J,Assessments!G:G,$A127,Assessments!B:B,"&gt;="&amp;$B$4,Assessments!B:B,"&lt;="&amp;$B$5,Assessments!C:C,IF($E$4="",$B127,$E$4),Assessments!D:D,IF($E$5="",$C127,$E$5)),0))</f>
        <v/>
      </c>
      <c r="F127">
        <f>IF($D127=0,"",MAXIFS(Assessments!J:J,Assessments!G:G,$A127,Assessments!B:B,"&gt;="&amp;$B$4,Assessments!B:B,"&lt;="&amp;$B$5,Assessments!C:C,IF($E$4="",$B127,$E$4),Assessments!D:D,IF($E$5="",$C127,$E$5)))</f>
        <v/>
      </c>
      <c r="G127">
        <f>IF($D127=0,"",MINIFS(Assessments!J:J,Assessments!G:G,$A127,Assessments!B:B,"&gt;="&amp;$B$4,Assessments!B:B,"&lt;="&amp;$B$5,Assessments!C:C,IF($E$4="",$B127,$E$4),Assessments!D:D,IF($E$5="",$C127,$E$5)))</f>
        <v/>
      </c>
      <c r="H127">
        <f>IF($E127="","",RANK($E127,$E$8:$E$507,0))</f>
        <v/>
      </c>
      <c r="I127">
        <f>IF($E127="","",IF($E127&gt;=85,"Excellent",IF($E127&gt;=70,"Good",IF($E127&gt;=50,"Fair","Needs Support"))))</f>
        <v/>
      </c>
    </row>
    <row r="128">
      <c r="A128">
        <f>IF(Students!A122="","",Students!A122)</f>
        <v/>
      </c>
      <c r="B128">
        <f>IF($A128="","",Students!B122)</f>
        <v/>
      </c>
      <c r="C128">
        <f>IF($A128="","",Students!C122)</f>
        <v/>
      </c>
      <c r="D128">
        <f>IF($A128="","",COUNTIFS(Assessments!G:G,$A128,Assessments!B:B,"&gt;="&amp;$B$4,Assessments!B:B,"&lt;="&amp;$B$5,Assessments!C:C,IF($E$4="",$B128,$E$4),Assessments!D:D,IF($E$5="",$C128,$E$5)))</f>
        <v/>
      </c>
      <c r="E128">
        <f>IF($D128=0,"",ROUND(AVERAGEIFS(Assessments!J:J,Assessments!G:G,$A128,Assessments!B:B,"&gt;="&amp;$B$4,Assessments!B:B,"&lt;="&amp;$B$5,Assessments!C:C,IF($E$4="",$B128,$E$4),Assessments!D:D,IF($E$5="",$C128,$E$5)),0))</f>
        <v/>
      </c>
      <c r="F128">
        <f>IF($D128=0,"",MAXIFS(Assessments!J:J,Assessments!G:G,$A128,Assessments!B:B,"&gt;="&amp;$B$4,Assessments!B:B,"&lt;="&amp;$B$5,Assessments!C:C,IF($E$4="",$B128,$E$4),Assessments!D:D,IF($E$5="",$C128,$E$5)))</f>
        <v/>
      </c>
      <c r="G128">
        <f>IF($D128=0,"",MINIFS(Assessments!J:J,Assessments!G:G,$A128,Assessments!B:B,"&gt;="&amp;$B$4,Assessments!B:B,"&lt;="&amp;$B$5,Assessments!C:C,IF($E$4="",$B128,$E$4),Assessments!D:D,IF($E$5="",$C128,$E$5)))</f>
        <v/>
      </c>
      <c r="H128">
        <f>IF($E128="","",RANK($E128,$E$8:$E$507,0))</f>
        <v/>
      </c>
      <c r="I128">
        <f>IF($E128="","",IF($E128&gt;=85,"Excellent",IF($E128&gt;=70,"Good",IF($E128&gt;=50,"Fair","Needs Support"))))</f>
        <v/>
      </c>
    </row>
    <row r="129">
      <c r="A129">
        <f>IF(Students!A123="","",Students!A123)</f>
        <v/>
      </c>
      <c r="B129">
        <f>IF($A129="","",Students!B123)</f>
        <v/>
      </c>
      <c r="C129">
        <f>IF($A129="","",Students!C123)</f>
        <v/>
      </c>
      <c r="D129">
        <f>IF($A129="","",COUNTIFS(Assessments!G:G,$A129,Assessments!B:B,"&gt;="&amp;$B$4,Assessments!B:B,"&lt;="&amp;$B$5,Assessments!C:C,IF($E$4="",$B129,$E$4),Assessments!D:D,IF($E$5="",$C129,$E$5)))</f>
        <v/>
      </c>
      <c r="E129">
        <f>IF($D129=0,"",ROUND(AVERAGEIFS(Assessments!J:J,Assessments!G:G,$A129,Assessments!B:B,"&gt;="&amp;$B$4,Assessments!B:B,"&lt;="&amp;$B$5,Assessments!C:C,IF($E$4="",$B129,$E$4),Assessments!D:D,IF($E$5="",$C129,$E$5)),0))</f>
        <v/>
      </c>
      <c r="F129">
        <f>IF($D129=0,"",MAXIFS(Assessments!J:J,Assessments!G:G,$A129,Assessments!B:B,"&gt;="&amp;$B$4,Assessments!B:B,"&lt;="&amp;$B$5,Assessments!C:C,IF($E$4="",$B129,$E$4),Assessments!D:D,IF($E$5="",$C129,$E$5)))</f>
        <v/>
      </c>
      <c r="G129">
        <f>IF($D129=0,"",MINIFS(Assessments!J:J,Assessments!G:G,$A129,Assessments!B:B,"&gt;="&amp;$B$4,Assessments!B:B,"&lt;="&amp;$B$5,Assessments!C:C,IF($E$4="",$B129,$E$4),Assessments!D:D,IF($E$5="",$C129,$E$5)))</f>
        <v/>
      </c>
      <c r="H129">
        <f>IF($E129="","",RANK($E129,$E$8:$E$507,0))</f>
        <v/>
      </c>
      <c r="I129">
        <f>IF($E129="","",IF($E129&gt;=85,"Excellent",IF($E129&gt;=70,"Good",IF($E129&gt;=50,"Fair","Needs Support"))))</f>
        <v/>
      </c>
    </row>
    <row r="130">
      <c r="A130">
        <f>IF(Students!A124="","",Students!A124)</f>
        <v/>
      </c>
      <c r="B130">
        <f>IF($A130="","",Students!B124)</f>
        <v/>
      </c>
      <c r="C130">
        <f>IF($A130="","",Students!C124)</f>
        <v/>
      </c>
      <c r="D130">
        <f>IF($A130="","",COUNTIFS(Assessments!G:G,$A130,Assessments!B:B,"&gt;="&amp;$B$4,Assessments!B:B,"&lt;="&amp;$B$5,Assessments!C:C,IF($E$4="",$B130,$E$4),Assessments!D:D,IF($E$5="",$C130,$E$5)))</f>
        <v/>
      </c>
      <c r="E130">
        <f>IF($D130=0,"",ROUND(AVERAGEIFS(Assessments!J:J,Assessments!G:G,$A130,Assessments!B:B,"&gt;="&amp;$B$4,Assessments!B:B,"&lt;="&amp;$B$5,Assessments!C:C,IF($E$4="",$B130,$E$4),Assessments!D:D,IF($E$5="",$C130,$E$5)),0))</f>
        <v/>
      </c>
      <c r="F130">
        <f>IF($D130=0,"",MAXIFS(Assessments!J:J,Assessments!G:G,$A130,Assessments!B:B,"&gt;="&amp;$B$4,Assessments!B:B,"&lt;="&amp;$B$5,Assessments!C:C,IF($E$4="",$B130,$E$4),Assessments!D:D,IF($E$5="",$C130,$E$5)))</f>
        <v/>
      </c>
      <c r="G130">
        <f>IF($D130=0,"",MINIFS(Assessments!J:J,Assessments!G:G,$A130,Assessments!B:B,"&gt;="&amp;$B$4,Assessments!B:B,"&lt;="&amp;$B$5,Assessments!C:C,IF($E$4="",$B130,$E$4),Assessments!D:D,IF($E$5="",$C130,$E$5)))</f>
        <v/>
      </c>
      <c r="H130">
        <f>IF($E130="","",RANK($E130,$E$8:$E$507,0))</f>
        <v/>
      </c>
      <c r="I130">
        <f>IF($E130="","",IF($E130&gt;=85,"Excellent",IF($E130&gt;=70,"Good",IF($E130&gt;=50,"Fair","Needs Support"))))</f>
        <v/>
      </c>
    </row>
    <row r="131">
      <c r="A131">
        <f>IF(Students!A125="","",Students!A125)</f>
        <v/>
      </c>
      <c r="B131">
        <f>IF($A131="","",Students!B125)</f>
        <v/>
      </c>
      <c r="C131">
        <f>IF($A131="","",Students!C125)</f>
        <v/>
      </c>
      <c r="D131">
        <f>IF($A131="","",COUNTIFS(Assessments!G:G,$A131,Assessments!B:B,"&gt;="&amp;$B$4,Assessments!B:B,"&lt;="&amp;$B$5,Assessments!C:C,IF($E$4="",$B131,$E$4),Assessments!D:D,IF($E$5="",$C131,$E$5)))</f>
        <v/>
      </c>
      <c r="E131">
        <f>IF($D131=0,"",ROUND(AVERAGEIFS(Assessments!J:J,Assessments!G:G,$A131,Assessments!B:B,"&gt;="&amp;$B$4,Assessments!B:B,"&lt;="&amp;$B$5,Assessments!C:C,IF($E$4="",$B131,$E$4),Assessments!D:D,IF($E$5="",$C131,$E$5)),0))</f>
        <v/>
      </c>
      <c r="F131">
        <f>IF($D131=0,"",MAXIFS(Assessments!J:J,Assessments!G:G,$A131,Assessments!B:B,"&gt;="&amp;$B$4,Assessments!B:B,"&lt;="&amp;$B$5,Assessments!C:C,IF($E$4="",$B131,$E$4),Assessments!D:D,IF($E$5="",$C131,$E$5)))</f>
        <v/>
      </c>
      <c r="G131">
        <f>IF($D131=0,"",MINIFS(Assessments!J:J,Assessments!G:G,$A131,Assessments!B:B,"&gt;="&amp;$B$4,Assessments!B:B,"&lt;="&amp;$B$5,Assessments!C:C,IF($E$4="",$B131,$E$4),Assessments!D:D,IF($E$5="",$C131,$E$5)))</f>
        <v/>
      </c>
      <c r="H131">
        <f>IF($E131="","",RANK($E131,$E$8:$E$507,0))</f>
        <v/>
      </c>
      <c r="I131">
        <f>IF($E131="","",IF($E131&gt;=85,"Excellent",IF($E131&gt;=70,"Good",IF($E131&gt;=50,"Fair","Needs Support"))))</f>
        <v/>
      </c>
    </row>
    <row r="132">
      <c r="A132">
        <f>IF(Students!A126="","",Students!A126)</f>
        <v/>
      </c>
      <c r="B132">
        <f>IF($A132="","",Students!B126)</f>
        <v/>
      </c>
      <c r="C132">
        <f>IF($A132="","",Students!C126)</f>
        <v/>
      </c>
      <c r="D132">
        <f>IF($A132="","",COUNTIFS(Assessments!G:G,$A132,Assessments!B:B,"&gt;="&amp;$B$4,Assessments!B:B,"&lt;="&amp;$B$5,Assessments!C:C,IF($E$4="",$B132,$E$4),Assessments!D:D,IF($E$5="",$C132,$E$5)))</f>
        <v/>
      </c>
      <c r="E132">
        <f>IF($D132=0,"",ROUND(AVERAGEIFS(Assessments!J:J,Assessments!G:G,$A132,Assessments!B:B,"&gt;="&amp;$B$4,Assessments!B:B,"&lt;="&amp;$B$5,Assessments!C:C,IF($E$4="",$B132,$E$4),Assessments!D:D,IF($E$5="",$C132,$E$5)),0))</f>
        <v/>
      </c>
      <c r="F132">
        <f>IF($D132=0,"",MAXIFS(Assessments!J:J,Assessments!G:G,$A132,Assessments!B:B,"&gt;="&amp;$B$4,Assessments!B:B,"&lt;="&amp;$B$5,Assessments!C:C,IF($E$4="",$B132,$E$4),Assessments!D:D,IF($E$5="",$C132,$E$5)))</f>
        <v/>
      </c>
      <c r="G132">
        <f>IF($D132=0,"",MINIFS(Assessments!J:J,Assessments!G:G,$A132,Assessments!B:B,"&gt;="&amp;$B$4,Assessments!B:B,"&lt;="&amp;$B$5,Assessments!C:C,IF($E$4="",$B132,$E$4),Assessments!D:D,IF($E$5="",$C132,$E$5)))</f>
        <v/>
      </c>
      <c r="H132">
        <f>IF($E132="","",RANK($E132,$E$8:$E$507,0))</f>
        <v/>
      </c>
      <c r="I132">
        <f>IF($E132="","",IF($E132&gt;=85,"Excellent",IF($E132&gt;=70,"Good",IF($E132&gt;=50,"Fair","Needs Support"))))</f>
        <v/>
      </c>
    </row>
    <row r="133">
      <c r="A133">
        <f>IF(Students!A127="","",Students!A127)</f>
        <v/>
      </c>
      <c r="B133">
        <f>IF($A133="","",Students!B127)</f>
        <v/>
      </c>
      <c r="C133">
        <f>IF($A133="","",Students!C127)</f>
        <v/>
      </c>
      <c r="D133">
        <f>IF($A133="","",COUNTIFS(Assessments!G:G,$A133,Assessments!B:B,"&gt;="&amp;$B$4,Assessments!B:B,"&lt;="&amp;$B$5,Assessments!C:C,IF($E$4="",$B133,$E$4),Assessments!D:D,IF($E$5="",$C133,$E$5)))</f>
        <v/>
      </c>
      <c r="E133">
        <f>IF($D133=0,"",ROUND(AVERAGEIFS(Assessments!J:J,Assessments!G:G,$A133,Assessments!B:B,"&gt;="&amp;$B$4,Assessments!B:B,"&lt;="&amp;$B$5,Assessments!C:C,IF($E$4="",$B133,$E$4),Assessments!D:D,IF($E$5="",$C133,$E$5)),0))</f>
        <v/>
      </c>
      <c r="F133">
        <f>IF($D133=0,"",MAXIFS(Assessments!J:J,Assessments!G:G,$A133,Assessments!B:B,"&gt;="&amp;$B$4,Assessments!B:B,"&lt;="&amp;$B$5,Assessments!C:C,IF($E$4="",$B133,$E$4),Assessments!D:D,IF($E$5="",$C133,$E$5)))</f>
        <v/>
      </c>
      <c r="G133">
        <f>IF($D133=0,"",MINIFS(Assessments!J:J,Assessments!G:G,$A133,Assessments!B:B,"&gt;="&amp;$B$4,Assessments!B:B,"&lt;="&amp;$B$5,Assessments!C:C,IF($E$4="",$B133,$E$4),Assessments!D:D,IF($E$5="",$C133,$E$5)))</f>
        <v/>
      </c>
      <c r="H133">
        <f>IF($E133="","",RANK($E133,$E$8:$E$507,0))</f>
        <v/>
      </c>
      <c r="I133">
        <f>IF($E133="","",IF($E133&gt;=85,"Excellent",IF($E133&gt;=70,"Good",IF($E133&gt;=50,"Fair","Needs Support"))))</f>
        <v/>
      </c>
    </row>
    <row r="134">
      <c r="A134">
        <f>IF(Students!A128="","",Students!A128)</f>
        <v/>
      </c>
      <c r="B134">
        <f>IF($A134="","",Students!B128)</f>
        <v/>
      </c>
      <c r="C134">
        <f>IF($A134="","",Students!C128)</f>
        <v/>
      </c>
      <c r="D134">
        <f>IF($A134="","",COUNTIFS(Assessments!G:G,$A134,Assessments!B:B,"&gt;="&amp;$B$4,Assessments!B:B,"&lt;="&amp;$B$5,Assessments!C:C,IF($E$4="",$B134,$E$4),Assessments!D:D,IF($E$5="",$C134,$E$5)))</f>
        <v/>
      </c>
      <c r="E134">
        <f>IF($D134=0,"",ROUND(AVERAGEIFS(Assessments!J:J,Assessments!G:G,$A134,Assessments!B:B,"&gt;="&amp;$B$4,Assessments!B:B,"&lt;="&amp;$B$5,Assessments!C:C,IF($E$4="",$B134,$E$4),Assessments!D:D,IF($E$5="",$C134,$E$5)),0))</f>
        <v/>
      </c>
      <c r="F134">
        <f>IF($D134=0,"",MAXIFS(Assessments!J:J,Assessments!G:G,$A134,Assessments!B:B,"&gt;="&amp;$B$4,Assessments!B:B,"&lt;="&amp;$B$5,Assessments!C:C,IF($E$4="",$B134,$E$4),Assessments!D:D,IF($E$5="",$C134,$E$5)))</f>
        <v/>
      </c>
      <c r="G134">
        <f>IF($D134=0,"",MINIFS(Assessments!J:J,Assessments!G:G,$A134,Assessments!B:B,"&gt;="&amp;$B$4,Assessments!B:B,"&lt;="&amp;$B$5,Assessments!C:C,IF($E$4="",$B134,$E$4),Assessments!D:D,IF($E$5="",$C134,$E$5)))</f>
        <v/>
      </c>
      <c r="H134">
        <f>IF($E134="","",RANK($E134,$E$8:$E$507,0))</f>
        <v/>
      </c>
      <c r="I134">
        <f>IF($E134="","",IF($E134&gt;=85,"Excellent",IF($E134&gt;=70,"Good",IF($E134&gt;=50,"Fair","Needs Support"))))</f>
        <v/>
      </c>
    </row>
    <row r="135">
      <c r="A135">
        <f>IF(Students!A129="","",Students!A129)</f>
        <v/>
      </c>
      <c r="B135">
        <f>IF($A135="","",Students!B129)</f>
        <v/>
      </c>
      <c r="C135">
        <f>IF($A135="","",Students!C129)</f>
        <v/>
      </c>
      <c r="D135">
        <f>IF($A135="","",COUNTIFS(Assessments!G:G,$A135,Assessments!B:B,"&gt;="&amp;$B$4,Assessments!B:B,"&lt;="&amp;$B$5,Assessments!C:C,IF($E$4="",$B135,$E$4),Assessments!D:D,IF($E$5="",$C135,$E$5)))</f>
        <v/>
      </c>
      <c r="E135">
        <f>IF($D135=0,"",ROUND(AVERAGEIFS(Assessments!J:J,Assessments!G:G,$A135,Assessments!B:B,"&gt;="&amp;$B$4,Assessments!B:B,"&lt;="&amp;$B$5,Assessments!C:C,IF($E$4="",$B135,$E$4),Assessments!D:D,IF($E$5="",$C135,$E$5)),0))</f>
        <v/>
      </c>
      <c r="F135">
        <f>IF($D135=0,"",MAXIFS(Assessments!J:J,Assessments!G:G,$A135,Assessments!B:B,"&gt;="&amp;$B$4,Assessments!B:B,"&lt;="&amp;$B$5,Assessments!C:C,IF($E$4="",$B135,$E$4),Assessments!D:D,IF($E$5="",$C135,$E$5)))</f>
        <v/>
      </c>
      <c r="G135">
        <f>IF($D135=0,"",MINIFS(Assessments!J:J,Assessments!G:G,$A135,Assessments!B:B,"&gt;="&amp;$B$4,Assessments!B:B,"&lt;="&amp;$B$5,Assessments!C:C,IF($E$4="",$B135,$E$4),Assessments!D:D,IF($E$5="",$C135,$E$5)))</f>
        <v/>
      </c>
      <c r="H135">
        <f>IF($E135="","",RANK($E135,$E$8:$E$507,0))</f>
        <v/>
      </c>
      <c r="I135">
        <f>IF($E135="","",IF($E135&gt;=85,"Excellent",IF($E135&gt;=70,"Good",IF($E135&gt;=50,"Fair","Needs Support"))))</f>
        <v/>
      </c>
    </row>
    <row r="136">
      <c r="A136">
        <f>IF(Students!A130="","",Students!A130)</f>
        <v/>
      </c>
      <c r="B136">
        <f>IF($A136="","",Students!B130)</f>
        <v/>
      </c>
      <c r="C136">
        <f>IF($A136="","",Students!C130)</f>
        <v/>
      </c>
      <c r="D136">
        <f>IF($A136="","",COUNTIFS(Assessments!G:G,$A136,Assessments!B:B,"&gt;="&amp;$B$4,Assessments!B:B,"&lt;="&amp;$B$5,Assessments!C:C,IF($E$4="",$B136,$E$4),Assessments!D:D,IF($E$5="",$C136,$E$5)))</f>
        <v/>
      </c>
      <c r="E136">
        <f>IF($D136=0,"",ROUND(AVERAGEIFS(Assessments!J:J,Assessments!G:G,$A136,Assessments!B:B,"&gt;="&amp;$B$4,Assessments!B:B,"&lt;="&amp;$B$5,Assessments!C:C,IF($E$4="",$B136,$E$4),Assessments!D:D,IF($E$5="",$C136,$E$5)),0))</f>
        <v/>
      </c>
      <c r="F136">
        <f>IF($D136=0,"",MAXIFS(Assessments!J:J,Assessments!G:G,$A136,Assessments!B:B,"&gt;="&amp;$B$4,Assessments!B:B,"&lt;="&amp;$B$5,Assessments!C:C,IF($E$4="",$B136,$E$4),Assessments!D:D,IF($E$5="",$C136,$E$5)))</f>
        <v/>
      </c>
      <c r="G136">
        <f>IF($D136=0,"",MINIFS(Assessments!J:J,Assessments!G:G,$A136,Assessments!B:B,"&gt;="&amp;$B$4,Assessments!B:B,"&lt;="&amp;$B$5,Assessments!C:C,IF($E$4="",$B136,$E$4),Assessments!D:D,IF($E$5="",$C136,$E$5)))</f>
        <v/>
      </c>
      <c r="H136">
        <f>IF($E136="","",RANK($E136,$E$8:$E$507,0))</f>
        <v/>
      </c>
      <c r="I136">
        <f>IF($E136="","",IF($E136&gt;=85,"Excellent",IF($E136&gt;=70,"Good",IF($E136&gt;=50,"Fair","Needs Support"))))</f>
        <v/>
      </c>
    </row>
    <row r="137">
      <c r="A137">
        <f>IF(Students!A131="","",Students!A131)</f>
        <v/>
      </c>
      <c r="B137">
        <f>IF($A137="","",Students!B131)</f>
        <v/>
      </c>
      <c r="C137">
        <f>IF($A137="","",Students!C131)</f>
        <v/>
      </c>
      <c r="D137">
        <f>IF($A137="","",COUNTIFS(Assessments!G:G,$A137,Assessments!B:B,"&gt;="&amp;$B$4,Assessments!B:B,"&lt;="&amp;$B$5,Assessments!C:C,IF($E$4="",$B137,$E$4),Assessments!D:D,IF($E$5="",$C137,$E$5)))</f>
        <v/>
      </c>
      <c r="E137">
        <f>IF($D137=0,"",ROUND(AVERAGEIFS(Assessments!J:J,Assessments!G:G,$A137,Assessments!B:B,"&gt;="&amp;$B$4,Assessments!B:B,"&lt;="&amp;$B$5,Assessments!C:C,IF($E$4="",$B137,$E$4),Assessments!D:D,IF($E$5="",$C137,$E$5)),0))</f>
        <v/>
      </c>
      <c r="F137">
        <f>IF($D137=0,"",MAXIFS(Assessments!J:J,Assessments!G:G,$A137,Assessments!B:B,"&gt;="&amp;$B$4,Assessments!B:B,"&lt;="&amp;$B$5,Assessments!C:C,IF($E$4="",$B137,$E$4),Assessments!D:D,IF($E$5="",$C137,$E$5)))</f>
        <v/>
      </c>
      <c r="G137">
        <f>IF($D137=0,"",MINIFS(Assessments!J:J,Assessments!G:G,$A137,Assessments!B:B,"&gt;="&amp;$B$4,Assessments!B:B,"&lt;="&amp;$B$5,Assessments!C:C,IF($E$4="",$B137,$E$4),Assessments!D:D,IF($E$5="",$C137,$E$5)))</f>
        <v/>
      </c>
      <c r="H137">
        <f>IF($E137="","",RANK($E137,$E$8:$E$507,0))</f>
        <v/>
      </c>
      <c r="I137">
        <f>IF($E137="","",IF($E137&gt;=85,"Excellent",IF($E137&gt;=70,"Good",IF($E137&gt;=50,"Fair","Needs Support"))))</f>
        <v/>
      </c>
    </row>
    <row r="138">
      <c r="A138">
        <f>IF(Students!A132="","",Students!A132)</f>
        <v/>
      </c>
      <c r="B138">
        <f>IF($A138="","",Students!B132)</f>
        <v/>
      </c>
      <c r="C138">
        <f>IF($A138="","",Students!C132)</f>
        <v/>
      </c>
      <c r="D138">
        <f>IF($A138="","",COUNTIFS(Assessments!G:G,$A138,Assessments!B:B,"&gt;="&amp;$B$4,Assessments!B:B,"&lt;="&amp;$B$5,Assessments!C:C,IF($E$4="",$B138,$E$4),Assessments!D:D,IF($E$5="",$C138,$E$5)))</f>
        <v/>
      </c>
      <c r="E138">
        <f>IF($D138=0,"",ROUND(AVERAGEIFS(Assessments!J:J,Assessments!G:G,$A138,Assessments!B:B,"&gt;="&amp;$B$4,Assessments!B:B,"&lt;="&amp;$B$5,Assessments!C:C,IF($E$4="",$B138,$E$4),Assessments!D:D,IF($E$5="",$C138,$E$5)),0))</f>
        <v/>
      </c>
      <c r="F138">
        <f>IF($D138=0,"",MAXIFS(Assessments!J:J,Assessments!G:G,$A138,Assessments!B:B,"&gt;="&amp;$B$4,Assessments!B:B,"&lt;="&amp;$B$5,Assessments!C:C,IF($E$4="",$B138,$E$4),Assessments!D:D,IF($E$5="",$C138,$E$5)))</f>
        <v/>
      </c>
      <c r="G138">
        <f>IF($D138=0,"",MINIFS(Assessments!J:J,Assessments!G:G,$A138,Assessments!B:B,"&gt;="&amp;$B$4,Assessments!B:B,"&lt;="&amp;$B$5,Assessments!C:C,IF($E$4="",$B138,$E$4),Assessments!D:D,IF($E$5="",$C138,$E$5)))</f>
        <v/>
      </c>
      <c r="H138">
        <f>IF($E138="","",RANK($E138,$E$8:$E$507,0))</f>
        <v/>
      </c>
      <c r="I138">
        <f>IF($E138="","",IF($E138&gt;=85,"Excellent",IF($E138&gt;=70,"Good",IF($E138&gt;=50,"Fair","Needs Support"))))</f>
        <v/>
      </c>
    </row>
    <row r="139">
      <c r="A139">
        <f>IF(Students!A133="","",Students!A133)</f>
        <v/>
      </c>
      <c r="B139">
        <f>IF($A139="","",Students!B133)</f>
        <v/>
      </c>
      <c r="C139">
        <f>IF($A139="","",Students!C133)</f>
        <v/>
      </c>
      <c r="D139">
        <f>IF($A139="","",COUNTIFS(Assessments!G:G,$A139,Assessments!B:B,"&gt;="&amp;$B$4,Assessments!B:B,"&lt;="&amp;$B$5,Assessments!C:C,IF($E$4="",$B139,$E$4),Assessments!D:D,IF($E$5="",$C139,$E$5)))</f>
        <v/>
      </c>
      <c r="E139">
        <f>IF($D139=0,"",ROUND(AVERAGEIFS(Assessments!J:J,Assessments!G:G,$A139,Assessments!B:B,"&gt;="&amp;$B$4,Assessments!B:B,"&lt;="&amp;$B$5,Assessments!C:C,IF($E$4="",$B139,$E$4),Assessments!D:D,IF($E$5="",$C139,$E$5)),0))</f>
        <v/>
      </c>
      <c r="F139">
        <f>IF($D139=0,"",MAXIFS(Assessments!J:J,Assessments!G:G,$A139,Assessments!B:B,"&gt;="&amp;$B$4,Assessments!B:B,"&lt;="&amp;$B$5,Assessments!C:C,IF($E$4="",$B139,$E$4),Assessments!D:D,IF($E$5="",$C139,$E$5)))</f>
        <v/>
      </c>
      <c r="G139">
        <f>IF($D139=0,"",MINIFS(Assessments!J:J,Assessments!G:G,$A139,Assessments!B:B,"&gt;="&amp;$B$4,Assessments!B:B,"&lt;="&amp;$B$5,Assessments!C:C,IF($E$4="",$B139,$E$4),Assessments!D:D,IF($E$5="",$C139,$E$5)))</f>
        <v/>
      </c>
      <c r="H139">
        <f>IF($E139="","",RANK($E139,$E$8:$E$507,0))</f>
        <v/>
      </c>
      <c r="I139">
        <f>IF($E139="","",IF($E139&gt;=85,"Excellent",IF($E139&gt;=70,"Good",IF($E139&gt;=50,"Fair","Needs Support"))))</f>
        <v/>
      </c>
    </row>
    <row r="140">
      <c r="A140">
        <f>IF(Students!A134="","",Students!A134)</f>
        <v/>
      </c>
      <c r="B140">
        <f>IF($A140="","",Students!B134)</f>
        <v/>
      </c>
      <c r="C140">
        <f>IF($A140="","",Students!C134)</f>
        <v/>
      </c>
      <c r="D140">
        <f>IF($A140="","",COUNTIFS(Assessments!G:G,$A140,Assessments!B:B,"&gt;="&amp;$B$4,Assessments!B:B,"&lt;="&amp;$B$5,Assessments!C:C,IF($E$4="",$B140,$E$4),Assessments!D:D,IF($E$5="",$C140,$E$5)))</f>
        <v/>
      </c>
      <c r="E140">
        <f>IF($D140=0,"",ROUND(AVERAGEIFS(Assessments!J:J,Assessments!G:G,$A140,Assessments!B:B,"&gt;="&amp;$B$4,Assessments!B:B,"&lt;="&amp;$B$5,Assessments!C:C,IF($E$4="",$B140,$E$4),Assessments!D:D,IF($E$5="",$C140,$E$5)),0))</f>
        <v/>
      </c>
      <c r="F140">
        <f>IF($D140=0,"",MAXIFS(Assessments!J:J,Assessments!G:G,$A140,Assessments!B:B,"&gt;="&amp;$B$4,Assessments!B:B,"&lt;="&amp;$B$5,Assessments!C:C,IF($E$4="",$B140,$E$4),Assessments!D:D,IF($E$5="",$C140,$E$5)))</f>
        <v/>
      </c>
      <c r="G140">
        <f>IF($D140=0,"",MINIFS(Assessments!J:J,Assessments!G:G,$A140,Assessments!B:B,"&gt;="&amp;$B$4,Assessments!B:B,"&lt;="&amp;$B$5,Assessments!C:C,IF($E$4="",$B140,$E$4),Assessments!D:D,IF($E$5="",$C140,$E$5)))</f>
        <v/>
      </c>
      <c r="H140">
        <f>IF($E140="","",RANK($E140,$E$8:$E$507,0))</f>
        <v/>
      </c>
      <c r="I140">
        <f>IF($E140="","",IF($E140&gt;=85,"Excellent",IF($E140&gt;=70,"Good",IF($E140&gt;=50,"Fair","Needs Support"))))</f>
        <v/>
      </c>
    </row>
    <row r="141">
      <c r="A141">
        <f>IF(Students!A135="","",Students!A135)</f>
        <v/>
      </c>
      <c r="B141">
        <f>IF($A141="","",Students!B135)</f>
        <v/>
      </c>
      <c r="C141">
        <f>IF($A141="","",Students!C135)</f>
        <v/>
      </c>
      <c r="D141">
        <f>IF($A141="","",COUNTIFS(Assessments!G:G,$A141,Assessments!B:B,"&gt;="&amp;$B$4,Assessments!B:B,"&lt;="&amp;$B$5,Assessments!C:C,IF($E$4="",$B141,$E$4),Assessments!D:D,IF($E$5="",$C141,$E$5)))</f>
        <v/>
      </c>
      <c r="E141">
        <f>IF($D141=0,"",ROUND(AVERAGEIFS(Assessments!J:J,Assessments!G:G,$A141,Assessments!B:B,"&gt;="&amp;$B$4,Assessments!B:B,"&lt;="&amp;$B$5,Assessments!C:C,IF($E$4="",$B141,$E$4),Assessments!D:D,IF($E$5="",$C141,$E$5)),0))</f>
        <v/>
      </c>
      <c r="F141">
        <f>IF($D141=0,"",MAXIFS(Assessments!J:J,Assessments!G:G,$A141,Assessments!B:B,"&gt;="&amp;$B$4,Assessments!B:B,"&lt;="&amp;$B$5,Assessments!C:C,IF($E$4="",$B141,$E$4),Assessments!D:D,IF($E$5="",$C141,$E$5)))</f>
        <v/>
      </c>
      <c r="G141">
        <f>IF($D141=0,"",MINIFS(Assessments!J:J,Assessments!G:G,$A141,Assessments!B:B,"&gt;="&amp;$B$4,Assessments!B:B,"&lt;="&amp;$B$5,Assessments!C:C,IF($E$4="",$B141,$E$4),Assessments!D:D,IF($E$5="",$C141,$E$5)))</f>
        <v/>
      </c>
      <c r="H141">
        <f>IF($E141="","",RANK($E141,$E$8:$E$507,0))</f>
        <v/>
      </c>
      <c r="I141">
        <f>IF($E141="","",IF($E141&gt;=85,"Excellent",IF($E141&gt;=70,"Good",IF($E141&gt;=50,"Fair","Needs Support"))))</f>
        <v/>
      </c>
    </row>
    <row r="142">
      <c r="A142">
        <f>IF(Students!A136="","",Students!A136)</f>
        <v/>
      </c>
      <c r="B142">
        <f>IF($A142="","",Students!B136)</f>
        <v/>
      </c>
      <c r="C142">
        <f>IF($A142="","",Students!C136)</f>
        <v/>
      </c>
      <c r="D142">
        <f>IF($A142="","",COUNTIFS(Assessments!G:G,$A142,Assessments!B:B,"&gt;="&amp;$B$4,Assessments!B:B,"&lt;="&amp;$B$5,Assessments!C:C,IF($E$4="",$B142,$E$4),Assessments!D:D,IF($E$5="",$C142,$E$5)))</f>
        <v/>
      </c>
      <c r="E142">
        <f>IF($D142=0,"",ROUND(AVERAGEIFS(Assessments!J:J,Assessments!G:G,$A142,Assessments!B:B,"&gt;="&amp;$B$4,Assessments!B:B,"&lt;="&amp;$B$5,Assessments!C:C,IF($E$4="",$B142,$E$4),Assessments!D:D,IF($E$5="",$C142,$E$5)),0))</f>
        <v/>
      </c>
      <c r="F142">
        <f>IF($D142=0,"",MAXIFS(Assessments!J:J,Assessments!G:G,$A142,Assessments!B:B,"&gt;="&amp;$B$4,Assessments!B:B,"&lt;="&amp;$B$5,Assessments!C:C,IF($E$4="",$B142,$E$4),Assessments!D:D,IF($E$5="",$C142,$E$5)))</f>
        <v/>
      </c>
      <c r="G142">
        <f>IF($D142=0,"",MINIFS(Assessments!J:J,Assessments!G:G,$A142,Assessments!B:B,"&gt;="&amp;$B$4,Assessments!B:B,"&lt;="&amp;$B$5,Assessments!C:C,IF($E$4="",$B142,$E$4),Assessments!D:D,IF($E$5="",$C142,$E$5)))</f>
        <v/>
      </c>
      <c r="H142">
        <f>IF($E142="","",RANK($E142,$E$8:$E$507,0))</f>
        <v/>
      </c>
      <c r="I142">
        <f>IF($E142="","",IF($E142&gt;=85,"Excellent",IF($E142&gt;=70,"Good",IF($E142&gt;=50,"Fair","Needs Support"))))</f>
        <v/>
      </c>
    </row>
    <row r="143">
      <c r="A143">
        <f>IF(Students!A137="","",Students!A137)</f>
        <v/>
      </c>
      <c r="B143">
        <f>IF($A143="","",Students!B137)</f>
        <v/>
      </c>
      <c r="C143">
        <f>IF($A143="","",Students!C137)</f>
        <v/>
      </c>
      <c r="D143">
        <f>IF($A143="","",COUNTIFS(Assessments!G:G,$A143,Assessments!B:B,"&gt;="&amp;$B$4,Assessments!B:B,"&lt;="&amp;$B$5,Assessments!C:C,IF($E$4="",$B143,$E$4),Assessments!D:D,IF($E$5="",$C143,$E$5)))</f>
        <v/>
      </c>
      <c r="E143">
        <f>IF($D143=0,"",ROUND(AVERAGEIFS(Assessments!J:J,Assessments!G:G,$A143,Assessments!B:B,"&gt;="&amp;$B$4,Assessments!B:B,"&lt;="&amp;$B$5,Assessments!C:C,IF($E$4="",$B143,$E$4),Assessments!D:D,IF($E$5="",$C143,$E$5)),0))</f>
        <v/>
      </c>
      <c r="F143">
        <f>IF($D143=0,"",MAXIFS(Assessments!J:J,Assessments!G:G,$A143,Assessments!B:B,"&gt;="&amp;$B$4,Assessments!B:B,"&lt;="&amp;$B$5,Assessments!C:C,IF($E$4="",$B143,$E$4),Assessments!D:D,IF($E$5="",$C143,$E$5)))</f>
        <v/>
      </c>
      <c r="G143">
        <f>IF($D143=0,"",MINIFS(Assessments!J:J,Assessments!G:G,$A143,Assessments!B:B,"&gt;="&amp;$B$4,Assessments!B:B,"&lt;="&amp;$B$5,Assessments!C:C,IF($E$4="",$B143,$E$4),Assessments!D:D,IF($E$5="",$C143,$E$5)))</f>
        <v/>
      </c>
      <c r="H143">
        <f>IF($E143="","",RANK($E143,$E$8:$E$507,0))</f>
        <v/>
      </c>
      <c r="I143">
        <f>IF($E143="","",IF($E143&gt;=85,"Excellent",IF($E143&gt;=70,"Good",IF($E143&gt;=50,"Fair","Needs Support"))))</f>
        <v/>
      </c>
    </row>
    <row r="144">
      <c r="A144">
        <f>IF(Students!A138="","",Students!A138)</f>
        <v/>
      </c>
      <c r="B144">
        <f>IF($A144="","",Students!B138)</f>
        <v/>
      </c>
      <c r="C144">
        <f>IF($A144="","",Students!C138)</f>
        <v/>
      </c>
      <c r="D144">
        <f>IF($A144="","",COUNTIFS(Assessments!G:G,$A144,Assessments!B:B,"&gt;="&amp;$B$4,Assessments!B:B,"&lt;="&amp;$B$5,Assessments!C:C,IF($E$4="",$B144,$E$4),Assessments!D:D,IF($E$5="",$C144,$E$5)))</f>
        <v/>
      </c>
      <c r="E144">
        <f>IF($D144=0,"",ROUND(AVERAGEIFS(Assessments!J:J,Assessments!G:G,$A144,Assessments!B:B,"&gt;="&amp;$B$4,Assessments!B:B,"&lt;="&amp;$B$5,Assessments!C:C,IF($E$4="",$B144,$E$4),Assessments!D:D,IF($E$5="",$C144,$E$5)),0))</f>
        <v/>
      </c>
      <c r="F144">
        <f>IF($D144=0,"",MAXIFS(Assessments!J:J,Assessments!G:G,$A144,Assessments!B:B,"&gt;="&amp;$B$4,Assessments!B:B,"&lt;="&amp;$B$5,Assessments!C:C,IF($E$4="",$B144,$E$4),Assessments!D:D,IF($E$5="",$C144,$E$5)))</f>
        <v/>
      </c>
      <c r="G144">
        <f>IF($D144=0,"",MINIFS(Assessments!J:J,Assessments!G:G,$A144,Assessments!B:B,"&gt;="&amp;$B$4,Assessments!B:B,"&lt;="&amp;$B$5,Assessments!C:C,IF($E$4="",$B144,$E$4),Assessments!D:D,IF($E$5="",$C144,$E$5)))</f>
        <v/>
      </c>
      <c r="H144">
        <f>IF($E144="","",RANK($E144,$E$8:$E$507,0))</f>
        <v/>
      </c>
      <c r="I144">
        <f>IF($E144="","",IF($E144&gt;=85,"Excellent",IF($E144&gt;=70,"Good",IF($E144&gt;=50,"Fair","Needs Support"))))</f>
        <v/>
      </c>
    </row>
    <row r="145">
      <c r="A145">
        <f>IF(Students!A139="","",Students!A139)</f>
        <v/>
      </c>
      <c r="B145">
        <f>IF($A145="","",Students!B139)</f>
        <v/>
      </c>
      <c r="C145">
        <f>IF($A145="","",Students!C139)</f>
        <v/>
      </c>
      <c r="D145">
        <f>IF($A145="","",COUNTIFS(Assessments!G:G,$A145,Assessments!B:B,"&gt;="&amp;$B$4,Assessments!B:B,"&lt;="&amp;$B$5,Assessments!C:C,IF($E$4="",$B145,$E$4),Assessments!D:D,IF($E$5="",$C145,$E$5)))</f>
        <v/>
      </c>
      <c r="E145">
        <f>IF($D145=0,"",ROUND(AVERAGEIFS(Assessments!J:J,Assessments!G:G,$A145,Assessments!B:B,"&gt;="&amp;$B$4,Assessments!B:B,"&lt;="&amp;$B$5,Assessments!C:C,IF($E$4="",$B145,$E$4),Assessments!D:D,IF($E$5="",$C145,$E$5)),0))</f>
        <v/>
      </c>
      <c r="F145">
        <f>IF($D145=0,"",MAXIFS(Assessments!J:J,Assessments!G:G,$A145,Assessments!B:B,"&gt;="&amp;$B$4,Assessments!B:B,"&lt;="&amp;$B$5,Assessments!C:C,IF($E$4="",$B145,$E$4),Assessments!D:D,IF($E$5="",$C145,$E$5)))</f>
        <v/>
      </c>
      <c r="G145">
        <f>IF($D145=0,"",MINIFS(Assessments!J:J,Assessments!G:G,$A145,Assessments!B:B,"&gt;="&amp;$B$4,Assessments!B:B,"&lt;="&amp;$B$5,Assessments!C:C,IF($E$4="",$B145,$E$4),Assessments!D:D,IF($E$5="",$C145,$E$5)))</f>
        <v/>
      </c>
      <c r="H145">
        <f>IF($E145="","",RANK($E145,$E$8:$E$507,0))</f>
        <v/>
      </c>
      <c r="I145">
        <f>IF($E145="","",IF($E145&gt;=85,"Excellent",IF($E145&gt;=70,"Good",IF($E145&gt;=50,"Fair","Needs Support"))))</f>
        <v/>
      </c>
    </row>
    <row r="146">
      <c r="A146">
        <f>IF(Students!A140="","",Students!A140)</f>
        <v/>
      </c>
      <c r="B146">
        <f>IF($A146="","",Students!B140)</f>
        <v/>
      </c>
      <c r="C146">
        <f>IF($A146="","",Students!C140)</f>
        <v/>
      </c>
      <c r="D146">
        <f>IF($A146="","",COUNTIFS(Assessments!G:G,$A146,Assessments!B:B,"&gt;="&amp;$B$4,Assessments!B:B,"&lt;="&amp;$B$5,Assessments!C:C,IF($E$4="",$B146,$E$4),Assessments!D:D,IF($E$5="",$C146,$E$5)))</f>
        <v/>
      </c>
      <c r="E146">
        <f>IF($D146=0,"",ROUND(AVERAGEIFS(Assessments!J:J,Assessments!G:G,$A146,Assessments!B:B,"&gt;="&amp;$B$4,Assessments!B:B,"&lt;="&amp;$B$5,Assessments!C:C,IF($E$4="",$B146,$E$4),Assessments!D:D,IF($E$5="",$C146,$E$5)),0))</f>
        <v/>
      </c>
      <c r="F146">
        <f>IF($D146=0,"",MAXIFS(Assessments!J:J,Assessments!G:G,$A146,Assessments!B:B,"&gt;="&amp;$B$4,Assessments!B:B,"&lt;="&amp;$B$5,Assessments!C:C,IF($E$4="",$B146,$E$4),Assessments!D:D,IF($E$5="",$C146,$E$5)))</f>
        <v/>
      </c>
      <c r="G146">
        <f>IF($D146=0,"",MINIFS(Assessments!J:J,Assessments!G:G,$A146,Assessments!B:B,"&gt;="&amp;$B$4,Assessments!B:B,"&lt;="&amp;$B$5,Assessments!C:C,IF($E$4="",$B146,$E$4),Assessments!D:D,IF($E$5="",$C146,$E$5)))</f>
        <v/>
      </c>
      <c r="H146">
        <f>IF($E146="","",RANK($E146,$E$8:$E$507,0))</f>
        <v/>
      </c>
      <c r="I146">
        <f>IF($E146="","",IF($E146&gt;=85,"Excellent",IF($E146&gt;=70,"Good",IF($E146&gt;=50,"Fair","Needs Support"))))</f>
        <v/>
      </c>
    </row>
    <row r="147">
      <c r="A147">
        <f>IF(Students!A141="","",Students!A141)</f>
        <v/>
      </c>
      <c r="B147">
        <f>IF($A147="","",Students!B141)</f>
        <v/>
      </c>
      <c r="C147">
        <f>IF($A147="","",Students!C141)</f>
        <v/>
      </c>
      <c r="D147">
        <f>IF($A147="","",COUNTIFS(Assessments!G:G,$A147,Assessments!B:B,"&gt;="&amp;$B$4,Assessments!B:B,"&lt;="&amp;$B$5,Assessments!C:C,IF($E$4="",$B147,$E$4),Assessments!D:D,IF($E$5="",$C147,$E$5)))</f>
        <v/>
      </c>
      <c r="E147">
        <f>IF($D147=0,"",ROUND(AVERAGEIFS(Assessments!J:J,Assessments!G:G,$A147,Assessments!B:B,"&gt;="&amp;$B$4,Assessments!B:B,"&lt;="&amp;$B$5,Assessments!C:C,IF($E$4="",$B147,$E$4),Assessments!D:D,IF($E$5="",$C147,$E$5)),0))</f>
        <v/>
      </c>
      <c r="F147">
        <f>IF($D147=0,"",MAXIFS(Assessments!J:J,Assessments!G:G,$A147,Assessments!B:B,"&gt;="&amp;$B$4,Assessments!B:B,"&lt;="&amp;$B$5,Assessments!C:C,IF($E$4="",$B147,$E$4),Assessments!D:D,IF($E$5="",$C147,$E$5)))</f>
        <v/>
      </c>
      <c r="G147">
        <f>IF($D147=0,"",MINIFS(Assessments!J:J,Assessments!G:G,$A147,Assessments!B:B,"&gt;="&amp;$B$4,Assessments!B:B,"&lt;="&amp;$B$5,Assessments!C:C,IF($E$4="",$B147,$E$4),Assessments!D:D,IF($E$5="",$C147,$E$5)))</f>
        <v/>
      </c>
      <c r="H147">
        <f>IF($E147="","",RANK($E147,$E$8:$E$507,0))</f>
        <v/>
      </c>
      <c r="I147">
        <f>IF($E147="","",IF($E147&gt;=85,"Excellent",IF($E147&gt;=70,"Good",IF($E147&gt;=50,"Fair","Needs Support"))))</f>
        <v/>
      </c>
    </row>
    <row r="148">
      <c r="A148">
        <f>IF(Students!A142="","",Students!A142)</f>
        <v/>
      </c>
      <c r="B148">
        <f>IF($A148="","",Students!B142)</f>
        <v/>
      </c>
      <c r="C148">
        <f>IF($A148="","",Students!C142)</f>
        <v/>
      </c>
      <c r="D148">
        <f>IF($A148="","",COUNTIFS(Assessments!G:G,$A148,Assessments!B:B,"&gt;="&amp;$B$4,Assessments!B:B,"&lt;="&amp;$B$5,Assessments!C:C,IF($E$4="",$B148,$E$4),Assessments!D:D,IF($E$5="",$C148,$E$5)))</f>
        <v/>
      </c>
      <c r="E148">
        <f>IF($D148=0,"",ROUND(AVERAGEIFS(Assessments!J:J,Assessments!G:G,$A148,Assessments!B:B,"&gt;="&amp;$B$4,Assessments!B:B,"&lt;="&amp;$B$5,Assessments!C:C,IF($E$4="",$B148,$E$4),Assessments!D:D,IF($E$5="",$C148,$E$5)),0))</f>
        <v/>
      </c>
      <c r="F148">
        <f>IF($D148=0,"",MAXIFS(Assessments!J:J,Assessments!G:G,$A148,Assessments!B:B,"&gt;="&amp;$B$4,Assessments!B:B,"&lt;="&amp;$B$5,Assessments!C:C,IF($E$4="",$B148,$E$4),Assessments!D:D,IF($E$5="",$C148,$E$5)))</f>
        <v/>
      </c>
      <c r="G148">
        <f>IF($D148=0,"",MINIFS(Assessments!J:J,Assessments!G:G,$A148,Assessments!B:B,"&gt;="&amp;$B$4,Assessments!B:B,"&lt;="&amp;$B$5,Assessments!C:C,IF($E$4="",$B148,$E$4),Assessments!D:D,IF($E$5="",$C148,$E$5)))</f>
        <v/>
      </c>
      <c r="H148">
        <f>IF($E148="","",RANK($E148,$E$8:$E$507,0))</f>
        <v/>
      </c>
      <c r="I148">
        <f>IF($E148="","",IF($E148&gt;=85,"Excellent",IF($E148&gt;=70,"Good",IF($E148&gt;=50,"Fair","Needs Support"))))</f>
        <v/>
      </c>
    </row>
    <row r="149">
      <c r="A149">
        <f>IF(Students!A143="","",Students!A143)</f>
        <v/>
      </c>
      <c r="B149">
        <f>IF($A149="","",Students!B143)</f>
        <v/>
      </c>
      <c r="C149">
        <f>IF($A149="","",Students!C143)</f>
        <v/>
      </c>
      <c r="D149">
        <f>IF($A149="","",COUNTIFS(Assessments!G:G,$A149,Assessments!B:B,"&gt;="&amp;$B$4,Assessments!B:B,"&lt;="&amp;$B$5,Assessments!C:C,IF($E$4="",$B149,$E$4),Assessments!D:D,IF($E$5="",$C149,$E$5)))</f>
        <v/>
      </c>
      <c r="E149">
        <f>IF($D149=0,"",ROUND(AVERAGEIFS(Assessments!J:J,Assessments!G:G,$A149,Assessments!B:B,"&gt;="&amp;$B$4,Assessments!B:B,"&lt;="&amp;$B$5,Assessments!C:C,IF($E$4="",$B149,$E$4),Assessments!D:D,IF($E$5="",$C149,$E$5)),0))</f>
        <v/>
      </c>
      <c r="F149">
        <f>IF($D149=0,"",MAXIFS(Assessments!J:J,Assessments!G:G,$A149,Assessments!B:B,"&gt;="&amp;$B$4,Assessments!B:B,"&lt;="&amp;$B$5,Assessments!C:C,IF($E$4="",$B149,$E$4),Assessments!D:D,IF($E$5="",$C149,$E$5)))</f>
        <v/>
      </c>
      <c r="G149">
        <f>IF($D149=0,"",MINIFS(Assessments!J:J,Assessments!G:G,$A149,Assessments!B:B,"&gt;="&amp;$B$4,Assessments!B:B,"&lt;="&amp;$B$5,Assessments!C:C,IF($E$4="",$B149,$E$4),Assessments!D:D,IF($E$5="",$C149,$E$5)))</f>
        <v/>
      </c>
      <c r="H149">
        <f>IF($E149="","",RANK($E149,$E$8:$E$507,0))</f>
        <v/>
      </c>
      <c r="I149">
        <f>IF($E149="","",IF($E149&gt;=85,"Excellent",IF($E149&gt;=70,"Good",IF($E149&gt;=50,"Fair","Needs Support"))))</f>
        <v/>
      </c>
    </row>
    <row r="150">
      <c r="A150">
        <f>IF(Students!A144="","",Students!A144)</f>
        <v/>
      </c>
      <c r="B150">
        <f>IF($A150="","",Students!B144)</f>
        <v/>
      </c>
      <c r="C150">
        <f>IF($A150="","",Students!C144)</f>
        <v/>
      </c>
      <c r="D150">
        <f>IF($A150="","",COUNTIFS(Assessments!G:G,$A150,Assessments!B:B,"&gt;="&amp;$B$4,Assessments!B:B,"&lt;="&amp;$B$5,Assessments!C:C,IF($E$4="",$B150,$E$4),Assessments!D:D,IF($E$5="",$C150,$E$5)))</f>
        <v/>
      </c>
      <c r="E150">
        <f>IF($D150=0,"",ROUND(AVERAGEIFS(Assessments!J:J,Assessments!G:G,$A150,Assessments!B:B,"&gt;="&amp;$B$4,Assessments!B:B,"&lt;="&amp;$B$5,Assessments!C:C,IF($E$4="",$B150,$E$4),Assessments!D:D,IF($E$5="",$C150,$E$5)),0))</f>
        <v/>
      </c>
      <c r="F150">
        <f>IF($D150=0,"",MAXIFS(Assessments!J:J,Assessments!G:G,$A150,Assessments!B:B,"&gt;="&amp;$B$4,Assessments!B:B,"&lt;="&amp;$B$5,Assessments!C:C,IF($E$4="",$B150,$E$4),Assessments!D:D,IF($E$5="",$C150,$E$5)))</f>
        <v/>
      </c>
      <c r="G150">
        <f>IF($D150=0,"",MINIFS(Assessments!J:J,Assessments!G:G,$A150,Assessments!B:B,"&gt;="&amp;$B$4,Assessments!B:B,"&lt;="&amp;$B$5,Assessments!C:C,IF($E$4="",$B150,$E$4),Assessments!D:D,IF($E$5="",$C150,$E$5)))</f>
        <v/>
      </c>
      <c r="H150">
        <f>IF($E150="","",RANK($E150,$E$8:$E$507,0))</f>
        <v/>
      </c>
      <c r="I150">
        <f>IF($E150="","",IF($E150&gt;=85,"Excellent",IF($E150&gt;=70,"Good",IF($E150&gt;=50,"Fair","Needs Support"))))</f>
        <v/>
      </c>
    </row>
    <row r="151">
      <c r="A151">
        <f>IF(Students!A145="","",Students!A145)</f>
        <v/>
      </c>
      <c r="B151">
        <f>IF($A151="","",Students!B145)</f>
        <v/>
      </c>
      <c r="C151">
        <f>IF($A151="","",Students!C145)</f>
        <v/>
      </c>
      <c r="D151">
        <f>IF($A151="","",COUNTIFS(Assessments!G:G,$A151,Assessments!B:B,"&gt;="&amp;$B$4,Assessments!B:B,"&lt;="&amp;$B$5,Assessments!C:C,IF($E$4="",$B151,$E$4),Assessments!D:D,IF($E$5="",$C151,$E$5)))</f>
        <v/>
      </c>
      <c r="E151">
        <f>IF($D151=0,"",ROUND(AVERAGEIFS(Assessments!J:J,Assessments!G:G,$A151,Assessments!B:B,"&gt;="&amp;$B$4,Assessments!B:B,"&lt;="&amp;$B$5,Assessments!C:C,IF($E$4="",$B151,$E$4),Assessments!D:D,IF($E$5="",$C151,$E$5)),0))</f>
        <v/>
      </c>
      <c r="F151">
        <f>IF($D151=0,"",MAXIFS(Assessments!J:J,Assessments!G:G,$A151,Assessments!B:B,"&gt;="&amp;$B$4,Assessments!B:B,"&lt;="&amp;$B$5,Assessments!C:C,IF($E$4="",$B151,$E$4),Assessments!D:D,IF($E$5="",$C151,$E$5)))</f>
        <v/>
      </c>
      <c r="G151">
        <f>IF($D151=0,"",MINIFS(Assessments!J:J,Assessments!G:G,$A151,Assessments!B:B,"&gt;="&amp;$B$4,Assessments!B:B,"&lt;="&amp;$B$5,Assessments!C:C,IF($E$4="",$B151,$E$4),Assessments!D:D,IF($E$5="",$C151,$E$5)))</f>
        <v/>
      </c>
      <c r="H151">
        <f>IF($E151="","",RANK($E151,$E$8:$E$507,0))</f>
        <v/>
      </c>
      <c r="I151">
        <f>IF($E151="","",IF($E151&gt;=85,"Excellent",IF($E151&gt;=70,"Good",IF($E151&gt;=50,"Fair","Needs Support"))))</f>
        <v/>
      </c>
    </row>
    <row r="152">
      <c r="A152">
        <f>IF(Students!A146="","",Students!A146)</f>
        <v/>
      </c>
      <c r="B152">
        <f>IF($A152="","",Students!B146)</f>
        <v/>
      </c>
      <c r="C152">
        <f>IF($A152="","",Students!C146)</f>
        <v/>
      </c>
      <c r="D152">
        <f>IF($A152="","",COUNTIFS(Assessments!G:G,$A152,Assessments!B:B,"&gt;="&amp;$B$4,Assessments!B:B,"&lt;="&amp;$B$5,Assessments!C:C,IF($E$4="",$B152,$E$4),Assessments!D:D,IF($E$5="",$C152,$E$5)))</f>
        <v/>
      </c>
      <c r="E152">
        <f>IF($D152=0,"",ROUND(AVERAGEIFS(Assessments!J:J,Assessments!G:G,$A152,Assessments!B:B,"&gt;="&amp;$B$4,Assessments!B:B,"&lt;="&amp;$B$5,Assessments!C:C,IF($E$4="",$B152,$E$4),Assessments!D:D,IF($E$5="",$C152,$E$5)),0))</f>
        <v/>
      </c>
      <c r="F152">
        <f>IF($D152=0,"",MAXIFS(Assessments!J:J,Assessments!G:G,$A152,Assessments!B:B,"&gt;="&amp;$B$4,Assessments!B:B,"&lt;="&amp;$B$5,Assessments!C:C,IF($E$4="",$B152,$E$4),Assessments!D:D,IF($E$5="",$C152,$E$5)))</f>
        <v/>
      </c>
      <c r="G152">
        <f>IF($D152=0,"",MINIFS(Assessments!J:J,Assessments!G:G,$A152,Assessments!B:B,"&gt;="&amp;$B$4,Assessments!B:B,"&lt;="&amp;$B$5,Assessments!C:C,IF($E$4="",$B152,$E$4),Assessments!D:D,IF($E$5="",$C152,$E$5)))</f>
        <v/>
      </c>
      <c r="H152">
        <f>IF($E152="","",RANK($E152,$E$8:$E$507,0))</f>
        <v/>
      </c>
      <c r="I152">
        <f>IF($E152="","",IF($E152&gt;=85,"Excellent",IF($E152&gt;=70,"Good",IF($E152&gt;=50,"Fair","Needs Support"))))</f>
        <v/>
      </c>
    </row>
    <row r="153">
      <c r="A153">
        <f>IF(Students!A147="","",Students!A147)</f>
        <v/>
      </c>
      <c r="B153">
        <f>IF($A153="","",Students!B147)</f>
        <v/>
      </c>
      <c r="C153">
        <f>IF($A153="","",Students!C147)</f>
        <v/>
      </c>
      <c r="D153">
        <f>IF($A153="","",COUNTIFS(Assessments!G:G,$A153,Assessments!B:B,"&gt;="&amp;$B$4,Assessments!B:B,"&lt;="&amp;$B$5,Assessments!C:C,IF($E$4="",$B153,$E$4),Assessments!D:D,IF($E$5="",$C153,$E$5)))</f>
        <v/>
      </c>
      <c r="E153">
        <f>IF($D153=0,"",ROUND(AVERAGEIFS(Assessments!J:J,Assessments!G:G,$A153,Assessments!B:B,"&gt;="&amp;$B$4,Assessments!B:B,"&lt;="&amp;$B$5,Assessments!C:C,IF($E$4="",$B153,$E$4),Assessments!D:D,IF($E$5="",$C153,$E$5)),0))</f>
        <v/>
      </c>
      <c r="F153">
        <f>IF($D153=0,"",MAXIFS(Assessments!J:J,Assessments!G:G,$A153,Assessments!B:B,"&gt;="&amp;$B$4,Assessments!B:B,"&lt;="&amp;$B$5,Assessments!C:C,IF($E$4="",$B153,$E$4),Assessments!D:D,IF($E$5="",$C153,$E$5)))</f>
        <v/>
      </c>
      <c r="G153">
        <f>IF($D153=0,"",MINIFS(Assessments!J:J,Assessments!G:G,$A153,Assessments!B:B,"&gt;="&amp;$B$4,Assessments!B:B,"&lt;="&amp;$B$5,Assessments!C:C,IF($E$4="",$B153,$E$4),Assessments!D:D,IF($E$5="",$C153,$E$5)))</f>
        <v/>
      </c>
      <c r="H153">
        <f>IF($E153="","",RANK($E153,$E$8:$E$507,0))</f>
        <v/>
      </c>
      <c r="I153">
        <f>IF($E153="","",IF($E153&gt;=85,"Excellent",IF($E153&gt;=70,"Good",IF($E153&gt;=50,"Fair","Needs Support"))))</f>
        <v/>
      </c>
    </row>
    <row r="154">
      <c r="A154">
        <f>IF(Students!A148="","",Students!A148)</f>
        <v/>
      </c>
      <c r="B154">
        <f>IF($A154="","",Students!B148)</f>
        <v/>
      </c>
      <c r="C154">
        <f>IF($A154="","",Students!C148)</f>
        <v/>
      </c>
      <c r="D154">
        <f>IF($A154="","",COUNTIFS(Assessments!G:G,$A154,Assessments!B:B,"&gt;="&amp;$B$4,Assessments!B:B,"&lt;="&amp;$B$5,Assessments!C:C,IF($E$4="",$B154,$E$4),Assessments!D:D,IF($E$5="",$C154,$E$5)))</f>
        <v/>
      </c>
      <c r="E154">
        <f>IF($D154=0,"",ROUND(AVERAGEIFS(Assessments!J:J,Assessments!G:G,$A154,Assessments!B:B,"&gt;="&amp;$B$4,Assessments!B:B,"&lt;="&amp;$B$5,Assessments!C:C,IF($E$4="",$B154,$E$4),Assessments!D:D,IF($E$5="",$C154,$E$5)),0))</f>
        <v/>
      </c>
      <c r="F154">
        <f>IF($D154=0,"",MAXIFS(Assessments!J:J,Assessments!G:G,$A154,Assessments!B:B,"&gt;="&amp;$B$4,Assessments!B:B,"&lt;="&amp;$B$5,Assessments!C:C,IF($E$4="",$B154,$E$4),Assessments!D:D,IF($E$5="",$C154,$E$5)))</f>
        <v/>
      </c>
      <c r="G154">
        <f>IF($D154=0,"",MINIFS(Assessments!J:J,Assessments!G:G,$A154,Assessments!B:B,"&gt;="&amp;$B$4,Assessments!B:B,"&lt;="&amp;$B$5,Assessments!C:C,IF($E$4="",$B154,$E$4),Assessments!D:D,IF($E$5="",$C154,$E$5)))</f>
        <v/>
      </c>
      <c r="H154">
        <f>IF($E154="","",RANK($E154,$E$8:$E$507,0))</f>
        <v/>
      </c>
      <c r="I154">
        <f>IF($E154="","",IF($E154&gt;=85,"Excellent",IF($E154&gt;=70,"Good",IF($E154&gt;=50,"Fair","Needs Support"))))</f>
        <v/>
      </c>
    </row>
    <row r="155">
      <c r="A155">
        <f>IF(Students!A149="","",Students!A149)</f>
        <v/>
      </c>
      <c r="B155">
        <f>IF($A155="","",Students!B149)</f>
        <v/>
      </c>
      <c r="C155">
        <f>IF($A155="","",Students!C149)</f>
        <v/>
      </c>
      <c r="D155">
        <f>IF($A155="","",COUNTIFS(Assessments!G:G,$A155,Assessments!B:B,"&gt;="&amp;$B$4,Assessments!B:B,"&lt;="&amp;$B$5,Assessments!C:C,IF($E$4="",$B155,$E$4),Assessments!D:D,IF($E$5="",$C155,$E$5)))</f>
        <v/>
      </c>
      <c r="E155">
        <f>IF($D155=0,"",ROUND(AVERAGEIFS(Assessments!J:J,Assessments!G:G,$A155,Assessments!B:B,"&gt;="&amp;$B$4,Assessments!B:B,"&lt;="&amp;$B$5,Assessments!C:C,IF($E$4="",$B155,$E$4),Assessments!D:D,IF($E$5="",$C155,$E$5)),0))</f>
        <v/>
      </c>
      <c r="F155">
        <f>IF($D155=0,"",MAXIFS(Assessments!J:J,Assessments!G:G,$A155,Assessments!B:B,"&gt;="&amp;$B$4,Assessments!B:B,"&lt;="&amp;$B$5,Assessments!C:C,IF($E$4="",$B155,$E$4),Assessments!D:D,IF($E$5="",$C155,$E$5)))</f>
        <v/>
      </c>
      <c r="G155">
        <f>IF($D155=0,"",MINIFS(Assessments!J:J,Assessments!G:G,$A155,Assessments!B:B,"&gt;="&amp;$B$4,Assessments!B:B,"&lt;="&amp;$B$5,Assessments!C:C,IF($E$4="",$B155,$E$4),Assessments!D:D,IF($E$5="",$C155,$E$5)))</f>
        <v/>
      </c>
      <c r="H155">
        <f>IF($E155="","",RANK($E155,$E$8:$E$507,0))</f>
        <v/>
      </c>
      <c r="I155">
        <f>IF($E155="","",IF($E155&gt;=85,"Excellent",IF($E155&gt;=70,"Good",IF($E155&gt;=50,"Fair","Needs Support"))))</f>
        <v/>
      </c>
    </row>
    <row r="156">
      <c r="A156">
        <f>IF(Students!A150="","",Students!A150)</f>
        <v/>
      </c>
      <c r="B156">
        <f>IF($A156="","",Students!B150)</f>
        <v/>
      </c>
      <c r="C156">
        <f>IF($A156="","",Students!C150)</f>
        <v/>
      </c>
      <c r="D156">
        <f>IF($A156="","",COUNTIFS(Assessments!G:G,$A156,Assessments!B:B,"&gt;="&amp;$B$4,Assessments!B:B,"&lt;="&amp;$B$5,Assessments!C:C,IF($E$4="",$B156,$E$4),Assessments!D:D,IF($E$5="",$C156,$E$5)))</f>
        <v/>
      </c>
      <c r="E156">
        <f>IF($D156=0,"",ROUND(AVERAGEIFS(Assessments!J:J,Assessments!G:G,$A156,Assessments!B:B,"&gt;="&amp;$B$4,Assessments!B:B,"&lt;="&amp;$B$5,Assessments!C:C,IF($E$4="",$B156,$E$4),Assessments!D:D,IF($E$5="",$C156,$E$5)),0))</f>
        <v/>
      </c>
      <c r="F156">
        <f>IF($D156=0,"",MAXIFS(Assessments!J:J,Assessments!G:G,$A156,Assessments!B:B,"&gt;="&amp;$B$4,Assessments!B:B,"&lt;="&amp;$B$5,Assessments!C:C,IF($E$4="",$B156,$E$4),Assessments!D:D,IF($E$5="",$C156,$E$5)))</f>
        <v/>
      </c>
      <c r="G156">
        <f>IF($D156=0,"",MINIFS(Assessments!J:J,Assessments!G:G,$A156,Assessments!B:B,"&gt;="&amp;$B$4,Assessments!B:B,"&lt;="&amp;$B$5,Assessments!C:C,IF($E$4="",$B156,$E$4),Assessments!D:D,IF($E$5="",$C156,$E$5)))</f>
        <v/>
      </c>
      <c r="H156">
        <f>IF($E156="","",RANK($E156,$E$8:$E$507,0))</f>
        <v/>
      </c>
      <c r="I156">
        <f>IF($E156="","",IF($E156&gt;=85,"Excellent",IF($E156&gt;=70,"Good",IF($E156&gt;=50,"Fair","Needs Support"))))</f>
        <v/>
      </c>
    </row>
    <row r="157">
      <c r="A157">
        <f>IF(Students!A151="","",Students!A151)</f>
        <v/>
      </c>
      <c r="B157">
        <f>IF($A157="","",Students!B151)</f>
        <v/>
      </c>
      <c r="C157">
        <f>IF($A157="","",Students!C151)</f>
        <v/>
      </c>
      <c r="D157">
        <f>IF($A157="","",COUNTIFS(Assessments!G:G,$A157,Assessments!B:B,"&gt;="&amp;$B$4,Assessments!B:B,"&lt;="&amp;$B$5,Assessments!C:C,IF($E$4="",$B157,$E$4),Assessments!D:D,IF($E$5="",$C157,$E$5)))</f>
        <v/>
      </c>
      <c r="E157">
        <f>IF($D157=0,"",ROUND(AVERAGEIFS(Assessments!J:J,Assessments!G:G,$A157,Assessments!B:B,"&gt;="&amp;$B$4,Assessments!B:B,"&lt;="&amp;$B$5,Assessments!C:C,IF($E$4="",$B157,$E$4),Assessments!D:D,IF($E$5="",$C157,$E$5)),0))</f>
        <v/>
      </c>
      <c r="F157">
        <f>IF($D157=0,"",MAXIFS(Assessments!J:J,Assessments!G:G,$A157,Assessments!B:B,"&gt;="&amp;$B$4,Assessments!B:B,"&lt;="&amp;$B$5,Assessments!C:C,IF($E$4="",$B157,$E$4),Assessments!D:D,IF($E$5="",$C157,$E$5)))</f>
        <v/>
      </c>
      <c r="G157">
        <f>IF($D157=0,"",MINIFS(Assessments!J:J,Assessments!G:G,$A157,Assessments!B:B,"&gt;="&amp;$B$4,Assessments!B:B,"&lt;="&amp;$B$5,Assessments!C:C,IF($E$4="",$B157,$E$4),Assessments!D:D,IF($E$5="",$C157,$E$5)))</f>
        <v/>
      </c>
      <c r="H157">
        <f>IF($E157="","",RANK($E157,$E$8:$E$507,0))</f>
        <v/>
      </c>
      <c r="I157">
        <f>IF($E157="","",IF($E157&gt;=85,"Excellent",IF($E157&gt;=70,"Good",IF($E157&gt;=50,"Fair","Needs Support"))))</f>
        <v/>
      </c>
    </row>
    <row r="158">
      <c r="A158">
        <f>IF(Students!A152="","",Students!A152)</f>
        <v/>
      </c>
      <c r="B158">
        <f>IF($A158="","",Students!B152)</f>
        <v/>
      </c>
      <c r="C158">
        <f>IF($A158="","",Students!C152)</f>
        <v/>
      </c>
      <c r="D158">
        <f>IF($A158="","",COUNTIFS(Assessments!G:G,$A158,Assessments!B:B,"&gt;="&amp;$B$4,Assessments!B:B,"&lt;="&amp;$B$5,Assessments!C:C,IF($E$4="",$B158,$E$4),Assessments!D:D,IF($E$5="",$C158,$E$5)))</f>
        <v/>
      </c>
      <c r="E158">
        <f>IF($D158=0,"",ROUND(AVERAGEIFS(Assessments!J:J,Assessments!G:G,$A158,Assessments!B:B,"&gt;="&amp;$B$4,Assessments!B:B,"&lt;="&amp;$B$5,Assessments!C:C,IF($E$4="",$B158,$E$4),Assessments!D:D,IF($E$5="",$C158,$E$5)),0))</f>
        <v/>
      </c>
      <c r="F158">
        <f>IF($D158=0,"",MAXIFS(Assessments!J:J,Assessments!G:G,$A158,Assessments!B:B,"&gt;="&amp;$B$4,Assessments!B:B,"&lt;="&amp;$B$5,Assessments!C:C,IF($E$4="",$B158,$E$4),Assessments!D:D,IF($E$5="",$C158,$E$5)))</f>
        <v/>
      </c>
      <c r="G158">
        <f>IF($D158=0,"",MINIFS(Assessments!J:J,Assessments!G:G,$A158,Assessments!B:B,"&gt;="&amp;$B$4,Assessments!B:B,"&lt;="&amp;$B$5,Assessments!C:C,IF($E$4="",$B158,$E$4),Assessments!D:D,IF($E$5="",$C158,$E$5)))</f>
        <v/>
      </c>
      <c r="H158">
        <f>IF($E158="","",RANK($E158,$E$8:$E$507,0))</f>
        <v/>
      </c>
      <c r="I158">
        <f>IF($E158="","",IF($E158&gt;=85,"Excellent",IF($E158&gt;=70,"Good",IF($E158&gt;=50,"Fair","Needs Support"))))</f>
        <v/>
      </c>
    </row>
    <row r="159">
      <c r="A159">
        <f>IF(Students!A153="","",Students!A153)</f>
        <v/>
      </c>
      <c r="B159">
        <f>IF($A159="","",Students!B153)</f>
        <v/>
      </c>
      <c r="C159">
        <f>IF($A159="","",Students!C153)</f>
        <v/>
      </c>
      <c r="D159">
        <f>IF($A159="","",COUNTIFS(Assessments!G:G,$A159,Assessments!B:B,"&gt;="&amp;$B$4,Assessments!B:B,"&lt;="&amp;$B$5,Assessments!C:C,IF($E$4="",$B159,$E$4),Assessments!D:D,IF($E$5="",$C159,$E$5)))</f>
        <v/>
      </c>
      <c r="E159">
        <f>IF($D159=0,"",ROUND(AVERAGEIFS(Assessments!J:J,Assessments!G:G,$A159,Assessments!B:B,"&gt;="&amp;$B$4,Assessments!B:B,"&lt;="&amp;$B$5,Assessments!C:C,IF($E$4="",$B159,$E$4),Assessments!D:D,IF($E$5="",$C159,$E$5)),0))</f>
        <v/>
      </c>
      <c r="F159">
        <f>IF($D159=0,"",MAXIFS(Assessments!J:J,Assessments!G:G,$A159,Assessments!B:B,"&gt;="&amp;$B$4,Assessments!B:B,"&lt;="&amp;$B$5,Assessments!C:C,IF($E$4="",$B159,$E$4),Assessments!D:D,IF($E$5="",$C159,$E$5)))</f>
        <v/>
      </c>
      <c r="G159">
        <f>IF($D159=0,"",MINIFS(Assessments!J:J,Assessments!G:G,$A159,Assessments!B:B,"&gt;="&amp;$B$4,Assessments!B:B,"&lt;="&amp;$B$5,Assessments!C:C,IF($E$4="",$B159,$E$4),Assessments!D:D,IF($E$5="",$C159,$E$5)))</f>
        <v/>
      </c>
      <c r="H159">
        <f>IF($E159="","",RANK($E159,$E$8:$E$507,0))</f>
        <v/>
      </c>
      <c r="I159">
        <f>IF($E159="","",IF($E159&gt;=85,"Excellent",IF($E159&gt;=70,"Good",IF($E159&gt;=50,"Fair","Needs Support"))))</f>
        <v/>
      </c>
    </row>
    <row r="160">
      <c r="A160">
        <f>IF(Students!A154="","",Students!A154)</f>
        <v/>
      </c>
      <c r="B160">
        <f>IF($A160="","",Students!B154)</f>
        <v/>
      </c>
      <c r="C160">
        <f>IF($A160="","",Students!C154)</f>
        <v/>
      </c>
      <c r="D160">
        <f>IF($A160="","",COUNTIFS(Assessments!G:G,$A160,Assessments!B:B,"&gt;="&amp;$B$4,Assessments!B:B,"&lt;="&amp;$B$5,Assessments!C:C,IF($E$4="",$B160,$E$4),Assessments!D:D,IF($E$5="",$C160,$E$5)))</f>
        <v/>
      </c>
      <c r="E160">
        <f>IF($D160=0,"",ROUND(AVERAGEIFS(Assessments!J:J,Assessments!G:G,$A160,Assessments!B:B,"&gt;="&amp;$B$4,Assessments!B:B,"&lt;="&amp;$B$5,Assessments!C:C,IF($E$4="",$B160,$E$4),Assessments!D:D,IF($E$5="",$C160,$E$5)),0))</f>
        <v/>
      </c>
      <c r="F160">
        <f>IF($D160=0,"",MAXIFS(Assessments!J:J,Assessments!G:G,$A160,Assessments!B:B,"&gt;="&amp;$B$4,Assessments!B:B,"&lt;="&amp;$B$5,Assessments!C:C,IF($E$4="",$B160,$E$4),Assessments!D:D,IF($E$5="",$C160,$E$5)))</f>
        <v/>
      </c>
      <c r="G160">
        <f>IF($D160=0,"",MINIFS(Assessments!J:J,Assessments!G:G,$A160,Assessments!B:B,"&gt;="&amp;$B$4,Assessments!B:B,"&lt;="&amp;$B$5,Assessments!C:C,IF($E$4="",$B160,$E$4),Assessments!D:D,IF($E$5="",$C160,$E$5)))</f>
        <v/>
      </c>
      <c r="H160">
        <f>IF($E160="","",RANK($E160,$E$8:$E$507,0))</f>
        <v/>
      </c>
      <c r="I160">
        <f>IF($E160="","",IF($E160&gt;=85,"Excellent",IF($E160&gt;=70,"Good",IF($E160&gt;=50,"Fair","Needs Support"))))</f>
        <v/>
      </c>
    </row>
    <row r="161">
      <c r="A161">
        <f>IF(Students!A155="","",Students!A155)</f>
        <v/>
      </c>
      <c r="B161">
        <f>IF($A161="","",Students!B155)</f>
        <v/>
      </c>
      <c r="C161">
        <f>IF($A161="","",Students!C155)</f>
        <v/>
      </c>
      <c r="D161">
        <f>IF($A161="","",COUNTIFS(Assessments!G:G,$A161,Assessments!B:B,"&gt;="&amp;$B$4,Assessments!B:B,"&lt;="&amp;$B$5,Assessments!C:C,IF($E$4="",$B161,$E$4),Assessments!D:D,IF($E$5="",$C161,$E$5)))</f>
        <v/>
      </c>
      <c r="E161">
        <f>IF($D161=0,"",ROUND(AVERAGEIFS(Assessments!J:J,Assessments!G:G,$A161,Assessments!B:B,"&gt;="&amp;$B$4,Assessments!B:B,"&lt;="&amp;$B$5,Assessments!C:C,IF($E$4="",$B161,$E$4),Assessments!D:D,IF($E$5="",$C161,$E$5)),0))</f>
        <v/>
      </c>
      <c r="F161">
        <f>IF($D161=0,"",MAXIFS(Assessments!J:J,Assessments!G:G,$A161,Assessments!B:B,"&gt;="&amp;$B$4,Assessments!B:B,"&lt;="&amp;$B$5,Assessments!C:C,IF($E$4="",$B161,$E$4),Assessments!D:D,IF($E$5="",$C161,$E$5)))</f>
        <v/>
      </c>
      <c r="G161">
        <f>IF($D161=0,"",MINIFS(Assessments!J:J,Assessments!G:G,$A161,Assessments!B:B,"&gt;="&amp;$B$4,Assessments!B:B,"&lt;="&amp;$B$5,Assessments!C:C,IF($E$4="",$B161,$E$4),Assessments!D:D,IF($E$5="",$C161,$E$5)))</f>
        <v/>
      </c>
      <c r="H161">
        <f>IF($E161="","",RANK($E161,$E$8:$E$507,0))</f>
        <v/>
      </c>
      <c r="I161">
        <f>IF($E161="","",IF($E161&gt;=85,"Excellent",IF($E161&gt;=70,"Good",IF($E161&gt;=50,"Fair","Needs Support"))))</f>
        <v/>
      </c>
    </row>
    <row r="162">
      <c r="A162">
        <f>IF(Students!A156="","",Students!A156)</f>
        <v/>
      </c>
      <c r="B162">
        <f>IF($A162="","",Students!B156)</f>
        <v/>
      </c>
      <c r="C162">
        <f>IF($A162="","",Students!C156)</f>
        <v/>
      </c>
      <c r="D162">
        <f>IF($A162="","",COUNTIFS(Assessments!G:G,$A162,Assessments!B:B,"&gt;="&amp;$B$4,Assessments!B:B,"&lt;="&amp;$B$5,Assessments!C:C,IF($E$4="",$B162,$E$4),Assessments!D:D,IF($E$5="",$C162,$E$5)))</f>
        <v/>
      </c>
      <c r="E162">
        <f>IF($D162=0,"",ROUND(AVERAGEIFS(Assessments!J:J,Assessments!G:G,$A162,Assessments!B:B,"&gt;="&amp;$B$4,Assessments!B:B,"&lt;="&amp;$B$5,Assessments!C:C,IF($E$4="",$B162,$E$4),Assessments!D:D,IF($E$5="",$C162,$E$5)),0))</f>
        <v/>
      </c>
      <c r="F162">
        <f>IF($D162=0,"",MAXIFS(Assessments!J:J,Assessments!G:G,$A162,Assessments!B:B,"&gt;="&amp;$B$4,Assessments!B:B,"&lt;="&amp;$B$5,Assessments!C:C,IF($E$4="",$B162,$E$4),Assessments!D:D,IF($E$5="",$C162,$E$5)))</f>
        <v/>
      </c>
      <c r="G162">
        <f>IF($D162=0,"",MINIFS(Assessments!J:J,Assessments!G:G,$A162,Assessments!B:B,"&gt;="&amp;$B$4,Assessments!B:B,"&lt;="&amp;$B$5,Assessments!C:C,IF($E$4="",$B162,$E$4),Assessments!D:D,IF($E$5="",$C162,$E$5)))</f>
        <v/>
      </c>
      <c r="H162">
        <f>IF($E162="","",RANK($E162,$E$8:$E$507,0))</f>
        <v/>
      </c>
      <c r="I162">
        <f>IF($E162="","",IF($E162&gt;=85,"Excellent",IF($E162&gt;=70,"Good",IF($E162&gt;=50,"Fair","Needs Support"))))</f>
        <v/>
      </c>
    </row>
    <row r="163">
      <c r="A163">
        <f>IF(Students!A157="","",Students!A157)</f>
        <v/>
      </c>
      <c r="B163">
        <f>IF($A163="","",Students!B157)</f>
        <v/>
      </c>
      <c r="C163">
        <f>IF($A163="","",Students!C157)</f>
        <v/>
      </c>
      <c r="D163">
        <f>IF($A163="","",COUNTIFS(Assessments!G:G,$A163,Assessments!B:B,"&gt;="&amp;$B$4,Assessments!B:B,"&lt;="&amp;$B$5,Assessments!C:C,IF($E$4="",$B163,$E$4),Assessments!D:D,IF($E$5="",$C163,$E$5)))</f>
        <v/>
      </c>
      <c r="E163">
        <f>IF($D163=0,"",ROUND(AVERAGEIFS(Assessments!J:J,Assessments!G:G,$A163,Assessments!B:B,"&gt;="&amp;$B$4,Assessments!B:B,"&lt;="&amp;$B$5,Assessments!C:C,IF($E$4="",$B163,$E$4),Assessments!D:D,IF($E$5="",$C163,$E$5)),0))</f>
        <v/>
      </c>
      <c r="F163">
        <f>IF($D163=0,"",MAXIFS(Assessments!J:J,Assessments!G:G,$A163,Assessments!B:B,"&gt;="&amp;$B$4,Assessments!B:B,"&lt;="&amp;$B$5,Assessments!C:C,IF($E$4="",$B163,$E$4),Assessments!D:D,IF($E$5="",$C163,$E$5)))</f>
        <v/>
      </c>
      <c r="G163">
        <f>IF($D163=0,"",MINIFS(Assessments!J:J,Assessments!G:G,$A163,Assessments!B:B,"&gt;="&amp;$B$4,Assessments!B:B,"&lt;="&amp;$B$5,Assessments!C:C,IF($E$4="",$B163,$E$4),Assessments!D:D,IF($E$5="",$C163,$E$5)))</f>
        <v/>
      </c>
      <c r="H163">
        <f>IF($E163="","",RANK($E163,$E$8:$E$507,0))</f>
        <v/>
      </c>
      <c r="I163">
        <f>IF($E163="","",IF($E163&gt;=85,"Excellent",IF($E163&gt;=70,"Good",IF($E163&gt;=50,"Fair","Needs Support"))))</f>
        <v/>
      </c>
    </row>
    <row r="164">
      <c r="A164">
        <f>IF(Students!A158="","",Students!A158)</f>
        <v/>
      </c>
      <c r="B164">
        <f>IF($A164="","",Students!B158)</f>
        <v/>
      </c>
      <c r="C164">
        <f>IF($A164="","",Students!C158)</f>
        <v/>
      </c>
      <c r="D164">
        <f>IF($A164="","",COUNTIFS(Assessments!G:G,$A164,Assessments!B:B,"&gt;="&amp;$B$4,Assessments!B:B,"&lt;="&amp;$B$5,Assessments!C:C,IF($E$4="",$B164,$E$4),Assessments!D:D,IF($E$5="",$C164,$E$5)))</f>
        <v/>
      </c>
      <c r="E164">
        <f>IF($D164=0,"",ROUND(AVERAGEIFS(Assessments!J:J,Assessments!G:G,$A164,Assessments!B:B,"&gt;="&amp;$B$4,Assessments!B:B,"&lt;="&amp;$B$5,Assessments!C:C,IF($E$4="",$B164,$E$4),Assessments!D:D,IF($E$5="",$C164,$E$5)),0))</f>
        <v/>
      </c>
      <c r="F164">
        <f>IF($D164=0,"",MAXIFS(Assessments!J:J,Assessments!G:G,$A164,Assessments!B:B,"&gt;="&amp;$B$4,Assessments!B:B,"&lt;="&amp;$B$5,Assessments!C:C,IF($E$4="",$B164,$E$4),Assessments!D:D,IF($E$5="",$C164,$E$5)))</f>
        <v/>
      </c>
      <c r="G164">
        <f>IF($D164=0,"",MINIFS(Assessments!J:J,Assessments!G:G,$A164,Assessments!B:B,"&gt;="&amp;$B$4,Assessments!B:B,"&lt;="&amp;$B$5,Assessments!C:C,IF($E$4="",$B164,$E$4),Assessments!D:D,IF($E$5="",$C164,$E$5)))</f>
        <v/>
      </c>
      <c r="H164">
        <f>IF($E164="","",RANK($E164,$E$8:$E$507,0))</f>
        <v/>
      </c>
      <c r="I164">
        <f>IF($E164="","",IF($E164&gt;=85,"Excellent",IF($E164&gt;=70,"Good",IF($E164&gt;=50,"Fair","Needs Support"))))</f>
        <v/>
      </c>
    </row>
    <row r="165">
      <c r="A165">
        <f>IF(Students!A159="","",Students!A159)</f>
        <v/>
      </c>
      <c r="B165">
        <f>IF($A165="","",Students!B159)</f>
        <v/>
      </c>
      <c r="C165">
        <f>IF($A165="","",Students!C159)</f>
        <v/>
      </c>
      <c r="D165">
        <f>IF($A165="","",COUNTIFS(Assessments!G:G,$A165,Assessments!B:B,"&gt;="&amp;$B$4,Assessments!B:B,"&lt;="&amp;$B$5,Assessments!C:C,IF($E$4="",$B165,$E$4),Assessments!D:D,IF($E$5="",$C165,$E$5)))</f>
        <v/>
      </c>
      <c r="E165">
        <f>IF($D165=0,"",ROUND(AVERAGEIFS(Assessments!J:J,Assessments!G:G,$A165,Assessments!B:B,"&gt;="&amp;$B$4,Assessments!B:B,"&lt;="&amp;$B$5,Assessments!C:C,IF($E$4="",$B165,$E$4),Assessments!D:D,IF($E$5="",$C165,$E$5)),0))</f>
        <v/>
      </c>
      <c r="F165">
        <f>IF($D165=0,"",MAXIFS(Assessments!J:J,Assessments!G:G,$A165,Assessments!B:B,"&gt;="&amp;$B$4,Assessments!B:B,"&lt;="&amp;$B$5,Assessments!C:C,IF($E$4="",$B165,$E$4),Assessments!D:D,IF($E$5="",$C165,$E$5)))</f>
        <v/>
      </c>
      <c r="G165">
        <f>IF($D165=0,"",MINIFS(Assessments!J:J,Assessments!G:G,$A165,Assessments!B:B,"&gt;="&amp;$B$4,Assessments!B:B,"&lt;="&amp;$B$5,Assessments!C:C,IF($E$4="",$B165,$E$4),Assessments!D:D,IF($E$5="",$C165,$E$5)))</f>
        <v/>
      </c>
      <c r="H165">
        <f>IF($E165="","",RANK($E165,$E$8:$E$507,0))</f>
        <v/>
      </c>
      <c r="I165">
        <f>IF($E165="","",IF($E165&gt;=85,"Excellent",IF($E165&gt;=70,"Good",IF($E165&gt;=50,"Fair","Needs Support"))))</f>
        <v/>
      </c>
    </row>
    <row r="166">
      <c r="A166">
        <f>IF(Students!A160="","",Students!A160)</f>
        <v/>
      </c>
      <c r="B166">
        <f>IF($A166="","",Students!B160)</f>
        <v/>
      </c>
      <c r="C166">
        <f>IF($A166="","",Students!C160)</f>
        <v/>
      </c>
      <c r="D166">
        <f>IF($A166="","",COUNTIFS(Assessments!G:G,$A166,Assessments!B:B,"&gt;="&amp;$B$4,Assessments!B:B,"&lt;="&amp;$B$5,Assessments!C:C,IF($E$4="",$B166,$E$4),Assessments!D:D,IF($E$5="",$C166,$E$5)))</f>
        <v/>
      </c>
      <c r="E166">
        <f>IF($D166=0,"",ROUND(AVERAGEIFS(Assessments!J:J,Assessments!G:G,$A166,Assessments!B:B,"&gt;="&amp;$B$4,Assessments!B:B,"&lt;="&amp;$B$5,Assessments!C:C,IF($E$4="",$B166,$E$4),Assessments!D:D,IF($E$5="",$C166,$E$5)),0))</f>
        <v/>
      </c>
      <c r="F166">
        <f>IF($D166=0,"",MAXIFS(Assessments!J:J,Assessments!G:G,$A166,Assessments!B:B,"&gt;="&amp;$B$4,Assessments!B:B,"&lt;="&amp;$B$5,Assessments!C:C,IF($E$4="",$B166,$E$4),Assessments!D:D,IF($E$5="",$C166,$E$5)))</f>
        <v/>
      </c>
      <c r="G166">
        <f>IF($D166=0,"",MINIFS(Assessments!J:J,Assessments!G:G,$A166,Assessments!B:B,"&gt;="&amp;$B$4,Assessments!B:B,"&lt;="&amp;$B$5,Assessments!C:C,IF($E$4="",$B166,$E$4),Assessments!D:D,IF($E$5="",$C166,$E$5)))</f>
        <v/>
      </c>
      <c r="H166">
        <f>IF($E166="","",RANK($E166,$E$8:$E$507,0))</f>
        <v/>
      </c>
      <c r="I166">
        <f>IF($E166="","",IF($E166&gt;=85,"Excellent",IF($E166&gt;=70,"Good",IF($E166&gt;=50,"Fair","Needs Support"))))</f>
        <v/>
      </c>
    </row>
    <row r="167">
      <c r="A167">
        <f>IF(Students!A161="","",Students!A161)</f>
        <v/>
      </c>
      <c r="B167">
        <f>IF($A167="","",Students!B161)</f>
        <v/>
      </c>
      <c r="C167">
        <f>IF($A167="","",Students!C161)</f>
        <v/>
      </c>
      <c r="D167">
        <f>IF($A167="","",COUNTIFS(Assessments!G:G,$A167,Assessments!B:B,"&gt;="&amp;$B$4,Assessments!B:B,"&lt;="&amp;$B$5,Assessments!C:C,IF($E$4="",$B167,$E$4),Assessments!D:D,IF($E$5="",$C167,$E$5)))</f>
        <v/>
      </c>
      <c r="E167">
        <f>IF($D167=0,"",ROUND(AVERAGEIFS(Assessments!J:J,Assessments!G:G,$A167,Assessments!B:B,"&gt;="&amp;$B$4,Assessments!B:B,"&lt;="&amp;$B$5,Assessments!C:C,IF($E$4="",$B167,$E$4),Assessments!D:D,IF($E$5="",$C167,$E$5)),0))</f>
        <v/>
      </c>
      <c r="F167">
        <f>IF($D167=0,"",MAXIFS(Assessments!J:J,Assessments!G:G,$A167,Assessments!B:B,"&gt;="&amp;$B$4,Assessments!B:B,"&lt;="&amp;$B$5,Assessments!C:C,IF($E$4="",$B167,$E$4),Assessments!D:D,IF($E$5="",$C167,$E$5)))</f>
        <v/>
      </c>
      <c r="G167">
        <f>IF($D167=0,"",MINIFS(Assessments!J:J,Assessments!G:G,$A167,Assessments!B:B,"&gt;="&amp;$B$4,Assessments!B:B,"&lt;="&amp;$B$5,Assessments!C:C,IF($E$4="",$B167,$E$4),Assessments!D:D,IF($E$5="",$C167,$E$5)))</f>
        <v/>
      </c>
      <c r="H167">
        <f>IF($E167="","",RANK($E167,$E$8:$E$507,0))</f>
        <v/>
      </c>
      <c r="I167">
        <f>IF($E167="","",IF($E167&gt;=85,"Excellent",IF($E167&gt;=70,"Good",IF($E167&gt;=50,"Fair","Needs Support"))))</f>
        <v/>
      </c>
    </row>
    <row r="168">
      <c r="A168">
        <f>IF(Students!A162="","",Students!A162)</f>
        <v/>
      </c>
      <c r="B168">
        <f>IF($A168="","",Students!B162)</f>
        <v/>
      </c>
      <c r="C168">
        <f>IF($A168="","",Students!C162)</f>
        <v/>
      </c>
      <c r="D168">
        <f>IF($A168="","",COUNTIFS(Assessments!G:G,$A168,Assessments!B:B,"&gt;="&amp;$B$4,Assessments!B:B,"&lt;="&amp;$B$5,Assessments!C:C,IF($E$4="",$B168,$E$4),Assessments!D:D,IF($E$5="",$C168,$E$5)))</f>
        <v/>
      </c>
      <c r="E168">
        <f>IF($D168=0,"",ROUND(AVERAGEIFS(Assessments!J:J,Assessments!G:G,$A168,Assessments!B:B,"&gt;="&amp;$B$4,Assessments!B:B,"&lt;="&amp;$B$5,Assessments!C:C,IF($E$4="",$B168,$E$4),Assessments!D:D,IF($E$5="",$C168,$E$5)),0))</f>
        <v/>
      </c>
      <c r="F168">
        <f>IF($D168=0,"",MAXIFS(Assessments!J:J,Assessments!G:G,$A168,Assessments!B:B,"&gt;="&amp;$B$4,Assessments!B:B,"&lt;="&amp;$B$5,Assessments!C:C,IF($E$4="",$B168,$E$4),Assessments!D:D,IF($E$5="",$C168,$E$5)))</f>
        <v/>
      </c>
      <c r="G168">
        <f>IF($D168=0,"",MINIFS(Assessments!J:J,Assessments!G:G,$A168,Assessments!B:B,"&gt;="&amp;$B$4,Assessments!B:B,"&lt;="&amp;$B$5,Assessments!C:C,IF($E$4="",$B168,$E$4),Assessments!D:D,IF($E$5="",$C168,$E$5)))</f>
        <v/>
      </c>
      <c r="H168">
        <f>IF($E168="","",RANK($E168,$E$8:$E$507,0))</f>
        <v/>
      </c>
      <c r="I168">
        <f>IF($E168="","",IF($E168&gt;=85,"Excellent",IF($E168&gt;=70,"Good",IF($E168&gt;=50,"Fair","Needs Support"))))</f>
        <v/>
      </c>
    </row>
    <row r="169">
      <c r="A169">
        <f>IF(Students!A163="","",Students!A163)</f>
        <v/>
      </c>
      <c r="B169">
        <f>IF($A169="","",Students!B163)</f>
        <v/>
      </c>
      <c r="C169">
        <f>IF($A169="","",Students!C163)</f>
        <v/>
      </c>
      <c r="D169">
        <f>IF($A169="","",COUNTIFS(Assessments!G:G,$A169,Assessments!B:B,"&gt;="&amp;$B$4,Assessments!B:B,"&lt;="&amp;$B$5,Assessments!C:C,IF($E$4="",$B169,$E$4),Assessments!D:D,IF($E$5="",$C169,$E$5)))</f>
        <v/>
      </c>
      <c r="E169">
        <f>IF($D169=0,"",ROUND(AVERAGEIFS(Assessments!J:J,Assessments!G:G,$A169,Assessments!B:B,"&gt;="&amp;$B$4,Assessments!B:B,"&lt;="&amp;$B$5,Assessments!C:C,IF($E$4="",$B169,$E$4),Assessments!D:D,IF($E$5="",$C169,$E$5)),0))</f>
        <v/>
      </c>
      <c r="F169">
        <f>IF($D169=0,"",MAXIFS(Assessments!J:J,Assessments!G:G,$A169,Assessments!B:B,"&gt;="&amp;$B$4,Assessments!B:B,"&lt;="&amp;$B$5,Assessments!C:C,IF($E$4="",$B169,$E$4),Assessments!D:D,IF($E$5="",$C169,$E$5)))</f>
        <v/>
      </c>
      <c r="G169">
        <f>IF($D169=0,"",MINIFS(Assessments!J:J,Assessments!G:G,$A169,Assessments!B:B,"&gt;="&amp;$B$4,Assessments!B:B,"&lt;="&amp;$B$5,Assessments!C:C,IF($E$4="",$B169,$E$4),Assessments!D:D,IF($E$5="",$C169,$E$5)))</f>
        <v/>
      </c>
      <c r="H169">
        <f>IF($E169="","",RANK($E169,$E$8:$E$507,0))</f>
        <v/>
      </c>
      <c r="I169">
        <f>IF($E169="","",IF($E169&gt;=85,"Excellent",IF($E169&gt;=70,"Good",IF($E169&gt;=50,"Fair","Needs Support"))))</f>
        <v/>
      </c>
    </row>
    <row r="170">
      <c r="A170">
        <f>IF(Students!A164="","",Students!A164)</f>
        <v/>
      </c>
      <c r="B170">
        <f>IF($A170="","",Students!B164)</f>
        <v/>
      </c>
      <c r="C170">
        <f>IF($A170="","",Students!C164)</f>
        <v/>
      </c>
      <c r="D170">
        <f>IF($A170="","",COUNTIFS(Assessments!G:G,$A170,Assessments!B:B,"&gt;="&amp;$B$4,Assessments!B:B,"&lt;="&amp;$B$5,Assessments!C:C,IF($E$4="",$B170,$E$4),Assessments!D:D,IF($E$5="",$C170,$E$5)))</f>
        <v/>
      </c>
      <c r="E170">
        <f>IF($D170=0,"",ROUND(AVERAGEIFS(Assessments!J:J,Assessments!G:G,$A170,Assessments!B:B,"&gt;="&amp;$B$4,Assessments!B:B,"&lt;="&amp;$B$5,Assessments!C:C,IF($E$4="",$B170,$E$4),Assessments!D:D,IF($E$5="",$C170,$E$5)),0))</f>
        <v/>
      </c>
      <c r="F170">
        <f>IF($D170=0,"",MAXIFS(Assessments!J:J,Assessments!G:G,$A170,Assessments!B:B,"&gt;="&amp;$B$4,Assessments!B:B,"&lt;="&amp;$B$5,Assessments!C:C,IF($E$4="",$B170,$E$4),Assessments!D:D,IF($E$5="",$C170,$E$5)))</f>
        <v/>
      </c>
      <c r="G170">
        <f>IF($D170=0,"",MINIFS(Assessments!J:J,Assessments!G:G,$A170,Assessments!B:B,"&gt;="&amp;$B$4,Assessments!B:B,"&lt;="&amp;$B$5,Assessments!C:C,IF($E$4="",$B170,$E$4),Assessments!D:D,IF($E$5="",$C170,$E$5)))</f>
        <v/>
      </c>
      <c r="H170">
        <f>IF($E170="","",RANK($E170,$E$8:$E$507,0))</f>
        <v/>
      </c>
      <c r="I170">
        <f>IF($E170="","",IF($E170&gt;=85,"Excellent",IF($E170&gt;=70,"Good",IF($E170&gt;=50,"Fair","Needs Support"))))</f>
        <v/>
      </c>
    </row>
    <row r="171">
      <c r="A171">
        <f>IF(Students!A165="","",Students!A165)</f>
        <v/>
      </c>
      <c r="B171">
        <f>IF($A171="","",Students!B165)</f>
        <v/>
      </c>
      <c r="C171">
        <f>IF($A171="","",Students!C165)</f>
        <v/>
      </c>
      <c r="D171">
        <f>IF($A171="","",COUNTIFS(Assessments!G:G,$A171,Assessments!B:B,"&gt;="&amp;$B$4,Assessments!B:B,"&lt;="&amp;$B$5,Assessments!C:C,IF($E$4="",$B171,$E$4),Assessments!D:D,IF($E$5="",$C171,$E$5)))</f>
        <v/>
      </c>
      <c r="E171">
        <f>IF($D171=0,"",ROUND(AVERAGEIFS(Assessments!J:J,Assessments!G:G,$A171,Assessments!B:B,"&gt;="&amp;$B$4,Assessments!B:B,"&lt;="&amp;$B$5,Assessments!C:C,IF($E$4="",$B171,$E$4),Assessments!D:D,IF($E$5="",$C171,$E$5)),0))</f>
        <v/>
      </c>
      <c r="F171">
        <f>IF($D171=0,"",MAXIFS(Assessments!J:J,Assessments!G:G,$A171,Assessments!B:B,"&gt;="&amp;$B$4,Assessments!B:B,"&lt;="&amp;$B$5,Assessments!C:C,IF($E$4="",$B171,$E$4),Assessments!D:D,IF($E$5="",$C171,$E$5)))</f>
        <v/>
      </c>
      <c r="G171">
        <f>IF($D171=0,"",MINIFS(Assessments!J:J,Assessments!G:G,$A171,Assessments!B:B,"&gt;="&amp;$B$4,Assessments!B:B,"&lt;="&amp;$B$5,Assessments!C:C,IF($E$4="",$B171,$E$4),Assessments!D:D,IF($E$5="",$C171,$E$5)))</f>
        <v/>
      </c>
      <c r="H171">
        <f>IF($E171="","",RANK($E171,$E$8:$E$507,0))</f>
        <v/>
      </c>
      <c r="I171">
        <f>IF($E171="","",IF($E171&gt;=85,"Excellent",IF($E171&gt;=70,"Good",IF($E171&gt;=50,"Fair","Needs Support"))))</f>
        <v/>
      </c>
    </row>
    <row r="172">
      <c r="A172">
        <f>IF(Students!A166="","",Students!A166)</f>
        <v/>
      </c>
      <c r="B172">
        <f>IF($A172="","",Students!B166)</f>
        <v/>
      </c>
      <c r="C172">
        <f>IF($A172="","",Students!C166)</f>
        <v/>
      </c>
      <c r="D172">
        <f>IF($A172="","",COUNTIFS(Assessments!G:G,$A172,Assessments!B:B,"&gt;="&amp;$B$4,Assessments!B:B,"&lt;="&amp;$B$5,Assessments!C:C,IF($E$4="",$B172,$E$4),Assessments!D:D,IF($E$5="",$C172,$E$5)))</f>
        <v/>
      </c>
      <c r="E172">
        <f>IF($D172=0,"",ROUND(AVERAGEIFS(Assessments!J:J,Assessments!G:G,$A172,Assessments!B:B,"&gt;="&amp;$B$4,Assessments!B:B,"&lt;="&amp;$B$5,Assessments!C:C,IF($E$4="",$B172,$E$4),Assessments!D:D,IF($E$5="",$C172,$E$5)),0))</f>
        <v/>
      </c>
      <c r="F172">
        <f>IF($D172=0,"",MAXIFS(Assessments!J:J,Assessments!G:G,$A172,Assessments!B:B,"&gt;="&amp;$B$4,Assessments!B:B,"&lt;="&amp;$B$5,Assessments!C:C,IF($E$4="",$B172,$E$4),Assessments!D:D,IF($E$5="",$C172,$E$5)))</f>
        <v/>
      </c>
      <c r="G172">
        <f>IF($D172=0,"",MINIFS(Assessments!J:J,Assessments!G:G,$A172,Assessments!B:B,"&gt;="&amp;$B$4,Assessments!B:B,"&lt;="&amp;$B$5,Assessments!C:C,IF($E$4="",$B172,$E$4),Assessments!D:D,IF($E$5="",$C172,$E$5)))</f>
        <v/>
      </c>
      <c r="H172">
        <f>IF($E172="","",RANK($E172,$E$8:$E$507,0))</f>
        <v/>
      </c>
      <c r="I172">
        <f>IF($E172="","",IF($E172&gt;=85,"Excellent",IF($E172&gt;=70,"Good",IF($E172&gt;=50,"Fair","Needs Support"))))</f>
        <v/>
      </c>
    </row>
    <row r="173">
      <c r="A173">
        <f>IF(Students!A167="","",Students!A167)</f>
        <v/>
      </c>
      <c r="B173">
        <f>IF($A173="","",Students!B167)</f>
        <v/>
      </c>
      <c r="C173">
        <f>IF($A173="","",Students!C167)</f>
        <v/>
      </c>
      <c r="D173">
        <f>IF($A173="","",COUNTIFS(Assessments!G:G,$A173,Assessments!B:B,"&gt;="&amp;$B$4,Assessments!B:B,"&lt;="&amp;$B$5,Assessments!C:C,IF($E$4="",$B173,$E$4),Assessments!D:D,IF($E$5="",$C173,$E$5)))</f>
        <v/>
      </c>
      <c r="E173">
        <f>IF($D173=0,"",ROUND(AVERAGEIFS(Assessments!J:J,Assessments!G:G,$A173,Assessments!B:B,"&gt;="&amp;$B$4,Assessments!B:B,"&lt;="&amp;$B$5,Assessments!C:C,IF($E$4="",$B173,$E$4),Assessments!D:D,IF($E$5="",$C173,$E$5)),0))</f>
        <v/>
      </c>
      <c r="F173">
        <f>IF($D173=0,"",MAXIFS(Assessments!J:J,Assessments!G:G,$A173,Assessments!B:B,"&gt;="&amp;$B$4,Assessments!B:B,"&lt;="&amp;$B$5,Assessments!C:C,IF($E$4="",$B173,$E$4),Assessments!D:D,IF($E$5="",$C173,$E$5)))</f>
        <v/>
      </c>
      <c r="G173">
        <f>IF($D173=0,"",MINIFS(Assessments!J:J,Assessments!G:G,$A173,Assessments!B:B,"&gt;="&amp;$B$4,Assessments!B:B,"&lt;="&amp;$B$5,Assessments!C:C,IF($E$4="",$B173,$E$4),Assessments!D:D,IF($E$5="",$C173,$E$5)))</f>
        <v/>
      </c>
      <c r="H173">
        <f>IF($E173="","",RANK($E173,$E$8:$E$507,0))</f>
        <v/>
      </c>
      <c r="I173">
        <f>IF($E173="","",IF($E173&gt;=85,"Excellent",IF($E173&gt;=70,"Good",IF($E173&gt;=50,"Fair","Needs Support"))))</f>
        <v/>
      </c>
    </row>
    <row r="174">
      <c r="A174">
        <f>IF(Students!A168="","",Students!A168)</f>
        <v/>
      </c>
      <c r="B174">
        <f>IF($A174="","",Students!B168)</f>
        <v/>
      </c>
      <c r="C174">
        <f>IF($A174="","",Students!C168)</f>
        <v/>
      </c>
      <c r="D174">
        <f>IF($A174="","",COUNTIFS(Assessments!G:G,$A174,Assessments!B:B,"&gt;="&amp;$B$4,Assessments!B:B,"&lt;="&amp;$B$5,Assessments!C:C,IF($E$4="",$B174,$E$4),Assessments!D:D,IF($E$5="",$C174,$E$5)))</f>
        <v/>
      </c>
      <c r="E174">
        <f>IF($D174=0,"",ROUND(AVERAGEIFS(Assessments!J:J,Assessments!G:G,$A174,Assessments!B:B,"&gt;="&amp;$B$4,Assessments!B:B,"&lt;="&amp;$B$5,Assessments!C:C,IF($E$4="",$B174,$E$4),Assessments!D:D,IF($E$5="",$C174,$E$5)),0))</f>
        <v/>
      </c>
      <c r="F174">
        <f>IF($D174=0,"",MAXIFS(Assessments!J:J,Assessments!G:G,$A174,Assessments!B:B,"&gt;="&amp;$B$4,Assessments!B:B,"&lt;="&amp;$B$5,Assessments!C:C,IF($E$4="",$B174,$E$4),Assessments!D:D,IF($E$5="",$C174,$E$5)))</f>
        <v/>
      </c>
      <c r="G174">
        <f>IF($D174=0,"",MINIFS(Assessments!J:J,Assessments!G:G,$A174,Assessments!B:B,"&gt;="&amp;$B$4,Assessments!B:B,"&lt;="&amp;$B$5,Assessments!C:C,IF($E$4="",$B174,$E$4),Assessments!D:D,IF($E$5="",$C174,$E$5)))</f>
        <v/>
      </c>
      <c r="H174">
        <f>IF($E174="","",RANK($E174,$E$8:$E$507,0))</f>
        <v/>
      </c>
      <c r="I174">
        <f>IF($E174="","",IF($E174&gt;=85,"Excellent",IF($E174&gt;=70,"Good",IF($E174&gt;=50,"Fair","Needs Support"))))</f>
        <v/>
      </c>
    </row>
    <row r="175">
      <c r="A175">
        <f>IF(Students!A169="","",Students!A169)</f>
        <v/>
      </c>
      <c r="B175">
        <f>IF($A175="","",Students!B169)</f>
        <v/>
      </c>
      <c r="C175">
        <f>IF($A175="","",Students!C169)</f>
        <v/>
      </c>
      <c r="D175">
        <f>IF($A175="","",COUNTIFS(Assessments!G:G,$A175,Assessments!B:B,"&gt;="&amp;$B$4,Assessments!B:B,"&lt;="&amp;$B$5,Assessments!C:C,IF($E$4="",$B175,$E$4),Assessments!D:D,IF($E$5="",$C175,$E$5)))</f>
        <v/>
      </c>
      <c r="E175">
        <f>IF($D175=0,"",ROUND(AVERAGEIFS(Assessments!J:J,Assessments!G:G,$A175,Assessments!B:B,"&gt;="&amp;$B$4,Assessments!B:B,"&lt;="&amp;$B$5,Assessments!C:C,IF($E$4="",$B175,$E$4),Assessments!D:D,IF($E$5="",$C175,$E$5)),0))</f>
        <v/>
      </c>
      <c r="F175">
        <f>IF($D175=0,"",MAXIFS(Assessments!J:J,Assessments!G:G,$A175,Assessments!B:B,"&gt;="&amp;$B$4,Assessments!B:B,"&lt;="&amp;$B$5,Assessments!C:C,IF($E$4="",$B175,$E$4),Assessments!D:D,IF($E$5="",$C175,$E$5)))</f>
        <v/>
      </c>
      <c r="G175">
        <f>IF($D175=0,"",MINIFS(Assessments!J:J,Assessments!G:G,$A175,Assessments!B:B,"&gt;="&amp;$B$4,Assessments!B:B,"&lt;="&amp;$B$5,Assessments!C:C,IF($E$4="",$B175,$E$4),Assessments!D:D,IF($E$5="",$C175,$E$5)))</f>
        <v/>
      </c>
      <c r="H175">
        <f>IF($E175="","",RANK($E175,$E$8:$E$507,0))</f>
        <v/>
      </c>
      <c r="I175">
        <f>IF($E175="","",IF($E175&gt;=85,"Excellent",IF($E175&gt;=70,"Good",IF($E175&gt;=50,"Fair","Needs Support"))))</f>
        <v/>
      </c>
    </row>
    <row r="176">
      <c r="A176">
        <f>IF(Students!A170="","",Students!A170)</f>
        <v/>
      </c>
      <c r="B176">
        <f>IF($A176="","",Students!B170)</f>
        <v/>
      </c>
      <c r="C176">
        <f>IF($A176="","",Students!C170)</f>
        <v/>
      </c>
      <c r="D176">
        <f>IF($A176="","",COUNTIFS(Assessments!G:G,$A176,Assessments!B:B,"&gt;="&amp;$B$4,Assessments!B:B,"&lt;="&amp;$B$5,Assessments!C:C,IF($E$4="",$B176,$E$4),Assessments!D:D,IF($E$5="",$C176,$E$5)))</f>
        <v/>
      </c>
      <c r="E176">
        <f>IF($D176=0,"",ROUND(AVERAGEIFS(Assessments!J:J,Assessments!G:G,$A176,Assessments!B:B,"&gt;="&amp;$B$4,Assessments!B:B,"&lt;="&amp;$B$5,Assessments!C:C,IF($E$4="",$B176,$E$4),Assessments!D:D,IF($E$5="",$C176,$E$5)),0))</f>
        <v/>
      </c>
      <c r="F176">
        <f>IF($D176=0,"",MAXIFS(Assessments!J:J,Assessments!G:G,$A176,Assessments!B:B,"&gt;="&amp;$B$4,Assessments!B:B,"&lt;="&amp;$B$5,Assessments!C:C,IF($E$4="",$B176,$E$4),Assessments!D:D,IF($E$5="",$C176,$E$5)))</f>
        <v/>
      </c>
      <c r="G176">
        <f>IF($D176=0,"",MINIFS(Assessments!J:J,Assessments!G:G,$A176,Assessments!B:B,"&gt;="&amp;$B$4,Assessments!B:B,"&lt;="&amp;$B$5,Assessments!C:C,IF($E$4="",$B176,$E$4),Assessments!D:D,IF($E$5="",$C176,$E$5)))</f>
        <v/>
      </c>
      <c r="H176">
        <f>IF($E176="","",RANK($E176,$E$8:$E$507,0))</f>
        <v/>
      </c>
      <c r="I176">
        <f>IF($E176="","",IF($E176&gt;=85,"Excellent",IF($E176&gt;=70,"Good",IF($E176&gt;=50,"Fair","Needs Support"))))</f>
        <v/>
      </c>
    </row>
    <row r="177">
      <c r="A177">
        <f>IF(Students!A171="","",Students!A171)</f>
        <v/>
      </c>
      <c r="B177">
        <f>IF($A177="","",Students!B171)</f>
        <v/>
      </c>
      <c r="C177">
        <f>IF($A177="","",Students!C171)</f>
        <v/>
      </c>
      <c r="D177">
        <f>IF($A177="","",COUNTIFS(Assessments!G:G,$A177,Assessments!B:B,"&gt;="&amp;$B$4,Assessments!B:B,"&lt;="&amp;$B$5,Assessments!C:C,IF($E$4="",$B177,$E$4),Assessments!D:D,IF($E$5="",$C177,$E$5)))</f>
        <v/>
      </c>
      <c r="E177">
        <f>IF($D177=0,"",ROUND(AVERAGEIFS(Assessments!J:J,Assessments!G:G,$A177,Assessments!B:B,"&gt;="&amp;$B$4,Assessments!B:B,"&lt;="&amp;$B$5,Assessments!C:C,IF($E$4="",$B177,$E$4),Assessments!D:D,IF($E$5="",$C177,$E$5)),0))</f>
        <v/>
      </c>
      <c r="F177">
        <f>IF($D177=0,"",MAXIFS(Assessments!J:J,Assessments!G:G,$A177,Assessments!B:B,"&gt;="&amp;$B$4,Assessments!B:B,"&lt;="&amp;$B$5,Assessments!C:C,IF($E$4="",$B177,$E$4),Assessments!D:D,IF($E$5="",$C177,$E$5)))</f>
        <v/>
      </c>
      <c r="G177">
        <f>IF($D177=0,"",MINIFS(Assessments!J:J,Assessments!G:G,$A177,Assessments!B:B,"&gt;="&amp;$B$4,Assessments!B:B,"&lt;="&amp;$B$5,Assessments!C:C,IF($E$4="",$B177,$E$4),Assessments!D:D,IF($E$5="",$C177,$E$5)))</f>
        <v/>
      </c>
      <c r="H177">
        <f>IF($E177="","",RANK($E177,$E$8:$E$507,0))</f>
        <v/>
      </c>
      <c r="I177">
        <f>IF($E177="","",IF($E177&gt;=85,"Excellent",IF($E177&gt;=70,"Good",IF($E177&gt;=50,"Fair","Needs Support"))))</f>
        <v/>
      </c>
    </row>
    <row r="178">
      <c r="A178">
        <f>IF(Students!A172="","",Students!A172)</f>
        <v/>
      </c>
      <c r="B178">
        <f>IF($A178="","",Students!B172)</f>
        <v/>
      </c>
      <c r="C178">
        <f>IF($A178="","",Students!C172)</f>
        <v/>
      </c>
      <c r="D178">
        <f>IF($A178="","",COUNTIFS(Assessments!G:G,$A178,Assessments!B:B,"&gt;="&amp;$B$4,Assessments!B:B,"&lt;="&amp;$B$5,Assessments!C:C,IF($E$4="",$B178,$E$4),Assessments!D:D,IF($E$5="",$C178,$E$5)))</f>
        <v/>
      </c>
      <c r="E178">
        <f>IF($D178=0,"",ROUND(AVERAGEIFS(Assessments!J:J,Assessments!G:G,$A178,Assessments!B:B,"&gt;="&amp;$B$4,Assessments!B:B,"&lt;="&amp;$B$5,Assessments!C:C,IF($E$4="",$B178,$E$4),Assessments!D:D,IF($E$5="",$C178,$E$5)),0))</f>
        <v/>
      </c>
      <c r="F178">
        <f>IF($D178=0,"",MAXIFS(Assessments!J:J,Assessments!G:G,$A178,Assessments!B:B,"&gt;="&amp;$B$4,Assessments!B:B,"&lt;="&amp;$B$5,Assessments!C:C,IF($E$4="",$B178,$E$4),Assessments!D:D,IF($E$5="",$C178,$E$5)))</f>
        <v/>
      </c>
      <c r="G178">
        <f>IF($D178=0,"",MINIFS(Assessments!J:J,Assessments!G:G,$A178,Assessments!B:B,"&gt;="&amp;$B$4,Assessments!B:B,"&lt;="&amp;$B$5,Assessments!C:C,IF($E$4="",$B178,$E$4),Assessments!D:D,IF($E$5="",$C178,$E$5)))</f>
        <v/>
      </c>
      <c r="H178">
        <f>IF($E178="","",RANK($E178,$E$8:$E$507,0))</f>
        <v/>
      </c>
      <c r="I178">
        <f>IF($E178="","",IF($E178&gt;=85,"Excellent",IF($E178&gt;=70,"Good",IF($E178&gt;=50,"Fair","Needs Support"))))</f>
        <v/>
      </c>
    </row>
    <row r="179">
      <c r="A179">
        <f>IF(Students!A173="","",Students!A173)</f>
        <v/>
      </c>
      <c r="B179">
        <f>IF($A179="","",Students!B173)</f>
        <v/>
      </c>
      <c r="C179">
        <f>IF($A179="","",Students!C173)</f>
        <v/>
      </c>
      <c r="D179">
        <f>IF($A179="","",COUNTIFS(Assessments!G:G,$A179,Assessments!B:B,"&gt;="&amp;$B$4,Assessments!B:B,"&lt;="&amp;$B$5,Assessments!C:C,IF($E$4="",$B179,$E$4),Assessments!D:D,IF($E$5="",$C179,$E$5)))</f>
        <v/>
      </c>
      <c r="E179">
        <f>IF($D179=0,"",ROUND(AVERAGEIFS(Assessments!J:J,Assessments!G:G,$A179,Assessments!B:B,"&gt;="&amp;$B$4,Assessments!B:B,"&lt;="&amp;$B$5,Assessments!C:C,IF($E$4="",$B179,$E$4),Assessments!D:D,IF($E$5="",$C179,$E$5)),0))</f>
        <v/>
      </c>
      <c r="F179">
        <f>IF($D179=0,"",MAXIFS(Assessments!J:J,Assessments!G:G,$A179,Assessments!B:B,"&gt;="&amp;$B$4,Assessments!B:B,"&lt;="&amp;$B$5,Assessments!C:C,IF($E$4="",$B179,$E$4),Assessments!D:D,IF($E$5="",$C179,$E$5)))</f>
        <v/>
      </c>
      <c r="G179">
        <f>IF($D179=0,"",MINIFS(Assessments!J:J,Assessments!G:G,$A179,Assessments!B:B,"&gt;="&amp;$B$4,Assessments!B:B,"&lt;="&amp;$B$5,Assessments!C:C,IF($E$4="",$B179,$E$4),Assessments!D:D,IF($E$5="",$C179,$E$5)))</f>
        <v/>
      </c>
      <c r="H179">
        <f>IF($E179="","",RANK($E179,$E$8:$E$507,0))</f>
        <v/>
      </c>
      <c r="I179">
        <f>IF($E179="","",IF($E179&gt;=85,"Excellent",IF($E179&gt;=70,"Good",IF($E179&gt;=50,"Fair","Needs Support"))))</f>
        <v/>
      </c>
    </row>
    <row r="180">
      <c r="A180">
        <f>IF(Students!A174="","",Students!A174)</f>
        <v/>
      </c>
      <c r="B180">
        <f>IF($A180="","",Students!B174)</f>
        <v/>
      </c>
      <c r="C180">
        <f>IF($A180="","",Students!C174)</f>
        <v/>
      </c>
      <c r="D180">
        <f>IF($A180="","",COUNTIFS(Assessments!G:G,$A180,Assessments!B:B,"&gt;="&amp;$B$4,Assessments!B:B,"&lt;="&amp;$B$5,Assessments!C:C,IF($E$4="",$B180,$E$4),Assessments!D:D,IF($E$5="",$C180,$E$5)))</f>
        <v/>
      </c>
      <c r="E180">
        <f>IF($D180=0,"",ROUND(AVERAGEIFS(Assessments!J:J,Assessments!G:G,$A180,Assessments!B:B,"&gt;="&amp;$B$4,Assessments!B:B,"&lt;="&amp;$B$5,Assessments!C:C,IF($E$4="",$B180,$E$4),Assessments!D:D,IF($E$5="",$C180,$E$5)),0))</f>
        <v/>
      </c>
      <c r="F180">
        <f>IF($D180=0,"",MAXIFS(Assessments!J:J,Assessments!G:G,$A180,Assessments!B:B,"&gt;="&amp;$B$4,Assessments!B:B,"&lt;="&amp;$B$5,Assessments!C:C,IF($E$4="",$B180,$E$4),Assessments!D:D,IF($E$5="",$C180,$E$5)))</f>
        <v/>
      </c>
      <c r="G180">
        <f>IF($D180=0,"",MINIFS(Assessments!J:J,Assessments!G:G,$A180,Assessments!B:B,"&gt;="&amp;$B$4,Assessments!B:B,"&lt;="&amp;$B$5,Assessments!C:C,IF($E$4="",$B180,$E$4),Assessments!D:D,IF($E$5="",$C180,$E$5)))</f>
        <v/>
      </c>
      <c r="H180">
        <f>IF($E180="","",RANK($E180,$E$8:$E$507,0))</f>
        <v/>
      </c>
      <c r="I180">
        <f>IF($E180="","",IF($E180&gt;=85,"Excellent",IF($E180&gt;=70,"Good",IF($E180&gt;=50,"Fair","Needs Support"))))</f>
        <v/>
      </c>
    </row>
    <row r="181">
      <c r="A181">
        <f>IF(Students!A175="","",Students!A175)</f>
        <v/>
      </c>
      <c r="B181">
        <f>IF($A181="","",Students!B175)</f>
        <v/>
      </c>
      <c r="C181">
        <f>IF($A181="","",Students!C175)</f>
        <v/>
      </c>
      <c r="D181">
        <f>IF($A181="","",COUNTIFS(Assessments!G:G,$A181,Assessments!B:B,"&gt;="&amp;$B$4,Assessments!B:B,"&lt;="&amp;$B$5,Assessments!C:C,IF($E$4="",$B181,$E$4),Assessments!D:D,IF($E$5="",$C181,$E$5)))</f>
        <v/>
      </c>
      <c r="E181">
        <f>IF($D181=0,"",ROUND(AVERAGEIFS(Assessments!J:J,Assessments!G:G,$A181,Assessments!B:B,"&gt;="&amp;$B$4,Assessments!B:B,"&lt;="&amp;$B$5,Assessments!C:C,IF($E$4="",$B181,$E$4),Assessments!D:D,IF($E$5="",$C181,$E$5)),0))</f>
        <v/>
      </c>
      <c r="F181">
        <f>IF($D181=0,"",MAXIFS(Assessments!J:J,Assessments!G:G,$A181,Assessments!B:B,"&gt;="&amp;$B$4,Assessments!B:B,"&lt;="&amp;$B$5,Assessments!C:C,IF($E$4="",$B181,$E$4),Assessments!D:D,IF($E$5="",$C181,$E$5)))</f>
        <v/>
      </c>
      <c r="G181">
        <f>IF($D181=0,"",MINIFS(Assessments!J:J,Assessments!G:G,$A181,Assessments!B:B,"&gt;="&amp;$B$4,Assessments!B:B,"&lt;="&amp;$B$5,Assessments!C:C,IF($E$4="",$B181,$E$4),Assessments!D:D,IF($E$5="",$C181,$E$5)))</f>
        <v/>
      </c>
      <c r="H181">
        <f>IF($E181="","",RANK($E181,$E$8:$E$507,0))</f>
        <v/>
      </c>
      <c r="I181">
        <f>IF($E181="","",IF($E181&gt;=85,"Excellent",IF($E181&gt;=70,"Good",IF($E181&gt;=50,"Fair","Needs Support"))))</f>
        <v/>
      </c>
    </row>
    <row r="182">
      <c r="A182">
        <f>IF(Students!A176="","",Students!A176)</f>
        <v/>
      </c>
      <c r="B182">
        <f>IF($A182="","",Students!B176)</f>
        <v/>
      </c>
      <c r="C182">
        <f>IF($A182="","",Students!C176)</f>
        <v/>
      </c>
      <c r="D182">
        <f>IF($A182="","",COUNTIFS(Assessments!G:G,$A182,Assessments!B:B,"&gt;="&amp;$B$4,Assessments!B:B,"&lt;="&amp;$B$5,Assessments!C:C,IF($E$4="",$B182,$E$4),Assessments!D:D,IF($E$5="",$C182,$E$5)))</f>
        <v/>
      </c>
      <c r="E182">
        <f>IF($D182=0,"",ROUND(AVERAGEIFS(Assessments!J:J,Assessments!G:G,$A182,Assessments!B:B,"&gt;="&amp;$B$4,Assessments!B:B,"&lt;="&amp;$B$5,Assessments!C:C,IF($E$4="",$B182,$E$4),Assessments!D:D,IF($E$5="",$C182,$E$5)),0))</f>
        <v/>
      </c>
      <c r="F182">
        <f>IF($D182=0,"",MAXIFS(Assessments!J:J,Assessments!G:G,$A182,Assessments!B:B,"&gt;="&amp;$B$4,Assessments!B:B,"&lt;="&amp;$B$5,Assessments!C:C,IF($E$4="",$B182,$E$4),Assessments!D:D,IF($E$5="",$C182,$E$5)))</f>
        <v/>
      </c>
      <c r="G182">
        <f>IF($D182=0,"",MINIFS(Assessments!J:J,Assessments!G:G,$A182,Assessments!B:B,"&gt;="&amp;$B$4,Assessments!B:B,"&lt;="&amp;$B$5,Assessments!C:C,IF($E$4="",$B182,$E$4),Assessments!D:D,IF($E$5="",$C182,$E$5)))</f>
        <v/>
      </c>
      <c r="H182">
        <f>IF($E182="","",RANK($E182,$E$8:$E$507,0))</f>
        <v/>
      </c>
      <c r="I182">
        <f>IF($E182="","",IF($E182&gt;=85,"Excellent",IF($E182&gt;=70,"Good",IF($E182&gt;=50,"Fair","Needs Support"))))</f>
        <v/>
      </c>
    </row>
    <row r="183">
      <c r="A183">
        <f>IF(Students!A177="","",Students!A177)</f>
        <v/>
      </c>
      <c r="B183">
        <f>IF($A183="","",Students!B177)</f>
        <v/>
      </c>
      <c r="C183">
        <f>IF($A183="","",Students!C177)</f>
        <v/>
      </c>
      <c r="D183">
        <f>IF($A183="","",COUNTIFS(Assessments!G:G,$A183,Assessments!B:B,"&gt;="&amp;$B$4,Assessments!B:B,"&lt;="&amp;$B$5,Assessments!C:C,IF($E$4="",$B183,$E$4),Assessments!D:D,IF($E$5="",$C183,$E$5)))</f>
        <v/>
      </c>
      <c r="E183">
        <f>IF($D183=0,"",ROUND(AVERAGEIFS(Assessments!J:J,Assessments!G:G,$A183,Assessments!B:B,"&gt;="&amp;$B$4,Assessments!B:B,"&lt;="&amp;$B$5,Assessments!C:C,IF($E$4="",$B183,$E$4),Assessments!D:D,IF($E$5="",$C183,$E$5)),0))</f>
        <v/>
      </c>
      <c r="F183">
        <f>IF($D183=0,"",MAXIFS(Assessments!J:J,Assessments!G:G,$A183,Assessments!B:B,"&gt;="&amp;$B$4,Assessments!B:B,"&lt;="&amp;$B$5,Assessments!C:C,IF($E$4="",$B183,$E$4),Assessments!D:D,IF($E$5="",$C183,$E$5)))</f>
        <v/>
      </c>
      <c r="G183">
        <f>IF($D183=0,"",MINIFS(Assessments!J:J,Assessments!G:G,$A183,Assessments!B:B,"&gt;="&amp;$B$4,Assessments!B:B,"&lt;="&amp;$B$5,Assessments!C:C,IF($E$4="",$B183,$E$4),Assessments!D:D,IF($E$5="",$C183,$E$5)))</f>
        <v/>
      </c>
      <c r="H183">
        <f>IF($E183="","",RANK($E183,$E$8:$E$507,0))</f>
        <v/>
      </c>
      <c r="I183">
        <f>IF($E183="","",IF($E183&gt;=85,"Excellent",IF($E183&gt;=70,"Good",IF($E183&gt;=50,"Fair","Needs Support"))))</f>
        <v/>
      </c>
    </row>
    <row r="184">
      <c r="A184">
        <f>IF(Students!A178="","",Students!A178)</f>
        <v/>
      </c>
      <c r="B184">
        <f>IF($A184="","",Students!B178)</f>
        <v/>
      </c>
      <c r="C184">
        <f>IF($A184="","",Students!C178)</f>
        <v/>
      </c>
      <c r="D184">
        <f>IF($A184="","",COUNTIFS(Assessments!G:G,$A184,Assessments!B:B,"&gt;="&amp;$B$4,Assessments!B:B,"&lt;="&amp;$B$5,Assessments!C:C,IF($E$4="",$B184,$E$4),Assessments!D:D,IF($E$5="",$C184,$E$5)))</f>
        <v/>
      </c>
      <c r="E184">
        <f>IF($D184=0,"",ROUND(AVERAGEIFS(Assessments!J:J,Assessments!G:G,$A184,Assessments!B:B,"&gt;="&amp;$B$4,Assessments!B:B,"&lt;="&amp;$B$5,Assessments!C:C,IF($E$4="",$B184,$E$4),Assessments!D:D,IF($E$5="",$C184,$E$5)),0))</f>
        <v/>
      </c>
      <c r="F184">
        <f>IF($D184=0,"",MAXIFS(Assessments!J:J,Assessments!G:G,$A184,Assessments!B:B,"&gt;="&amp;$B$4,Assessments!B:B,"&lt;="&amp;$B$5,Assessments!C:C,IF($E$4="",$B184,$E$4),Assessments!D:D,IF($E$5="",$C184,$E$5)))</f>
        <v/>
      </c>
      <c r="G184">
        <f>IF($D184=0,"",MINIFS(Assessments!J:J,Assessments!G:G,$A184,Assessments!B:B,"&gt;="&amp;$B$4,Assessments!B:B,"&lt;="&amp;$B$5,Assessments!C:C,IF($E$4="",$B184,$E$4),Assessments!D:D,IF($E$5="",$C184,$E$5)))</f>
        <v/>
      </c>
      <c r="H184">
        <f>IF($E184="","",RANK($E184,$E$8:$E$507,0))</f>
        <v/>
      </c>
      <c r="I184">
        <f>IF($E184="","",IF($E184&gt;=85,"Excellent",IF($E184&gt;=70,"Good",IF($E184&gt;=50,"Fair","Needs Support"))))</f>
        <v/>
      </c>
    </row>
    <row r="185">
      <c r="A185">
        <f>IF(Students!A179="","",Students!A179)</f>
        <v/>
      </c>
      <c r="B185">
        <f>IF($A185="","",Students!B179)</f>
        <v/>
      </c>
      <c r="C185">
        <f>IF($A185="","",Students!C179)</f>
        <v/>
      </c>
      <c r="D185">
        <f>IF($A185="","",COUNTIFS(Assessments!G:G,$A185,Assessments!B:B,"&gt;="&amp;$B$4,Assessments!B:B,"&lt;="&amp;$B$5,Assessments!C:C,IF($E$4="",$B185,$E$4),Assessments!D:D,IF($E$5="",$C185,$E$5)))</f>
        <v/>
      </c>
      <c r="E185">
        <f>IF($D185=0,"",ROUND(AVERAGEIFS(Assessments!J:J,Assessments!G:G,$A185,Assessments!B:B,"&gt;="&amp;$B$4,Assessments!B:B,"&lt;="&amp;$B$5,Assessments!C:C,IF($E$4="",$B185,$E$4),Assessments!D:D,IF($E$5="",$C185,$E$5)),0))</f>
        <v/>
      </c>
      <c r="F185">
        <f>IF($D185=0,"",MAXIFS(Assessments!J:J,Assessments!G:G,$A185,Assessments!B:B,"&gt;="&amp;$B$4,Assessments!B:B,"&lt;="&amp;$B$5,Assessments!C:C,IF($E$4="",$B185,$E$4),Assessments!D:D,IF($E$5="",$C185,$E$5)))</f>
        <v/>
      </c>
      <c r="G185">
        <f>IF($D185=0,"",MINIFS(Assessments!J:J,Assessments!G:G,$A185,Assessments!B:B,"&gt;="&amp;$B$4,Assessments!B:B,"&lt;="&amp;$B$5,Assessments!C:C,IF($E$4="",$B185,$E$4),Assessments!D:D,IF($E$5="",$C185,$E$5)))</f>
        <v/>
      </c>
      <c r="H185">
        <f>IF($E185="","",RANK($E185,$E$8:$E$507,0))</f>
        <v/>
      </c>
      <c r="I185">
        <f>IF($E185="","",IF($E185&gt;=85,"Excellent",IF($E185&gt;=70,"Good",IF($E185&gt;=50,"Fair","Needs Support"))))</f>
        <v/>
      </c>
    </row>
    <row r="186">
      <c r="A186">
        <f>IF(Students!A180="","",Students!A180)</f>
        <v/>
      </c>
      <c r="B186">
        <f>IF($A186="","",Students!B180)</f>
        <v/>
      </c>
      <c r="C186">
        <f>IF($A186="","",Students!C180)</f>
        <v/>
      </c>
      <c r="D186">
        <f>IF($A186="","",COUNTIFS(Assessments!G:G,$A186,Assessments!B:B,"&gt;="&amp;$B$4,Assessments!B:B,"&lt;="&amp;$B$5,Assessments!C:C,IF($E$4="",$B186,$E$4),Assessments!D:D,IF($E$5="",$C186,$E$5)))</f>
        <v/>
      </c>
      <c r="E186">
        <f>IF($D186=0,"",ROUND(AVERAGEIFS(Assessments!J:J,Assessments!G:G,$A186,Assessments!B:B,"&gt;="&amp;$B$4,Assessments!B:B,"&lt;="&amp;$B$5,Assessments!C:C,IF($E$4="",$B186,$E$4),Assessments!D:D,IF($E$5="",$C186,$E$5)),0))</f>
        <v/>
      </c>
      <c r="F186">
        <f>IF($D186=0,"",MAXIFS(Assessments!J:J,Assessments!G:G,$A186,Assessments!B:B,"&gt;="&amp;$B$4,Assessments!B:B,"&lt;="&amp;$B$5,Assessments!C:C,IF($E$4="",$B186,$E$4),Assessments!D:D,IF($E$5="",$C186,$E$5)))</f>
        <v/>
      </c>
      <c r="G186">
        <f>IF($D186=0,"",MINIFS(Assessments!J:J,Assessments!G:G,$A186,Assessments!B:B,"&gt;="&amp;$B$4,Assessments!B:B,"&lt;="&amp;$B$5,Assessments!C:C,IF($E$4="",$B186,$E$4),Assessments!D:D,IF($E$5="",$C186,$E$5)))</f>
        <v/>
      </c>
      <c r="H186">
        <f>IF($E186="","",RANK($E186,$E$8:$E$507,0))</f>
        <v/>
      </c>
      <c r="I186">
        <f>IF($E186="","",IF($E186&gt;=85,"Excellent",IF($E186&gt;=70,"Good",IF($E186&gt;=50,"Fair","Needs Support"))))</f>
        <v/>
      </c>
    </row>
    <row r="187">
      <c r="A187">
        <f>IF(Students!A181="","",Students!A181)</f>
        <v/>
      </c>
      <c r="B187">
        <f>IF($A187="","",Students!B181)</f>
        <v/>
      </c>
      <c r="C187">
        <f>IF($A187="","",Students!C181)</f>
        <v/>
      </c>
      <c r="D187">
        <f>IF($A187="","",COUNTIFS(Assessments!G:G,$A187,Assessments!B:B,"&gt;="&amp;$B$4,Assessments!B:B,"&lt;="&amp;$B$5,Assessments!C:C,IF($E$4="",$B187,$E$4),Assessments!D:D,IF($E$5="",$C187,$E$5)))</f>
        <v/>
      </c>
      <c r="E187">
        <f>IF($D187=0,"",ROUND(AVERAGEIFS(Assessments!J:J,Assessments!G:G,$A187,Assessments!B:B,"&gt;="&amp;$B$4,Assessments!B:B,"&lt;="&amp;$B$5,Assessments!C:C,IF($E$4="",$B187,$E$4),Assessments!D:D,IF($E$5="",$C187,$E$5)),0))</f>
        <v/>
      </c>
      <c r="F187">
        <f>IF($D187=0,"",MAXIFS(Assessments!J:J,Assessments!G:G,$A187,Assessments!B:B,"&gt;="&amp;$B$4,Assessments!B:B,"&lt;="&amp;$B$5,Assessments!C:C,IF($E$4="",$B187,$E$4),Assessments!D:D,IF($E$5="",$C187,$E$5)))</f>
        <v/>
      </c>
      <c r="G187">
        <f>IF($D187=0,"",MINIFS(Assessments!J:J,Assessments!G:G,$A187,Assessments!B:B,"&gt;="&amp;$B$4,Assessments!B:B,"&lt;="&amp;$B$5,Assessments!C:C,IF($E$4="",$B187,$E$4),Assessments!D:D,IF($E$5="",$C187,$E$5)))</f>
        <v/>
      </c>
      <c r="H187">
        <f>IF($E187="","",RANK($E187,$E$8:$E$507,0))</f>
        <v/>
      </c>
      <c r="I187">
        <f>IF($E187="","",IF($E187&gt;=85,"Excellent",IF($E187&gt;=70,"Good",IF($E187&gt;=50,"Fair","Needs Support"))))</f>
        <v/>
      </c>
    </row>
    <row r="188">
      <c r="A188">
        <f>IF(Students!A182="","",Students!A182)</f>
        <v/>
      </c>
      <c r="B188">
        <f>IF($A188="","",Students!B182)</f>
        <v/>
      </c>
      <c r="C188">
        <f>IF($A188="","",Students!C182)</f>
        <v/>
      </c>
      <c r="D188">
        <f>IF($A188="","",COUNTIFS(Assessments!G:G,$A188,Assessments!B:B,"&gt;="&amp;$B$4,Assessments!B:B,"&lt;="&amp;$B$5,Assessments!C:C,IF($E$4="",$B188,$E$4),Assessments!D:D,IF($E$5="",$C188,$E$5)))</f>
        <v/>
      </c>
      <c r="E188">
        <f>IF($D188=0,"",ROUND(AVERAGEIFS(Assessments!J:J,Assessments!G:G,$A188,Assessments!B:B,"&gt;="&amp;$B$4,Assessments!B:B,"&lt;="&amp;$B$5,Assessments!C:C,IF($E$4="",$B188,$E$4),Assessments!D:D,IF($E$5="",$C188,$E$5)),0))</f>
        <v/>
      </c>
      <c r="F188">
        <f>IF($D188=0,"",MAXIFS(Assessments!J:J,Assessments!G:G,$A188,Assessments!B:B,"&gt;="&amp;$B$4,Assessments!B:B,"&lt;="&amp;$B$5,Assessments!C:C,IF($E$4="",$B188,$E$4),Assessments!D:D,IF($E$5="",$C188,$E$5)))</f>
        <v/>
      </c>
      <c r="G188">
        <f>IF($D188=0,"",MINIFS(Assessments!J:J,Assessments!G:G,$A188,Assessments!B:B,"&gt;="&amp;$B$4,Assessments!B:B,"&lt;="&amp;$B$5,Assessments!C:C,IF($E$4="",$B188,$E$4),Assessments!D:D,IF($E$5="",$C188,$E$5)))</f>
        <v/>
      </c>
      <c r="H188">
        <f>IF($E188="","",RANK($E188,$E$8:$E$507,0))</f>
        <v/>
      </c>
      <c r="I188">
        <f>IF($E188="","",IF($E188&gt;=85,"Excellent",IF($E188&gt;=70,"Good",IF($E188&gt;=50,"Fair","Needs Support"))))</f>
        <v/>
      </c>
    </row>
    <row r="189">
      <c r="A189">
        <f>IF(Students!A183="","",Students!A183)</f>
        <v/>
      </c>
      <c r="B189">
        <f>IF($A189="","",Students!B183)</f>
        <v/>
      </c>
      <c r="C189">
        <f>IF($A189="","",Students!C183)</f>
        <v/>
      </c>
      <c r="D189">
        <f>IF($A189="","",COUNTIFS(Assessments!G:G,$A189,Assessments!B:B,"&gt;="&amp;$B$4,Assessments!B:B,"&lt;="&amp;$B$5,Assessments!C:C,IF($E$4="",$B189,$E$4),Assessments!D:D,IF($E$5="",$C189,$E$5)))</f>
        <v/>
      </c>
      <c r="E189">
        <f>IF($D189=0,"",ROUND(AVERAGEIFS(Assessments!J:J,Assessments!G:G,$A189,Assessments!B:B,"&gt;="&amp;$B$4,Assessments!B:B,"&lt;="&amp;$B$5,Assessments!C:C,IF($E$4="",$B189,$E$4),Assessments!D:D,IF($E$5="",$C189,$E$5)),0))</f>
        <v/>
      </c>
      <c r="F189">
        <f>IF($D189=0,"",MAXIFS(Assessments!J:J,Assessments!G:G,$A189,Assessments!B:B,"&gt;="&amp;$B$4,Assessments!B:B,"&lt;="&amp;$B$5,Assessments!C:C,IF($E$4="",$B189,$E$4),Assessments!D:D,IF($E$5="",$C189,$E$5)))</f>
        <v/>
      </c>
      <c r="G189">
        <f>IF($D189=0,"",MINIFS(Assessments!J:J,Assessments!G:G,$A189,Assessments!B:B,"&gt;="&amp;$B$4,Assessments!B:B,"&lt;="&amp;$B$5,Assessments!C:C,IF($E$4="",$B189,$E$4),Assessments!D:D,IF($E$5="",$C189,$E$5)))</f>
        <v/>
      </c>
      <c r="H189">
        <f>IF($E189="","",RANK($E189,$E$8:$E$507,0))</f>
        <v/>
      </c>
      <c r="I189">
        <f>IF($E189="","",IF($E189&gt;=85,"Excellent",IF($E189&gt;=70,"Good",IF($E189&gt;=50,"Fair","Needs Support"))))</f>
        <v/>
      </c>
    </row>
    <row r="190">
      <c r="A190">
        <f>IF(Students!A184="","",Students!A184)</f>
        <v/>
      </c>
      <c r="B190">
        <f>IF($A190="","",Students!B184)</f>
        <v/>
      </c>
      <c r="C190">
        <f>IF($A190="","",Students!C184)</f>
        <v/>
      </c>
      <c r="D190">
        <f>IF($A190="","",COUNTIFS(Assessments!G:G,$A190,Assessments!B:B,"&gt;="&amp;$B$4,Assessments!B:B,"&lt;="&amp;$B$5,Assessments!C:C,IF($E$4="",$B190,$E$4),Assessments!D:D,IF($E$5="",$C190,$E$5)))</f>
        <v/>
      </c>
      <c r="E190">
        <f>IF($D190=0,"",ROUND(AVERAGEIFS(Assessments!J:J,Assessments!G:G,$A190,Assessments!B:B,"&gt;="&amp;$B$4,Assessments!B:B,"&lt;="&amp;$B$5,Assessments!C:C,IF($E$4="",$B190,$E$4),Assessments!D:D,IF($E$5="",$C190,$E$5)),0))</f>
        <v/>
      </c>
      <c r="F190">
        <f>IF($D190=0,"",MAXIFS(Assessments!J:J,Assessments!G:G,$A190,Assessments!B:B,"&gt;="&amp;$B$4,Assessments!B:B,"&lt;="&amp;$B$5,Assessments!C:C,IF($E$4="",$B190,$E$4),Assessments!D:D,IF($E$5="",$C190,$E$5)))</f>
        <v/>
      </c>
      <c r="G190">
        <f>IF($D190=0,"",MINIFS(Assessments!J:J,Assessments!G:G,$A190,Assessments!B:B,"&gt;="&amp;$B$4,Assessments!B:B,"&lt;="&amp;$B$5,Assessments!C:C,IF($E$4="",$B190,$E$4),Assessments!D:D,IF($E$5="",$C190,$E$5)))</f>
        <v/>
      </c>
      <c r="H190">
        <f>IF($E190="","",RANK($E190,$E$8:$E$507,0))</f>
        <v/>
      </c>
      <c r="I190">
        <f>IF($E190="","",IF($E190&gt;=85,"Excellent",IF($E190&gt;=70,"Good",IF($E190&gt;=50,"Fair","Needs Support"))))</f>
        <v/>
      </c>
    </row>
    <row r="191">
      <c r="A191">
        <f>IF(Students!A185="","",Students!A185)</f>
        <v/>
      </c>
      <c r="B191">
        <f>IF($A191="","",Students!B185)</f>
        <v/>
      </c>
      <c r="C191">
        <f>IF($A191="","",Students!C185)</f>
        <v/>
      </c>
      <c r="D191">
        <f>IF($A191="","",COUNTIFS(Assessments!G:G,$A191,Assessments!B:B,"&gt;="&amp;$B$4,Assessments!B:B,"&lt;="&amp;$B$5,Assessments!C:C,IF($E$4="",$B191,$E$4),Assessments!D:D,IF($E$5="",$C191,$E$5)))</f>
        <v/>
      </c>
      <c r="E191">
        <f>IF($D191=0,"",ROUND(AVERAGEIFS(Assessments!J:J,Assessments!G:G,$A191,Assessments!B:B,"&gt;="&amp;$B$4,Assessments!B:B,"&lt;="&amp;$B$5,Assessments!C:C,IF($E$4="",$B191,$E$4),Assessments!D:D,IF($E$5="",$C191,$E$5)),0))</f>
        <v/>
      </c>
      <c r="F191">
        <f>IF($D191=0,"",MAXIFS(Assessments!J:J,Assessments!G:G,$A191,Assessments!B:B,"&gt;="&amp;$B$4,Assessments!B:B,"&lt;="&amp;$B$5,Assessments!C:C,IF($E$4="",$B191,$E$4),Assessments!D:D,IF($E$5="",$C191,$E$5)))</f>
        <v/>
      </c>
      <c r="G191">
        <f>IF($D191=0,"",MINIFS(Assessments!J:J,Assessments!G:G,$A191,Assessments!B:B,"&gt;="&amp;$B$4,Assessments!B:B,"&lt;="&amp;$B$5,Assessments!C:C,IF($E$4="",$B191,$E$4),Assessments!D:D,IF($E$5="",$C191,$E$5)))</f>
        <v/>
      </c>
      <c r="H191">
        <f>IF($E191="","",RANK($E191,$E$8:$E$507,0))</f>
        <v/>
      </c>
      <c r="I191">
        <f>IF($E191="","",IF($E191&gt;=85,"Excellent",IF($E191&gt;=70,"Good",IF($E191&gt;=50,"Fair","Needs Support"))))</f>
        <v/>
      </c>
    </row>
    <row r="192">
      <c r="A192">
        <f>IF(Students!A186="","",Students!A186)</f>
        <v/>
      </c>
      <c r="B192">
        <f>IF($A192="","",Students!B186)</f>
        <v/>
      </c>
      <c r="C192">
        <f>IF($A192="","",Students!C186)</f>
        <v/>
      </c>
      <c r="D192">
        <f>IF($A192="","",COUNTIFS(Assessments!G:G,$A192,Assessments!B:B,"&gt;="&amp;$B$4,Assessments!B:B,"&lt;="&amp;$B$5,Assessments!C:C,IF($E$4="",$B192,$E$4),Assessments!D:D,IF($E$5="",$C192,$E$5)))</f>
        <v/>
      </c>
      <c r="E192">
        <f>IF($D192=0,"",ROUND(AVERAGEIFS(Assessments!J:J,Assessments!G:G,$A192,Assessments!B:B,"&gt;="&amp;$B$4,Assessments!B:B,"&lt;="&amp;$B$5,Assessments!C:C,IF($E$4="",$B192,$E$4),Assessments!D:D,IF($E$5="",$C192,$E$5)),0))</f>
        <v/>
      </c>
      <c r="F192">
        <f>IF($D192=0,"",MAXIFS(Assessments!J:J,Assessments!G:G,$A192,Assessments!B:B,"&gt;="&amp;$B$4,Assessments!B:B,"&lt;="&amp;$B$5,Assessments!C:C,IF($E$4="",$B192,$E$4),Assessments!D:D,IF($E$5="",$C192,$E$5)))</f>
        <v/>
      </c>
      <c r="G192">
        <f>IF($D192=0,"",MINIFS(Assessments!J:J,Assessments!G:G,$A192,Assessments!B:B,"&gt;="&amp;$B$4,Assessments!B:B,"&lt;="&amp;$B$5,Assessments!C:C,IF($E$4="",$B192,$E$4),Assessments!D:D,IF($E$5="",$C192,$E$5)))</f>
        <v/>
      </c>
      <c r="H192">
        <f>IF($E192="","",RANK($E192,$E$8:$E$507,0))</f>
        <v/>
      </c>
      <c r="I192">
        <f>IF($E192="","",IF($E192&gt;=85,"Excellent",IF($E192&gt;=70,"Good",IF($E192&gt;=50,"Fair","Needs Support"))))</f>
        <v/>
      </c>
    </row>
    <row r="193">
      <c r="A193">
        <f>IF(Students!A187="","",Students!A187)</f>
        <v/>
      </c>
      <c r="B193">
        <f>IF($A193="","",Students!B187)</f>
        <v/>
      </c>
      <c r="C193">
        <f>IF($A193="","",Students!C187)</f>
        <v/>
      </c>
      <c r="D193">
        <f>IF($A193="","",COUNTIFS(Assessments!G:G,$A193,Assessments!B:B,"&gt;="&amp;$B$4,Assessments!B:B,"&lt;="&amp;$B$5,Assessments!C:C,IF($E$4="",$B193,$E$4),Assessments!D:D,IF($E$5="",$C193,$E$5)))</f>
        <v/>
      </c>
      <c r="E193">
        <f>IF($D193=0,"",ROUND(AVERAGEIFS(Assessments!J:J,Assessments!G:G,$A193,Assessments!B:B,"&gt;="&amp;$B$4,Assessments!B:B,"&lt;="&amp;$B$5,Assessments!C:C,IF($E$4="",$B193,$E$4),Assessments!D:D,IF($E$5="",$C193,$E$5)),0))</f>
        <v/>
      </c>
      <c r="F193">
        <f>IF($D193=0,"",MAXIFS(Assessments!J:J,Assessments!G:G,$A193,Assessments!B:B,"&gt;="&amp;$B$4,Assessments!B:B,"&lt;="&amp;$B$5,Assessments!C:C,IF($E$4="",$B193,$E$4),Assessments!D:D,IF($E$5="",$C193,$E$5)))</f>
        <v/>
      </c>
      <c r="G193">
        <f>IF($D193=0,"",MINIFS(Assessments!J:J,Assessments!G:G,$A193,Assessments!B:B,"&gt;="&amp;$B$4,Assessments!B:B,"&lt;="&amp;$B$5,Assessments!C:C,IF($E$4="",$B193,$E$4),Assessments!D:D,IF($E$5="",$C193,$E$5)))</f>
        <v/>
      </c>
      <c r="H193">
        <f>IF($E193="","",RANK($E193,$E$8:$E$507,0))</f>
        <v/>
      </c>
      <c r="I193">
        <f>IF($E193="","",IF($E193&gt;=85,"Excellent",IF($E193&gt;=70,"Good",IF($E193&gt;=50,"Fair","Needs Support"))))</f>
        <v/>
      </c>
    </row>
    <row r="194">
      <c r="A194">
        <f>IF(Students!A188="","",Students!A188)</f>
        <v/>
      </c>
      <c r="B194">
        <f>IF($A194="","",Students!B188)</f>
        <v/>
      </c>
      <c r="C194">
        <f>IF($A194="","",Students!C188)</f>
        <v/>
      </c>
      <c r="D194">
        <f>IF($A194="","",COUNTIFS(Assessments!G:G,$A194,Assessments!B:B,"&gt;="&amp;$B$4,Assessments!B:B,"&lt;="&amp;$B$5,Assessments!C:C,IF($E$4="",$B194,$E$4),Assessments!D:D,IF($E$5="",$C194,$E$5)))</f>
        <v/>
      </c>
      <c r="E194">
        <f>IF($D194=0,"",ROUND(AVERAGEIFS(Assessments!J:J,Assessments!G:G,$A194,Assessments!B:B,"&gt;="&amp;$B$4,Assessments!B:B,"&lt;="&amp;$B$5,Assessments!C:C,IF($E$4="",$B194,$E$4),Assessments!D:D,IF($E$5="",$C194,$E$5)),0))</f>
        <v/>
      </c>
      <c r="F194">
        <f>IF($D194=0,"",MAXIFS(Assessments!J:J,Assessments!G:G,$A194,Assessments!B:B,"&gt;="&amp;$B$4,Assessments!B:B,"&lt;="&amp;$B$5,Assessments!C:C,IF($E$4="",$B194,$E$4),Assessments!D:D,IF($E$5="",$C194,$E$5)))</f>
        <v/>
      </c>
      <c r="G194">
        <f>IF($D194=0,"",MINIFS(Assessments!J:J,Assessments!G:G,$A194,Assessments!B:B,"&gt;="&amp;$B$4,Assessments!B:B,"&lt;="&amp;$B$5,Assessments!C:C,IF($E$4="",$B194,$E$4),Assessments!D:D,IF($E$5="",$C194,$E$5)))</f>
        <v/>
      </c>
      <c r="H194">
        <f>IF($E194="","",RANK($E194,$E$8:$E$507,0))</f>
        <v/>
      </c>
      <c r="I194">
        <f>IF($E194="","",IF($E194&gt;=85,"Excellent",IF($E194&gt;=70,"Good",IF($E194&gt;=50,"Fair","Needs Support"))))</f>
        <v/>
      </c>
    </row>
    <row r="195">
      <c r="A195">
        <f>IF(Students!A189="","",Students!A189)</f>
        <v/>
      </c>
      <c r="B195">
        <f>IF($A195="","",Students!B189)</f>
        <v/>
      </c>
      <c r="C195">
        <f>IF($A195="","",Students!C189)</f>
        <v/>
      </c>
      <c r="D195">
        <f>IF($A195="","",COUNTIFS(Assessments!G:G,$A195,Assessments!B:B,"&gt;="&amp;$B$4,Assessments!B:B,"&lt;="&amp;$B$5,Assessments!C:C,IF($E$4="",$B195,$E$4),Assessments!D:D,IF($E$5="",$C195,$E$5)))</f>
        <v/>
      </c>
      <c r="E195">
        <f>IF($D195=0,"",ROUND(AVERAGEIFS(Assessments!J:J,Assessments!G:G,$A195,Assessments!B:B,"&gt;="&amp;$B$4,Assessments!B:B,"&lt;="&amp;$B$5,Assessments!C:C,IF($E$4="",$B195,$E$4),Assessments!D:D,IF($E$5="",$C195,$E$5)),0))</f>
        <v/>
      </c>
      <c r="F195">
        <f>IF($D195=0,"",MAXIFS(Assessments!J:J,Assessments!G:G,$A195,Assessments!B:B,"&gt;="&amp;$B$4,Assessments!B:B,"&lt;="&amp;$B$5,Assessments!C:C,IF($E$4="",$B195,$E$4),Assessments!D:D,IF($E$5="",$C195,$E$5)))</f>
        <v/>
      </c>
      <c r="G195">
        <f>IF($D195=0,"",MINIFS(Assessments!J:J,Assessments!G:G,$A195,Assessments!B:B,"&gt;="&amp;$B$4,Assessments!B:B,"&lt;="&amp;$B$5,Assessments!C:C,IF($E$4="",$B195,$E$4),Assessments!D:D,IF($E$5="",$C195,$E$5)))</f>
        <v/>
      </c>
      <c r="H195">
        <f>IF($E195="","",RANK($E195,$E$8:$E$507,0))</f>
        <v/>
      </c>
      <c r="I195">
        <f>IF($E195="","",IF($E195&gt;=85,"Excellent",IF($E195&gt;=70,"Good",IF($E195&gt;=50,"Fair","Needs Support"))))</f>
        <v/>
      </c>
    </row>
    <row r="196">
      <c r="A196">
        <f>IF(Students!A190="","",Students!A190)</f>
        <v/>
      </c>
      <c r="B196">
        <f>IF($A196="","",Students!B190)</f>
        <v/>
      </c>
      <c r="C196">
        <f>IF($A196="","",Students!C190)</f>
        <v/>
      </c>
      <c r="D196">
        <f>IF($A196="","",COUNTIFS(Assessments!G:G,$A196,Assessments!B:B,"&gt;="&amp;$B$4,Assessments!B:B,"&lt;="&amp;$B$5,Assessments!C:C,IF($E$4="",$B196,$E$4),Assessments!D:D,IF($E$5="",$C196,$E$5)))</f>
        <v/>
      </c>
      <c r="E196">
        <f>IF($D196=0,"",ROUND(AVERAGEIFS(Assessments!J:J,Assessments!G:G,$A196,Assessments!B:B,"&gt;="&amp;$B$4,Assessments!B:B,"&lt;="&amp;$B$5,Assessments!C:C,IF($E$4="",$B196,$E$4),Assessments!D:D,IF($E$5="",$C196,$E$5)),0))</f>
        <v/>
      </c>
      <c r="F196">
        <f>IF($D196=0,"",MAXIFS(Assessments!J:J,Assessments!G:G,$A196,Assessments!B:B,"&gt;="&amp;$B$4,Assessments!B:B,"&lt;="&amp;$B$5,Assessments!C:C,IF($E$4="",$B196,$E$4),Assessments!D:D,IF($E$5="",$C196,$E$5)))</f>
        <v/>
      </c>
      <c r="G196">
        <f>IF($D196=0,"",MINIFS(Assessments!J:J,Assessments!G:G,$A196,Assessments!B:B,"&gt;="&amp;$B$4,Assessments!B:B,"&lt;="&amp;$B$5,Assessments!C:C,IF($E$4="",$B196,$E$4),Assessments!D:D,IF($E$5="",$C196,$E$5)))</f>
        <v/>
      </c>
      <c r="H196">
        <f>IF($E196="","",RANK($E196,$E$8:$E$507,0))</f>
        <v/>
      </c>
      <c r="I196">
        <f>IF($E196="","",IF($E196&gt;=85,"Excellent",IF($E196&gt;=70,"Good",IF($E196&gt;=50,"Fair","Needs Support"))))</f>
        <v/>
      </c>
    </row>
    <row r="197">
      <c r="A197">
        <f>IF(Students!A191="","",Students!A191)</f>
        <v/>
      </c>
      <c r="B197">
        <f>IF($A197="","",Students!B191)</f>
        <v/>
      </c>
      <c r="C197">
        <f>IF($A197="","",Students!C191)</f>
        <v/>
      </c>
      <c r="D197">
        <f>IF($A197="","",COUNTIFS(Assessments!G:G,$A197,Assessments!B:B,"&gt;="&amp;$B$4,Assessments!B:B,"&lt;="&amp;$B$5,Assessments!C:C,IF($E$4="",$B197,$E$4),Assessments!D:D,IF($E$5="",$C197,$E$5)))</f>
        <v/>
      </c>
      <c r="E197">
        <f>IF($D197=0,"",ROUND(AVERAGEIFS(Assessments!J:J,Assessments!G:G,$A197,Assessments!B:B,"&gt;="&amp;$B$4,Assessments!B:B,"&lt;="&amp;$B$5,Assessments!C:C,IF($E$4="",$B197,$E$4),Assessments!D:D,IF($E$5="",$C197,$E$5)),0))</f>
        <v/>
      </c>
      <c r="F197">
        <f>IF($D197=0,"",MAXIFS(Assessments!J:J,Assessments!G:G,$A197,Assessments!B:B,"&gt;="&amp;$B$4,Assessments!B:B,"&lt;="&amp;$B$5,Assessments!C:C,IF($E$4="",$B197,$E$4),Assessments!D:D,IF($E$5="",$C197,$E$5)))</f>
        <v/>
      </c>
      <c r="G197">
        <f>IF($D197=0,"",MINIFS(Assessments!J:J,Assessments!G:G,$A197,Assessments!B:B,"&gt;="&amp;$B$4,Assessments!B:B,"&lt;="&amp;$B$5,Assessments!C:C,IF($E$4="",$B197,$E$4),Assessments!D:D,IF($E$5="",$C197,$E$5)))</f>
        <v/>
      </c>
      <c r="H197">
        <f>IF($E197="","",RANK($E197,$E$8:$E$507,0))</f>
        <v/>
      </c>
      <c r="I197">
        <f>IF($E197="","",IF($E197&gt;=85,"Excellent",IF($E197&gt;=70,"Good",IF($E197&gt;=50,"Fair","Needs Support"))))</f>
        <v/>
      </c>
    </row>
    <row r="198">
      <c r="A198">
        <f>IF(Students!A192="","",Students!A192)</f>
        <v/>
      </c>
      <c r="B198">
        <f>IF($A198="","",Students!B192)</f>
        <v/>
      </c>
      <c r="C198">
        <f>IF($A198="","",Students!C192)</f>
        <v/>
      </c>
      <c r="D198">
        <f>IF($A198="","",COUNTIFS(Assessments!G:G,$A198,Assessments!B:B,"&gt;="&amp;$B$4,Assessments!B:B,"&lt;="&amp;$B$5,Assessments!C:C,IF($E$4="",$B198,$E$4),Assessments!D:D,IF($E$5="",$C198,$E$5)))</f>
        <v/>
      </c>
      <c r="E198">
        <f>IF($D198=0,"",ROUND(AVERAGEIFS(Assessments!J:J,Assessments!G:G,$A198,Assessments!B:B,"&gt;="&amp;$B$4,Assessments!B:B,"&lt;="&amp;$B$5,Assessments!C:C,IF($E$4="",$B198,$E$4),Assessments!D:D,IF($E$5="",$C198,$E$5)),0))</f>
        <v/>
      </c>
      <c r="F198">
        <f>IF($D198=0,"",MAXIFS(Assessments!J:J,Assessments!G:G,$A198,Assessments!B:B,"&gt;="&amp;$B$4,Assessments!B:B,"&lt;="&amp;$B$5,Assessments!C:C,IF($E$4="",$B198,$E$4),Assessments!D:D,IF($E$5="",$C198,$E$5)))</f>
        <v/>
      </c>
      <c r="G198">
        <f>IF($D198=0,"",MINIFS(Assessments!J:J,Assessments!G:G,$A198,Assessments!B:B,"&gt;="&amp;$B$4,Assessments!B:B,"&lt;="&amp;$B$5,Assessments!C:C,IF($E$4="",$B198,$E$4),Assessments!D:D,IF($E$5="",$C198,$E$5)))</f>
        <v/>
      </c>
      <c r="H198">
        <f>IF($E198="","",RANK($E198,$E$8:$E$507,0))</f>
        <v/>
      </c>
      <c r="I198">
        <f>IF($E198="","",IF($E198&gt;=85,"Excellent",IF($E198&gt;=70,"Good",IF($E198&gt;=50,"Fair","Needs Support"))))</f>
        <v/>
      </c>
    </row>
    <row r="199">
      <c r="A199">
        <f>IF(Students!A193="","",Students!A193)</f>
        <v/>
      </c>
      <c r="B199">
        <f>IF($A199="","",Students!B193)</f>
        <v/>
      </c>
      <c r="C199">
        <f>IF($A199="","",Students!C193)</f>
        <v/>
      </c>
      <c r="D199">
        <f>IF($A199="","",COUNTIFS(Assessments!G:G,$A199,Assessments!B:B,"&gt;="&amp;$B$4,Assessments!B:B,"&lt;="&amp;$B$5,Assessments!C:C,IF($E$4="",$B199,$E$4),Assessments!D:D,IF($E$5="",$C199,$E$5)))</f>
        <v/>
      </c>
      <c r="E199">
        <f>IF($D199=0,"",ROUND(AVERAGEIFS(Assessments!J:J,Assessments!G:G,$A199,Assessments!B:B,"&gt;="&amp;$B$4,Assessments!B:B,"&lt;="&amp;$B$5,Assessments!C:C,IF($E$4="",$B199,$E$4),Assessments!D:D,IF($E$5="",$C199,$E$5)),0))</f>
        <v/>
      </c>
      <c r="F199">
        <f>IF($D199=0,"",MAXIFS(Assessments!J:J,Assessments!G:G,$A199,Assessments!B:B,"&gt;="&amp;$B$4,Assessments!B:B,"&lt;="&amp;$B$5,Assessments!C:C,IF($E$4="",$B199,$E$4),Assessments!D:D,IF($E$5="",$C199,$E$5)))</f>
        <v/>
      </c>
      <c r="G199">
        <f>IF($D199=0,"",MINIFS(Assessments!J:J,Assessments!G:G,$A199,Assessments!B:B,"&gt;="&amp;$B$4,Assessments!B:B,"&lt;="&amp;$B$5,Assessments!C:C,IF($E$4="",$B199,$E$4),Assessments!D:D,IF($E$5="",$C199,$E$5)))</f>
        <v/>
      </c>
      <c r="H199">
        <f>IF($E199="","",RANK($E199,$E$8:$E$507,0))</f>
        <v/>
      </c>
      <c r="I199">
        <f>IF($E199="","",IF($E199&gt;=85,"Excellent",IF($E199&gt;=70,"Good",IF($E199&gt;=50,"Fair","Needs Support"))))</f>
        <v/>
      </c>
    </row>
    <row r="200">
      <c r="A200">
        <f>IF(Students!A194="","",Students!A194)</f>
        <v/>
      </c>
      <c r="B200">
        <f>IF($A200="","",Students!B194)</f>
        <v/>
      </c>
      <c r="C200">
        <f>IF($A200="","",Students!C194)</f>
        <v/>
      </c>
      <c r="D200">
        <f>IF($A200="","",COUNTIFS(Assessments!G:G,$A200,Assessments!B:B,"&gt;="&amp;$B$4,Assessments!B:B,"&lt;="&amp;$B$5,Assessments!C:C,IF($E$4="",$B200,$E$4),Assessments!D:D,IF($E$5="",$C200,$E$5)))</f>
        <v/>
      </c>
      <c r="E200">
        <f>IF($D200=0,"",ROUND(AVERAGEIFS(Assessments!J:J,Assessments!G:G,$A200,Assessments!B:B,"&gt;="&amp;$B$4,Assessments!B:B,"&lt;="&amp;$B$5,Assessments!C:C,IF($E$4="",$B200,$E$4),Assessments!D:D,IF($E$5="",$C200,$E$5)),0))</f>
        <v/>
      </c>
      <c r="F200">
        <f>IF($D200=0,"",MAXIFS(Assessments!J:J,Assessments!G:G,$A200,Assessments!B:B,"&gt;="&amp;$B$4,Assessments!B:B,"&lt;="&amp;$B$5,Assessments!C:C,IF($E$4="",$B200,$E$4),Assessments!D:D,IF($E$5="",$C200,$E$5)))</f>
        <v/>
      </c>
      <c r="G200">
        <f>IF($D200=0,"",MINIFS(Assessments!J:J,Assessments!G:G,$A200,Assessments!B:B,"&gt;="&amp;$B$4,Assessments!B:B,"&lt;="&amp;$B$5,Assessments!C:C,IF($E$4="",$B200,$E$4),Assessments!D:D,IF($E$5="",$C200,$E$5)))</f>
        <v/>
      </c>
      <c r="H200">
        <f>IF($E200="","",RANK($E200,$E$8:$E$507,0))</f>
        <v/>
      </c>
      <c r="I200">
        <f>IF($E200="","",IF($E200&gt;=85,"Excellent",IF($E200&gt;=70,"Good",IF($E200&gt;=50,"Fair","Needs Support"))))</f>
        <v/>
      </c>
    </row>
    <row r="201">
      <c r="A201">
        <f>IF(Students!A195="","",Students!A195)</f>
        <v/>
      </c>
      <c r="B201">
        <f>IF($A201="","",Students!B195)</f>
        <v/>
      </c>
      <c r="C201">
        <f>IF($A201="","",Students!C195)</f>
        <v/>
      </c>
      <c r="D201">
        <f>IF($A201="","",COUNTIFS(Assessments!G:G,$A201,Assessments!B:B,"&gt;="&amp;$B$4,Assessments!B:B,"&lt;="&amp;$B$5,Assessments!C:C,IF($E$4="",$B201,$E$4),Assessments!D:D,IF($E$5="",$C201,$E$5)))</f>
        <v/>
      </c>
      <c r="E201">
        <f>IF($D201=0,"",ROUND(AVERAGEIFS(Assessments!J:J,Assessments!G:G,$A201,Assessments!B:B,"&gt;="&amp;$B$4,Assessments!B:B,"&lt;="&amp;$B$5,Assessments!C:C,IF($E$4="",$B201,$E$4),Assessments!D:D,IF($E$5="",$C201,$E$5)),0))</f>
        <v/>
      </c>
      <c r="F201">
        <f>IF($D201=0,"",MAXIFS(Assessments!J:J,Assessments!G:G,$A201,Assessments!B:B,"&gt;="&amp;$B$4,Assessments!B:B,"&lt;="&amp;$B$5,Assessments!C:C,IF($E$4="",$B201,$E$4),Assessments!D:D,IF($E$5="",$C201,$E$5)))</f>
        <v/>
      </c>
      <c r="G201">
        <f>IF($D201=0,"",MINIFS(Assessments!J:J,Assessments!G:G,$A201,Assessments!B:B,"&gt;="&amp;$B$4,Assessments!B:B,"&lt;="&amp;$B$5,Assessments!C:C,IF($E$4="",$B201,$E$4),Assessments!D:D,IF($E$5="",$C201,$E$5)))</f>
        <v/>
      </c>
      <c r="H201">
        <f>IF($E201="","",RANK($E201,$E$8:$E$507,0))</f>
        <v/>
      </c>
      <c r="I201">
        <f>IF($E201="","",IF($E201&gt;=85,"Excellent",IF($E201&gt;=70,"Good",IF($E201&gt;=50,"Fair","Needs Support"))))</f>
        <v/>
      </c>
    </row>
    <row r="202">
      <c r="A202">
        <f>IF(Students!A196="","",Students!A196)</f>
        <v/>
      </c>
      <c r="B202">
        <f>IF($A202="","",Students!B196)</f>
        <v/>
      </c>
      <c r="C202">
        <f>IF($A202="","",Students!C196)</f>
        <v/>
      </c>
      <c r="D202">
        <f>IF($A202="","",COUNTIFS(Assessments!G:G,$A202,Assessments!B:B,"&gt;="&amp;$B$4,Assessments!B:B,"&lt;="&amp;$B$5,Assessments!C:C,IF($E$4="",$B202,$E$4),Assessments!D:D,IF($E$5="",$C202,$E$5)))</f>
        <v/>
      </c>
      <c r="E202">
        <f>IF($D202=0,"",ROUND(AVERAGEIFS(Assessments!J:J,Assessments!G:G,$A202,Assessments!B:B,"&gt;="&amp;$B$4,Assessments!B:B,"&lt;="&amp;$B$5,Assessments!C:C,IF($E$4="",$B202,$E$4),Assessments!D:D,IF($E$5="",$C202,$E$5)),0))</f>
        <v/>
      </c>
      <c r="F202">
        <f>IF($D202=0,"",MAXIFS(Assessments!J:J,Assessments!G:G,$A202,Assessments!B:B,"&gt;="&amp;$B$4,Assessments!B:B,"&lt;="&amp;$B$5,Assessments!C:C,IF($E$4="",$B202,$E$4),Assessments!D:D,IF($E$5="",$C202,$E$5)))</f>
        <v/>
      </c>
      <c r="G202">
        <f>IF($D202=0,"",MINIFS(Assessments!J:J,Assessments!G:G,$A202,Assessments!B:B,"&gt;="&amp;$B$4,Assessments!B:B,"&lt;="&amp;$B$5,Assessments!C:C,IF($E$4="",$B202,$E$4),Assessments!D:D,IF($E$5="",$C202,$E$5)))</f>
        <v/>
      </c>
      <c r="H202">
        <f>IF($E202="","",RANK($E202,$E$8:$E$507,0))</f>
        <v/>
      </c>
      <c r="I202">
        <f>IF($E202="","",IF($E202&gt;=85,"Excellent",IF($E202&gt;=70,"Good",IF($E202&gt;=50,"Fair","Needs Support"))))</f>
        <v/>
      </c>
    </row>
    <row r="203">
      <c r="A203">
        <f>IF(Students!A197="","",Students!A197)</f>
        <v/>
      </c>
      <c r="B203">
        <f>IF($A203="","",Students!B197)</f>
        <v/>
      </c>
      <c r="C203">
        <f>IF($A203="","",Students!C197)</f>
        <v/>
      </c>
      <c r="D203">
        <f>IF($A203="","",COUNTIFS(Assessments!G:G,$A203,Assessments!B:B,"&gt;="&amp;$B$4,Assessments!B:B,"&lt;="&amp;$B$5,Assessments!C:C,IF($E$4="",$B203,$E$4),Assessments!D:D,IF($E$5="",$C203,$E$5)))</f>
        <v/>
      </c>
      <c r="E203">
        <f>IF($D203=0,"",ROUND(AVERAGEIFS(Assessments!J:J,Assessments!G:G,$A203,Assessments!B:B,"&gt;="&amp;$B$4,Assessments!B:B,"&lt;="&amp;$B$5,Assessments!C:C,IF($E$4="",$B203,$E$4),Assessments!D:D,IF($E$5="",$C203,$E$5)),0))</f>
        <v/>
      </c>
      <c r="F203">
        <f>IF($D203=0,"",MAXIFS(Assessments!J:J,Assessments!G:G,$A203,Assessments!B:B,"&gt;="&amp;$B$4,Assessments!B:B,"&lt;="&amp;$B$5,Assessments!C:C,IF($E$4="",$B203,$E$4),Assessments!D:D,IF($E$5="",$C203,$E$5)))</f>
        <v/>
      </c>
      <c r="G203">
        <f>IF($D203=0,"",MINIFS(Assessments!J:J,Assessments!G:G,$A203,Assessments!B:B,"&gt;="&amp;$B$4,Assessments!B:B,"&lt;="&amp;$B$5,Assessments!C:C,IF($E$4="",$B203,$E$4),Assessments!D:D,IF($E$5="",$C203,$E$5)))</f>
        <v/>
      </c>
      <c r="H203">
        <f>IF($E203="","",RANK($E203,$E$8:$E$507,0))</f>
        <v/>
      </c>
      <c r="I203">
        <f>IF($E203="","",IF($E203&gt;=85,"Excellent",IF($E203&gt;=70,"Good",IF($E203&gt;=50,"Fair","Needs Support"))))</f>
        <v/>
      </c>
    </row>
    <row r="204">
      <c r="A204">
        <f>IF(Students!A198="","",Students!A198)</f>
        <v/>
      </c>
      <c r="B204">
        <f>IF($A204="","",Students!B198)</f>
        <v/>
      </c>
      <c r="C204">
        <f>IF($A204="","",Students!C198)</f>
        <v/>
      </c>
      <c r="D204">
        <f>IF($A204="","",COUNTIFS(Assessments!G:G,$A204,Assessments!B:B,"&gt;="&amp;$B$4,Assessments!B:B,"&lt;="&amp;$B$5,Assessments!C:C,IF($E$4="",$B204,$E$4),Assessments!D:D,IF($E$5="",$C204,$E$5)))</f>
        <v/>
      </c>
      <c r="E204">
        <f>IF($D204=0,"",ROUND(AVERAGEIFS(Assessments!J:J,Assessments!G:G,$A204,Assessments!B:B,"&gt;="&amp;$B$4,Assessments!B:B,"&lt;="&amp;$B$5,Assessments!C:C,IF($E$4="",$B204,$E$4),Assessments!D:D,IF($E$5="",$C204,$E$5)),0))</f>
        <v/>
      </c>
      <c r="F204">
        <f>IF($D204=0,"",MAXIFS(Assessments!J:J,Assessments!G:G,$A204,Assessments!B:B,"&gt;="&amp;$B$4,Assessments!B:B,"&lt;="&amp;$B$5,Assessments!C:C,IF($E$4="",$B204,$E$4),Assessments!D:D,IF($E$5="",$C204,$E$5)))</f>
        <v/>
      </c>
      <c r="G204">
        <f>IF($D204=0,"",MINIFS(Assessments!J:J,Assessments!G:G,$A204,Assessments!B:B,"&gt;="&amp;$B$4,Assessments!B:B,"&lt;="&amp;$B$5,Assessments!C:C,IF($E$4="",$B204,$E$4),Assessments!D:D,IF($E$5="",$C204,$E$5)))</f>
        <v/>
      </c>
      <c r="H204">
        <f>IF($E204="","",RANK($E204,$E$8:$E$507,0))</f>
        <v/>
      </c>
      <c r="I204">
        <f>IF($E204="","",IF($E204&gt;=85,"Excellent",IF($E204&gt;=70,"Good",IF($E204&gt;=50,"Fair","Needs Support"))))</f>
        <v/>
      </c>
    </row>
    <row r="205">
      <c r="A205">
        <f>IF(Students!A199="","",Students!A199)</f>
        <v/>
      </c>
      <c r="B205">
        <f>IF($A205="","",Students!B199)</f>
        <v/>
      </c>
      <c r="C205">
        <f>IF($A205="","",Students!C199)</f>
        <v/>
      </c>
      <c r="D205">
        <f>IF($A205="","",COUNTIFS(Assessments!G:G,$A205,Assessments!B:B,"&gt;="&amp;$B$4,Assessments!B:B,"&lt;="&amp;$B$5,Assessments!C:C,IF($E$4="",$B205,$E$4),Assessments!D:D,IF($E$5="",$C205,$E$5)))</f>
        <v/>
      </c>
      <c r="E205">
        <f>IF($D205=0,"",ROUND(AVERAGEIFS(Assessments!J:J,Assessments!G:G,$A205,Assessments!B:B,"&gt;="&amp;$B$4,Assessments!B:B,"&lt;="&amp;$B$5,Assessments!C:C,IF($E$4="",$B205,$E$4),Assessments!D:D,IF($E$5="",$C205,$E$5)),0))</f>
        <v/>
      </c>
      <c r="F205">
        <f>IF($D205=0,"",MAXIFS(Assessments!J:J,Assessments!G:G,$A205,Assessments!B:B,"&gt;="&amp;$B$4,Assessments!B:B,"&lt;="&amp;$B$5,Assessments!C:C,IF($E$4="",$B205,$E$4),Assessments!D:D,IF($E$5="",$C205,$E$5)))</f>
        <v/>
      </c>
      <c r="G205">
        <f>IF($D205=0,"",MINIFS(Assessments!J:J,Assessments!G:G,$A205,Assessments!B:B,"&gt;="&amp;$B$4,Assessments!B:B,"&lt;="&amp;$B$5,Assessments!C:C,IF($E$4="",$B205,$E$4),Assessments!D:D,IF($E$5="",$C205,$E$5)))</f>
        <v/>
      </c>
      <c r="H205">
        <f>IF($E205="","",RANK($E205,$E$8:$E$507,0))</f>
        <v/>
      </c>
      <c r="I205">
        <f>IF($E205="","",IF($E205&gt;=85,"Excellent",IF($E205&gt;=70,"Good",IF($E205&gt;=50,"Fair","Needs Support"))))</f>
        <v/>
      </c>
    </row>
    <row r="206">
      <c r="A206">
        <f>IF(Students!A200="","",Students!A200)</f>
        <v/>
      </c>
      <c r="B206">
        <f>IF($A206="","",Students!B200)</f>
        <v/>
      </c>
      <c r="C206">
        <f>IF($A206="","",Students!C200)</f>
        <v/>
      </c>
      <c r="D206">
        <f>IF($A206="","",COUNTIFS(Assessments!G:G,$A206,Assessments!B:B,"&gt;="&amp;$B$4,Assessments!B:B,"&lt;="&amp;$B$5,Assessments!C:C,IF($E$4="",$B206,$E$4),Assessments!D:D,IF($E$5="",$C206,$E$5)))</f>
        <v/>
      </c>
      <c r="E206">
        <f>IF($D206=0,"",ROUND(AVERAGEIFS(Assessments!J:J,Assessments!G:G,$A206,Assessments!B:B,"&gt;="&amp;$B$4,Assessments!B:B,"&lt;="&amp;$B$5,Assessments!C:C,IF($E$4="",$B206,$E$4),Assessments!D:D,IF($E$5="",$C206,$E$5)),0))</f>
        <v/>
      </c>
      <c r="F206">
        <f>IF($D206=0,"",MAXIFS(Assessments!J:J,Assessments!G:G,$A206,Assessments!B:B,"&gt;="&amp;$B$4,Assessments!B:B,"&lt;="&amp;$B$5,Assessments!C:C,IF($E$4="",$B206,$E$4),Assessments!D:D,IF($E$5="",$C206,$E$5)))</f>
        <v/>
      </c>
      <c r="G206">
        <f>IF($D206=0,"",MINIFS(Assessments!J:J,Assessments!G:G,$A206,Assessments!B:B,"&gt;="&amp;$B$4,Assessments!B:B,"&lt;="&amp;$B$5,Assessments!C:C,IF($E$4="",$B206,$E$4),Assessments!D:D,IF($E$5="",$C206,$E$5)))</f>
        <v/>
      </c>
      <c r="H206">
        <f>IF($E206="","",RANK($E206,$E$8:$E$507,0))</f>
        <v/>
      </c>
      <c r="I206">
        <f>IF($E206="","",IF($E206&gt;=85,"Excellent",IF($E206&gt;=70,"Good",IF($E206&gt;=50,"Fair","Needs Support"))))</f>
        <v/>
      </c>
    </row>
    <row r="207">
      <c r="A207">
        <f>IF(Students!A201="","",Students!A201)</f>
        <v/>
      </c>
      <c r="B207">
        <f>IF($A207="","",Students!B201)</f>
        <v/>
      </c>
      <c r="C207">
        <f>IF($A207="","",Students!C201)</f>
        <v/>
      </c>
      <c r="D207">
        <f>IF($A207="","",COUNTIFS(Assessments!G:G,$A207,Assessments!B:B,"&gt;="&amp;$B$4,Assessments!B:B,"&lt;="&amp;$B$5,Assessments!C:C,IF($E$4="",$B207,$E$4),Assessments!D:D,IF($E$5="",$C207,$E$5)))</f>
        <v/>
      </c>
      <c r="E207">
        <f>IF($D207=0,"",ROUND(AVERAGEIFS(Assessments!J:J,Assessments!G:G,$A207,Assessments!B:B,"&gt;="&amp;$B$4,Assessments!B:B,"&lt;="&amp;$B$5,Assessments!C:C,IF($E$4="",$B207,$E$4),Assessments!D:D,IF($E$5="",$C207,$E$5)),0))</f>
        <v/>
      </c>
      <c r="F207">
        <f>IF($D207=0,"",MAXIFS(Assessments!J:J,Assessments!G:G,$A207,Assessments!B:B,"&gt;="&amp;$B$4,Assessments!B:B,"&lt;="&amp;$B$5,Assessments!C:C,IF($E$4="",$B207,$E$4),Assessments!D:D,IF($E$5="",$C207,$E$5)))</f>
        <v/>
      </c>
      <c r="G207">
        <f>IF($D207=0,"",MINIFS(Assessments!J:J,Assessments!G:G,$A207,Assessments!B:B,"&gt;="&amp;$B$4,Assessments!B:B,"&lt;="&amp;$B$5,Assessments!C:C,IF($E$4="",$B207,$E$4),Assessments!D:D,IF($E$5="",$C207,$E$5)))</f>
        <v/>
      </c>
      <c r="H207">
        <f>IF($E207="","",RANK($E207,$E$8:$E$507,0))</f>
        <v/>
      </c>
      <c r="I207">
        <f>IF($E207="","",IF($E207&gt;=85,"Excellent",IF($E207&gt;=70,"Good",IF($E207&gt;=50,"Fair","Needs Support"))))</f>
        <v/>
      </c>
    </row>
    <row r="208">
      <c r="A208">
        <f>IF(Students!A202="","",Students!A202)</f>
        <v/>
      </c>
      <c r="B208">
        <f>IF($A208="","",Students!B202)</f>
        <v/>
      </c>
      <c r="C208">
        <f>IF($A208="","",Students!C202)</f>
        <v/>
      </c>
      <c r="D208">
        <f>IF($A208="","",COUNTIFS(Assessments!G:G,$A208,Assessments!B:B,"&gt;="&amp;$B$4,Assessments!B:B,"&lt;="&amp;$B$5,Assessments!C:C,IF($E$4="",$B208,$E$4),Assessments!D:D,IF($E$5="",$C208,$E$5)))</f>
        <v/>
      </c>
      <c r="E208">
        <f>IF($D208=0,"",ROUND(AVERAGEIFS(Assessments!J:J,Assessments!G:G,$A208,Assessments!B:B,"&gt;="&amp;$B$4,Assessments!B:B,"&lt;="&amp;$B$5,Assessments!C:C,IF($E$4="",$B208,$E$4),Assessments!D:D,IF($E$5="",$C208,$E$5)),0))</f>
        <v/>
      </c>
      <c r="F208">
        <f>IF($D208=0,"",MAXIFS(Assessments!J:J,Assessments!G:G,$A208,Assessments!B:B,"&gt;="&amp;$B$4,Assessments!B:B,"&lt;="&amp;$B$5,Assessments!C:C,IF($E$4="",$B208,$E$4),Assessments!D:D,IF($E$5="",$C208,$E$5)))</f>
        <v/>
      </c>
      <c r="G208">
        <f>IF($D208=0,"",MINIFS(Assessments!J:J,Assessments!G:G,$A208,Assessments!B:B,"&gt;="&amp;$B$4,Assessments!B:B,"&lt;="&amp;$B$5,Assessments!C:C,IF($E$4="",$B208,$E$4),Assessments!D:D,IF($E$5="",$C208,$E$5)))</f>
        <v/>
      </c>
      <c r="H208">
        <f>IF($E208="","",RANK($E208,$E$8:$E$507,0))</f>
        <v/>
      </c>
      <c r="I208">
        <f>IF($E208="","",IF($E208&gt;=85,"Excellent",IF($E208&gt;=70,"Good",IF($E208&gt;=50,"Fair","Needs Support"))))</f>
        <v/>
      </c>
    </row>
    <row r="209">
      <c r="A209">
        <f>IF(Students!A203="","",Students!A203)</f>
        <v/>
      </c>
      <c r="B209">
        <f>IF($A209="","",Students!B203)</f>
        <v/>
      </c>
      <c r="C209">
        <f>IF($A209="","",Students!C203)</f>
        <v/>
      </c>
      <c r="D209">
        <f>IF($A209="","",COUNTIFS(Assessments!G:G,$A209,Assessments!B:B,"&gt;="&amp;$B$4,Assessments!B:B,"&lt;="&amp;$B$5,Assessments!C:C,IF($E$4="",$B209,$E$4),Assessments!D:D,IF($E$5="",$C209,$E$5)))</f>
        <v/>
      </c>
      <c r="E209">
        <f>IF($D209=0,"",ROUND(AVERAGEIFS(Assessments!J:J,Assessments!G:G,$A209,Assessments!B:B,"&gt;="&amp;$B$4,Assessments!B:B,"&lt;="&amp;$B$5,Assessments!C:C,IF($E$4="",$B209,$E$4),Assessments!D:D,IF($E$5="",$C209,$E$5)),0))</f>
        <v/>
      </c>
      <c r="F209">
        <f>IF($D209=0,"",MAXIFS(Assessments!J:J,Assessments!G:G,$A209,Assessments!B:B,"&gt;="&amp;$B$4,Assessments!B:B,"&lt;="&amp;$B$5,Assessments!C:C,IF($E$4="",$B209,$E$4),Assessments!D:D,IF($E$5="",$C209,$E$5)))</f>
        <v/>
      </c>
      <c r="G209">
        <f>IF($D209=0,"",MINIFS(Assessments!J:J,Assessments!G:G,$A209,Assessments!B:B,"&gt;="&amp;$B$4,Assessments!B:B,"&lt;="&amp;$B$5,Assessments!C:C,IF($E$4="",$B209,$E$4),Assessments!D:D,IF($E$5="",$C209,$E$5)))</f>
        <v/>
      </c>
      <c r="H209">
        <f>IF($E209="","",RANK($E209,$E$8:$E$507,0))</f>
        <v/>
      </c>
      <c r="I209">
        <f>IF($E209="","",IF($E209&gt;=85,"Excellent",IF($E209&gt;=70,"Good",IF($E209&gt;=50,"Fair","Needs Support"))))</f>
        <v/>
      </c>
    </row>
    <row r="210">
      <c r="A210">
        <f>IF(Students!A204="","",Students!A204)</f>
        <v/>
      </c>
      <c r="B210">
        <f>IF($A210="","",Students!B204)</f>
        <v/>
      </c>
      <c r="C210">
        <f>IF($A210="","",Students!C204)</f>
        <v/>
      </c>
      <c r="D210">
        <f>IF($A210="","",COUNTIFS(Assessments!G:G,$A210,Assessments!B:B,"&gt;="&amp;$B$4,Assessments!B:B,"&lt;="&amp;$B$5,Assessments!C:C,IF($E$4="",$B210,$E$4),Assessments!D:D,IF($E$5="",$C210,$E$5)))</f>
        <v/>
      </c>
      <c r="E210">
        <f>IF($D210=0,"",ROUND(AVERAGEIFS(Assessments!J:J,Assessments!G:G,$A210,Assessments!B:B,"&gt;="&amp;$B$4,Assessments!B:B,"&lt;="&amp;$B$5,Assessments!C:C,IF($E$4="",$B210,$E$4),Assessments!D:D,IF($E$5="",$C210,$E$5)),0))</f>
        <v/>
      </c>
      <c r="F210">
        <f>IF($D210=0,"",MAXIFS(Assessments!J:J,Assessments!G:G,$A210,Assessments!B:B,"&gt;="&amp;$B$4,Assessments!B:B,"&lt;="&amp;$B$5,Assessments!C:C,IF($E$4="",$B210,$E$4),Assessments!D:D,IF($E$5="",$C210,$E$5)))</f>
        <v/>
      </c>
      <c r="G210">
        <f>IF($D210=0,"",MINIFS(Assessments!J:J,Assessments!G:G,$A210,Assessments!B:B,"&gt;="&amp;$B$4,Assessments!B:B,"&lt;="&amp;$B$5,Assessments!C:C,IF($E$4="",$B210,$E$4),Assessments!D:D,IF($E$5="",$C210,$E$5)))</f>
        <v/>
      </c>
      <c r="H210">
        <f>IF($E210="","",RANK($E210,$E$8:$E$507,0))</f>
        <v/>
      </c>
      <c r="I210">
        <f>IF($E210="","",IF($E210&gt;=85,"Excellent",IF($E210&gt;=70,"Good",IF($E210&gt;=50,"Fair","Needs Support"))))</f>
        <v/>
      </c>
    </row>
    <row r="211">
      <c r="A211">
        <f>IF(Students!A205="","",Students!A205)</f>
        <v/>
      </c>
      <c r="B211">
        <f>IF($A211="","",Students!B205)</f>
        <v/>
      </c>
      <c r="C211">
        <f>IF($A211="","",Students!C205)</f>
        <v/>
      </c>
      <c r="D211">
        <f>IF($A211="","",COUNTIFS(Assessments!G:G,$A211,Assessments!B:B,"&gt;="&amp;$B$4,Assessments!B:B,"&lt;="&amp;$B$5,Assessments!C:C,IF($E$4="",$B211,$E$4),Assessments!D:D,IF($E$5="",$C211,$E$5)))</f>
        <v/>
      </c>
      <c r="E211">
        <f>IF($D211=0,"",ROUND(AVERAGEIFS(Assessments!J:J,Assessments!G:G,$A211,Assessments!B:B,"&gt;="&amp;$B$4,Assessments!B:B,"&lt;="&amp;$B$5,Assessments!C:C,IF($E$4="",$B211,$E$4),Assessments!D:D,IF($E$5="",$C211,$E$5)),0))</f>
        <v/>
      </c>
      <c r="F211">
        <f>IF($D211=0,"",MAXIFS(Assessments!J:J,Assessments!G:G,$A211,Assessments!B:B,"&gt;="&amp;$B$4,Assessments!B:B,"&lt;="&amp;$B$5,Assessments!C:C,IF($E$4="",$B211,$E$4),Assessments!D:D,IF($E$5="",$C211,$E$5)))</f>
        <v/>
      </c>
      <c r="G211">
        <f>IF($D211=0,"",MINIFS(Assessments!J:J,Assessments!G:G,$A211,Assessments!B:B,"&gt;="&amp;$B$4,Assessments!B:B,"&lt;="&amp;$B$5,Assessments!C:C,IF($E$4="",$B211,$E$4),Assessments!D:D,IF($E$5="",$C211,$E$5)))</f>
        <v/>
      </c>
      <c r="H211">
        <f>IF($E211="","",RANK($E211,$E$8:$E$507,0))</f>
        <v/>
      </c>
      <c r="I211">
        <f>IF($E211="","",IF($E211&gt;=85,"Excellent",IF($E211&gt;=70,"Good",IF($E211&gt;=50,"Fair","Needs Support"))))</f>
        <v/>
      </c>
    </row>
    <row r="212">
      <c r="A212">
        <f>IF(Students!A206="","",Students!A206)</f>
        <v/>
      </c>
      <c r="B212">
        <f>IF($A212="","",Students!B206)</f>
        <v/>
      </c>
      <c r="C212">
        <f>IF($A212="","",Students!C206)</f>
        <v/>
      </c>
      <c r="D212">
        <f>IF($A212="","",COUNTIFS(Assessments!G:G,$A212,Assessments!B:B,"&gt;="&amp;$B$4,Assessments!B:B,"&lt;="&amp;$B$5,Assessments!C:C,IF($E$4="",$B212,$E$4),Assessments!D:D,IF($E$5="",$C212,$E$5)))</f>
        <v/>
      </c>
      <c r="E212">
        <f>IF($D212=0,"",ROUND(AVERAGEIFS(Assessments!J:J,Assessments!G:G,$A212,Assessments!B:B,"&gt;="&amp;$B$4,Assessments!B:B,"&lt;="&amp;$B$5,Assessments!C:C,IF($E$4="",$B212,$E$4),Assessments!D:D,IF($E$5="",$C212,$E$5)),0))</f>
        <v/>
      </c>
      <c r="F212">
        <f>IF($D212=0,"",MAXIFS(Assessments!J:J,Assessments!G:G,$A212,Assessments!B:B,"&gt;="&amp;$B$4,Assessments!B:B,"&lt;="&amp;$B$5,Assessments!C:C,IF($E$4="",$B212,$E$4),Assessments!D:D,IF($E$5="",$C212,$E$5)))</f>
        <v/>
      </c>
      <c r="G212">
        <f>IF($D212=0,"",MINIFS(Assessments!J:J,Assessments!G:G,$A212,Assessments!B:B,"&gt;="&amp;$B$4,Assessments!B:B,"&lt;="&amp;$B$5,Assessments!C:C,IF($E$4="",$B212,$E$4),Assessments!D:D,IF($E$5="",$C212,$E$5)))</f>
        <v/>
      </c>
      <c r="H212">
        <f>IF($E212="","",RANK($E212,$E$8:$E$507,0))</f>
        <v/>
      </c>
      <c r="I212">
        <f>IF($E212="","",IF($E212&gt;=85,"Excellent",IF($E212&gt;=70,"Good",IF($E212&gt;=50,"Fair","Needs Support"))))</f>
        <v/>
      </c>
    </row>
    <row r="213">
      <c r="A213">
        <f>IF(Students!A207="","",Students!A207)</f>
        <v/>
      </c>
      <c r="B213">
        <f>IF($A213="","",Students!B207)</f>
        <v/>
      </c>
      <c r="C213">
        <f>IF($A213="","",Students!C207)</f>
        <v/>
      </c>
      <c r="D213">
        <f>IF($A213="","",COUNTIFS(Assessments!G:G,$A213,Assessments!B:B,"&gt;="&amp;$B$4,Assessments!B:B,"&lt;="&amp;$B$5,Assessments!C:C,IF($E$4="",$B213,$E$4),Assessments!D:D,IF($E$5="",$C213,$E$5)))</f>
        <v/>
      </c>
      <c r="E213">
        <f>IF($D213=0,"",ROUND(AVERAGEIFS(Assessments!J:J,Assessments!G:G,$A213,Assessments!B:B,"&gt;="&amp;$B$4,Assessments!B:B,"&lt;="&amp;$B$5,Assessments!C:C,IF($E$4="",$B213,$E$4),Assessments!D:D,IF($E$5="",$C213,$E$5)),0))</f>
        <v/>
      </c>
      <c r="F213">
        <f>IF($D213=0,"",MAXIFS(Assessments!J:J,Assessments!G:G,$A213,Assessments!B:B,"&gt;="&amp;$B$4,Assessments!B:B,"&lt;="&amp;$B$5,Assessments!C:C,IF($E$4="",$B213,$E$4),Assessments!D:D,IF($E$5="",$C213,$E$5)))</f>
        <v/>
      </c>
      <c r="G213">
        <f>IF($D213=0,"",MINIFS(Assessments!J:J,Assessments!G:G,$A213,Assessments!B:B,"&gt;="&amp;$B$4,Assessments!B:B,"&lt;="&amp;$B$5,Assessments!C:C,IF($E$4="",$B213,$E$4),Assessments!D:D,IF($E$5="",$C213,$E$5)))</f>
        <v/>
      </c>
      <c r="H213">
        <f>IF($E213="","",RANK($E213,$E$8:$E$507,0))</f>
        <v/>
      </c>
      <c r="I213">
        <f>IF($E213="","",IF($E213&gt;=85,"Excellent",IF($E213&gt;=70,"Good",IF($E213&gt;=50,"Fair","Needs Support"))))</f>
        <v/>
      </c>
    </row>
    <row r="214">
      <c r="A214">
        <f>IF(Students!A208="","",Students!A208)</f>
        <v/>
      </c>
      <c r="B214">
        <f>IF($A214="","",Students!B208)</f>
        <v/>
      </c>
      <c r="C214">
        <f>IF($A214="","",Students!C208)</f>
        <v/>
      </c>
      <c r="D214">
        <f>IF($A214="","",COUNTIFS(Assessments!G:G,$A214,Assessments!B:B,"&gt;="&amp;$B$4,Assessments!B:B,"&lt;="&amp;$B$5,Assessments!C:C,IF($E$4="",$B214,$E$4),Assessments!D:D,IF($E$5="",$C214,$E$5)))</f>
        <v/>
      </c>
      <c r="E214">
        <f>IF($D214=0,"",ROUND(AVERAGEIFS(Assessments!J:J,Assessments!G:G,$A214,Assessments!B:B,"&gt;="&amp;$B$4,Assessments!B:B,"&lt;="&amp;$B$5,Assessments!C:C,IF($E$4="",$B214,$E$4),Assessments!D:D,IF($E$5="",$C214,$E$5)),0))</f>
        <v/>
      </c>
      <c r="F214">
        <f>IF($D214=0,"",MAXIFS(Assessments!J:J,Assessments!G:G,$A214,Assessments!B:B,"&gt;="&amp;$B$4,Assessments!B:B,"&lt;="&amp;$B$5,Assessments!C:C,IF($E$4="",$B214,$E$4),Assessments!D:D,IF($E$5="",$C214,$E$5)))</f>
        <v/>
      </c>
      <c r="G214">
        <f>IF($D214=0,"",MINIFS(Assessments!J:J,Assessments!G:G,$A214,Assessments!B:B,"&gt;="&amp;$B$4,Assessments!B:B,"&lt;="&amp;$B$5,Assessments!C:C,IF($E$4="",$B214,$E$4),Assessments!D:D,IF($E$5="",$C214,$E$5)))</f>
        <v/>
      </c>
      <c r="H214">
        <f>IF($E214="","",RANK($E214,$E$8:$E$507,0))</f>
        <v/>
      </c>
      <c r="I214">
        <f>IF($E214="","",IF($E214&gt;=85,"Excellent",IF($E214&gt;=70,"Good",IF($E214&gt;=50,"Fair","Needs Support"))))</f>
        <v/>
      </c>
    </row>
    <row r="215">
      <c r="A215">
        <f>IF(Students!A209="","",Students!A209)</f>
        <v/>
      </c>
      <c r="B215">
        <f>IF($A215="","",Students!B209)</f>
        <v/>
      </c>
      <c r="C215">
        <f>IF($A215="","",Students!C209)</f>
        <v/>
      </c>
      <c r="D215">
        <f>IF($A215="","",COUNTIFS(Assessments!G:G,$A215,Assessments!B:B,"&gt;="&amp;$B$4,Assessments!B:B,"&lt;="&amp;$B$5,Assessments!C:C,IF($E$4="",$B215,$E$4),Assessments!D:D,IF($E$5="",$C215,$E$5)))</f>
        <v/>
      </c>
      <c r="E215">
        <f>IF($D215=0,"",ROUND(AVERAGEIFS(Assessments!J:J,Assessments!G:G,$A215,Assessments!B:B,"&gt;="&amp;$B$4,Assessments!B:B,"&lt;="&amp;$B$5,Assessments!C:C,IF($E$4="",$B215,$E$4),Assessments!D:D,IF($E$5="",$C215,$E$5)),0))</f>
        <v/>
      </c>
      <c r="F215">
        <f>IF($D215=0,"",MAXIFS(Assessments!J:J,Assessments!G:G,$A215,Assessments!B:B,"&gt;="&amp;$B$4,Assessments!B:B,"&lt;="&amp;$B$5,Assessments!C:C,IF($E$4="",$B215,$E$4),Assessments!D:D,IF($E$5="",$C215,$E$5)))</f>
        <v/>
      </c>
      <c r="G215">
        <f>IF($D215=0,"",MINIFS(Assessments!J:J,Assessments!G:G,$A215,Assessments!B:B,"&gt;="&amp;$B$4,Assessments!B:B,"&lt;="&amp;$B$5,Assessments!C:C,IF($E$4="",$B215,$E$4),Assessments!D:D,IF($E$5="",$C215,$E$5)))</f>
        <v/>
      </c>
      <c r="H215">
        <f>IF($E215="","",RANK($E215,$E$8:$E$507,0))</f>
        <v/>
      </c>
      <c r="I215">
        <f>IF($E215="","",IF($E215&gt;=85,"Excellent",IF($E215&gt;=70,"Good",IF($E215&gt;=50,"Fair","Needs Support"))))</f>
        <v/>
      </c>
    </row>
    <row r="216">
      <c r="A216">
        <f>IF(Students!A210="","",Students!A210)</f>
        <v/>
      </c>
      <c r="B216">
        <f>IF($A216="","",Students!B210)</f>
        <v/>
      </c>
      <c r="C216">
        <f>IF($A216="","",Students!C210)</f>
        <v/>
      </c>
      <c r="D216">
        <f>IF($A216="","",COUNTIFS(Assessments!G:G,$A216,Assessments!B:B,"&gt;="&amp;$B$4,Assessments!B:B,"&lt;="&amp;$B$5,Assessments!C:C,IF($E$4="",$B216,$E$4),Assessments!D:D,IF($E$5="",$C216,$E$5)))</f>
        <v/>
      </c>
      <c r="E216">
        <f>IF($D216=0,"",ROUND(AVERAGEIFS(Assessments!J:J,Assessments!G:G,$A216,Assessments!B:B,"&gt;="&amp;$B$4,Assessments!B:B,"&lt;="&amp;$B$5,Assessments!C:C,IF($E$4="",$B216,$E$4),Assessments!D:D,IF($E$5="",$C216,$E$5)),0))</f>
        <v/>
      </c>
      <c r="F216">
        <f>IF($D216=0,"",MAXIFS(Assessments!J:J,Assessments!G:G,$A216,Assessments!B:B,"&gt;="&amp;$B$4,Assessments!B:B,"&lt;="&amp;$B$5,Assessments!C:C,IF($E$4="",$B216,$E$4),Assessments!D:D,IF($E$5="",$C216,$E$5)))</f>
        <v/>
      </c>
      <c r="G216">
        <f>IF($D216=0,"",MINIFS(Assessments!J:J,Assessments!G:G,$A216,Assessments!B:B,"&gt;="&amp;$B$4,Assessments!B:B,"&lt;="&amp;$B$5,Assessments!C:C,IF($E$4="",$B216,$E$4),Assessments!D:D,IF($E$5="",$C216,$E$5)))</f>
        <v/>
      </c>
      <c r="H216">
        <f>IF($E216="","",RANK($E216,$E$8:$E$507,0))</f>
        <v/>
      </c>
      <c r="I216">
        <f>IF($E216="","",IF($E216&gt;=85,"Excellent",IF($E216&gt;=70,"Good",IF($E216&gt;=50,"Fair","Needs Support"))))</f>
        <v/>
      </c>
    </row>
    <row r="217">
      <c r="A217">
        <f>IF(Students!A211="","",Students!A211)</f>
        <v/>
      </c>
      <c r="B217">
        <f>IF($A217="","",Students!B211)</f>
        <v/>
      </c>
      <c r="C217">
        <f>IF($A217="","",Students!C211)</f>
        <v/>
      </c>
      <c r="D217">
        <f>IF($A217="","",COUNTIFS(Assessments!G:G,$A217,Assessments!B:B,"&gt;="&amp;$B$4,Assessments!B:B,"&lt;="&amp;$B$5,Assessments!C:C,IF($E$4="",$B217,$E$4),Assessments!D:D,IF($E$5="",$C217,$E$5)))</f>
        <v/>
      </c>
      <c r="E217">
        <f>IF($D217=0,"",ROUND(AVERAGEIFS(Assessments!J:J,Assessments!G:G,$A217,Assessments!B:B,"&gt;="&amp;$B$4,Assessments!B:B,"&lt;="&amp;$B$5,Assessments!C:C,IF($E$4="",$B217,$E$4),Assessments!D:D,IF($E$5="",$C217,$E$5)),0))</f>
        <v/>
      </c>
      <c r="F217">
        <f>IF($D217=0,"",MAXIFS(Assessments!J:J,Assessments!G:G,$A217,Assessments!B:B,"&gt;="&amp;$B$4,Assessments!B:B,"&lt;="&amp;$B$5,Assessments!C:C,IF($E$4="",$B217,$E$4),Assessments!D:D,IF($E$5="",$C217,$E$5)))</f>
        <v/>
      </c>
      <c r="G217">
        <f>IF($D217=0,"",MINIFS(Assessments!J:J,Assessments!G:G,$A217,Assessments!B:B,"&gt;="&amp;$B$4,Assessments!B:B,"&lt;="&amp;$B$5,Assessments!C:C,IF($E$4="",$B217,$E$4),Assessments!D:D,IF($E$5="",$C217,$E$5)))</f>
        <v/>
      </c>
      <c r="H217">
        <f>IF($E217="","",RANK($E217,$E$8:$E$507,0))</f>
        <v/>
      </c>
      <c r="I217">
        <f>IF($E217="","",IF($E217&gt;=85,"Excellent",IF($E217&gt;=70,"Good",IF($E217&gt;=50,"Fair","Needs Support"))))</f>
        <v/>
      </c>
    </row>
    <row r="218">
      <c r="A218">
        <f>IF(Students!A212="","",Students!A212)</f>
        <v/>
      </c>
      <c r="B218">
        <f>IF($A218="","",Students!B212)</f>
        <v/>
      </c>
      <c r="C218">
        <f>IF($A218="","",Students!C212)</f>
        <v/>
      </c>
      <c r="D218">
        <f>IF($A218="","",COUNTIFS(Assessments!G:G,$A218,Assessments!B:B,"&gt;="&amp;$B$4,Assessments!B:B,"&lt;="&amp;$B$5,Assessments!C:C,IF($E$4="",$B218,$E$4),Assessments!D:D,IF($E$5="",$C218,$E$5)))</f>
        <v/>
      </c>
      <c r="E218">
        <f>IF($D218=0,"",ROUND(AVERAGEIFS(Assessments!J:J,Assessments!G:G,$A218,Assessments!B:B,"&gt;="&amp;$B$4,Assessments!B:B,"&lt;="&amp;$B$5,Assessments!C:C,IF($E$4="",$B218,$E$4),Assessments!D:D,IF($E$5="",$C218,$E$5)),0))</f>
        <v/>
      </c>
      <c r="F218">
        <f>IF($D218=0,"",MAXIFS(Assessments!J:J,Assessments!G:G,$A218,Assessments!B:B,"&gt;="&amp;$B$4,Assessments!B:B,"&lt;="&amp;$B$5,Assessments!C:C,IF($E$4="",$B218,$E$4),Assessments!D:D,IF($E$5="",$C218,$E$5)))</f>
        <v/>
      </c>
      <c r="G218">
        <f>IF($D218=0,"",MINIFS(Assessments!J:J,Assessments!G:G,$A218,Assessments!B:B,"&gt;="&amp;$B$4,Assessments!B:B,"&lt;="&amp;$B$5,Assessments!C:C,IF($E$4="",$B218,$E$4),Assessments!D:D,IF($E$5="",$C218,$E$5)))</f>
        <v/>
      </c>
      <c r="H218">
        <f>IF($E218="","",RANK($E218,$E$8:$E$507,0))</f>
        <v/>
      </c>
      <c r="I218">
        <f>IF($E218="","",IF($E218&gt;=85,"Excellent",IF($E218&gt;=70,"Good",IF($E218&gt;=50,"Fair","Needs Support"))))</f>
        <v/>
      </c>
    </row>
    <row r="219">
      <c r="A219">
        <f>IF(Students!A213="","",Students!A213)</f>
        <v/>
      </c>
      <c r="B219">
        <f>IF($A219="","",Students!B213)</f>
        <v/>
      </c>
      <c r="C219">
        <f>IF($A219="","",Students!C213)</f>
        <v/>
      </c>
      <c r="D219">
        <f>IF($A219="","",COUNTIFS(Assessments!G:G,$A219,Assessments!B:B,"&gt;="&amp;$B$4,Assessments!B:B,"&lt;="&amp;$B$5,Assessments!C:C,IF($E$4="",$B219,$E$4),Assessments!D:D,IF($E$5="",$C219,$E$5)))</f>
        <v/>
      </c>
      <c r="E219">
        <f>IF($D219=0,"",ROUND(AVERAGEIFS(Assessments!J:J,Assessments!G:G,$A219,Assessments!B:B,"&gt;="&amp;$B$4,Assessments!B:B,"&lt;="&amp;$B$5,Assessments!C:C,IF($E$4="",$B219,$E$4),Assessments!D:D,IF($E$5="",$C219,$E$5)),0))</f>
        <v/>
      </c>
      <c r="F219">
        <f>IF($D219=0,"",MAXIFS(Assessments!J:J,Assessments!G:G,$A219,Assessments!B:B,"&gt;="&amp;$B$4,Assessments!B:B,"&lt;="&amp;$B$5,Assessments!C:C,IF($E$4="",$B219,$E$4),Assessments!D:D,IF($E$5="",$C219,$E$5)))</f>
        <v/>
      </c>
      <c r="G219">
        <f>IF($D219=0,"",MINIFS(Assessments!J:J,Assessments!G:G,$A219,Assessments!B:B,"&gt;="&amp;$B$4,Assessments!B:B,"&lt;="&amp;$B$5,Assessments!C:C,IF($E$4="",$B219,$E$4),Assessments!D:D,IF($E$5="",$C219,$E$5)))</f>
        <v/>
      </c>
      <c r="H219">
        <f>IF($E219="","",RANK($E219,$E$8:$E$507,0))</f>
        <v/>
      </c>
      <c r="I219">
        <f>IF($E219="","",IF($E219&gt;=85,"Excellent",IF($E219&gt;=70,"Good",IF($E219&gt;=50,"Fair","Needs Support"))))</f>
        <v/>
      </c>
    </row>
    <row r="220">
      <c r="A220">
        <f>IF(Students!A214="","",Students!A214)</f>
        <v/>
      </c>
      <c r="B220">
        <f>IF($A220="","",Students!B214)</f>
        <v/>
      </c>
      <c r="C220">
        <f>IF($A220="","",Students!C214)</f>
        <v/>
      </c>
      <c r="D220">
        <f>IF($A220="","",COUNTIFS(Assessments!G:G,$A220,Assessments!B:B,"&gt;="&amp;$B$4,Assessments!B:B,"&lt;="&amp;$B$5,Assessments!C:C,IF($E$4="",$B220,$E$4),Assessments!D:D,IF($E$5="",$C220,$E$5)))</f>
        <v/>
      </c>
      <c r="E220">
        <f>IF($D220=0,"",ROUND(AVERAGEIFS(Assessments!J:J,Assessments!G:G,$A220,Assessments!B:B,"&gt;="&amp;$B$4,Assessments!B:B,"&lt;="&amp;$B$5,Assessments!C:C,IF($E$4="",$B220,$E$4),Assessments!D:D,IF($E$5="",$C220,$E$5)),0))</f>
        <v/>
      </c>
      <c r="F220">
        <f>IF($D220=0,"",MAXIFS(Assessments!J:J,Assessments!G:G,$A220,Assessments!B:B,"&gt;="&amp;$B$4,Assessments!B:B,"&lt;="&amp;$B$5,Assessments!C:C,IF($E$4="",$B220,$E$4),Assessments!D:D,IF($E$5="",$C220,$E$5)))</f>
        <v/>
      </c>
      <c r="G220">
        <f>IF($D220=0,"",MINIFS(Assessments!J:J,Assessments!G:G,$A220,Assessments!B:B,"&gt;="&amp;$B$4,Assessments!B:B,"&lt;="&amp;$B$5,Assessments!C:C,IF($E$4="",$B220,$E$4),Assessments!D:D,IF($E$5="",$C220,$E$5)))</f>
        <v/>
      </c>
      <c r="H220">
        <f>IF($E220="","",RANK($E220,$E$8:$E$507,0))</f>
        <v/>
      </c>
      <c r="I220">
        <f>IF($E220="","",IF($E220&gt;=85,"Excellent",IF($E220&gt;=70,"Good",IF($E220&gt;=50,"Fair","Needs Support"))))</f>
        <v/>
      </c>
    </row>
    <row r="221">
      <c r="A221">
        <f>IF(Students!A215="","",Students!A215)</f>
        <v/>
      </c>
      <c r="B221">
        <f>IF($A221="","",Students!B215)</f>
        <v/>
      </c>
      <c r="C221">
        <f>IF($A221="","",Students!C215)</f>
        <v/>
      </c>
      <c r="D221">
        <f>IF($A221="","",COUNTIFS(Assessments!G:G,$A221,Assessments!B:B,"&gt;="&amp;$B$4,Assessments!B:B,"&lt;="&amp;$B$5,Assessments!C:C,IF($E$4="",$B221,$E$4),Assessments!D:D,IF($E$5="",$C221,$E$5)))</f>
        <v/>
      </c>
      <c r="E221">
        <f>IF($D221=0,"",ROUND(AVERAGEIFS(Assessments!J:J,Assessments!G:G,$A221,Assessments!B:B,"&gt;="&amp;$B$4,Assessments!B:B,"&lt;="&amp;$B$5,Assessments!C:C,IF($E$4="",$B221,$E$4),Assessments!D:D,IF($E$5="",$C221,$E$5)),0))</f>
        <v/>
      </c>
      <c r="F221">
        <f>IF($D221=0,"",MAXIFS(Assessments!J:J,Assessments!G:G,$A221,Assessments!B:B,"&gt;="&amp;$B$4,Assessments!B:B,"&lt;="&amp;$B$5,Assessments!C:C,IF($E$4="",$B221,$E$4),Assessments!D:D,IF($E$5="",$C221,$E$5)))</f>
        <v/>
      </c>
      <c r="G221">
        <f>IF($D221=0,"",MINIFS(Assessments!J:J,Assessments!G:G,$A221,Assessments!B:B,"&gt;="&amp;$B$4,Assessments!B:B,"&lt;="&amp;$B$5,Assessments!C:C,IF($E$4="",$B221,$E$4),Assessments!D:D,IF($E$5="",$C221,$E$5)))</f>
        <v/>
      </c>
      <c r="H221">
        <f>IF($E221="","",RANK($E221,$E$8:$E$507,0))</f>
        <v/>
      </c>
      <c r="I221">
        <f>IF($E221="","",IF($E221&gt;=85,"Excellent",IF($E221&gt;=70,"Good",IF($E221&gt;=50,"Fair","Needs Support"))))</f>
        <v/>
      </c>
    </row>
    <row r="222">
      <c r="A222">
        <f>IF(Students!A216="","",Students!A216)</f>
        <v/>
      </c>
      <c r="B222">
        <f>IF($A222="","",Students!B216)</f>
        <v/>
      </c>
      <c r="C222">
        <f>IF($A222="","",Students!C216)</f>
        <v/>
      </c>
      <c r="D222">
        <f>IF($A222="","",COUNTIFS(Assessments!G:G,$A222,Assessments!B:B,"&gt;="&amp;$B$4,Assessments!B:B,"&lt;="&amp;$B$5,Assessments!C:C,IF($E$4="",$B222,$E$4),Assessments!D:D,IF($E$5="",$C222,$E$5)))</f>
        <v/>
      </c>
      <c r="E222">
        <f>IF($D222=0,"",ROUND(AVERAGEIFS(Assessments!J:J,Assessments!G:G,$A222,Assessments!B:B,"&gt;="&amp;$B$4,Assessments!B:B,"&lt;="&amp;$B$5,Assessments!C:C,IF($E$4="",$B222,$E$4),Assessments!D:D,IF($E$5="",$C222,$E$5)),0))</f>
        <v/>
      </c>
      <c r="F222">
        <f>IF($D222=0,"",MAXIFS(Assessments!J:J,Assessments!G:G,$A222,Assessments!B:B,"&gt;="&amp;$B$4,Assessments!B:B,"&lt;="&amp;$B$5,Assessments!C:C,IF($E$4="",$B222,$E$4),Assessments!D:D,IF($E$5="",$C222,$E$5)))</f>
        <v/>
      </c>
      <c r="G222">
        <f>IF($D222=0,"",MINIFS(Assessments!J:J,Assessments!G:G,$A222,Assessments!B:B,"&gt;="&amp;$B$4,Assessments!B:B,"&lt;="&amp;$B$5,Assessments!C:C,IF($E$4="",$B222,$E$4),Assessments!D:D,IF($E$5="",$C222,$E$5)))</f>
        <v/>
      </c>
      <c r="H222">
        <f>IF($E222="","",RANK($E222,$E$8:$E$507,0))</f>
        <v/>
      </c>
      <c r="I222">
        <f>IF($E222="","",IF($E222&gt;=85,"Excellent",IF($E222&gt;=70,"Good",IF($E222&gt;=50,"Fair","Needs Support"))))</f>
        <v/>
      </c>
    </row>
    <row r="223">
      <c r="A223">
        <f>IF(Students!A217="","",Students!A217)</f>
        <v/>
      </c>
      <c r="B223">
        <f>IF($A223="","",Students!B217)</f>
        <v/>
      </c>
      <c r="C223">
        <f>IF($A223="","",Students!C217)</f>
        <v/>
      </c>
      <c r="D223">
        <f>IF($A223="","",COUNTIFS(Assessments!G:G,$A223,Assessments!B:B,"&gt;="&amp;$B$4,Assessments!B:B,"&lt;="&amp;$B$5,Assessments!C:C,IF($E$4="",$B223,$E$4),Assessments!D:D,IF($E$5="",$C223,$E$5)))</f>
        <v/>
      </c>
      <c r="E223">
        <f>IF($D223=0,"",ROUND(AVERAGEIFS(Assessments!J:J,Assessments!G:G,$A223,Assessments!B:B,"&gt;="&amp;$B$4,Assessments!B:B,"&lt;="&amp;$B$5,Assessments!C:C,IF($E$4="",$B223,$E$4),Assessments!D:D,IF($E$5="",$C223,$E$5)),0))</f>
        <v/>
      </c>
      <c r="F223">
        <f>IF($D223=0,"",MAXIFS(Assessments!J:J,Assessments!G:G,$A223,Assessments!B:B,"&gt;="&amp;$B$4,Assessments!B:B,"&lt;="&amp;$B$5,Assessments!C:C,IF($E$4="",$B223,$E$4),Assessments!D:D,IF($E$5="",$C223,$E$5)))</f>
        <v/>
      </c>
      <c r="G223">
        <f>IF($D223=0,"",MINIFS(Assessments!J:J,Assessments!G:G,$A223,Assessments!B:B,"&gt;="&amp;$B$4,Assessments!B:B,"&lt;="&amp;$B$5,Assessments!C:C,IF($E$4="",$B223,$E$4),Assessments!D:D,IF($E$5="",$C223,$E$5)))</f>
        <v/>
      </c>
      <c r="H223">
        <f>IF($E223="","",RANK($E223,$E$8:$E$507,0))</f>
        <v/>
      </c>
      <c r="I223">
        <f>IF($E223="","",IF($E223&gt;=85,"Excellent",IF($E223&gt;=70,"Good",IF($E223&gt;=50,"Fair","Needs Support"))))</f>
        <v/>
      </c>
    </row>
    <row r="224">
      <c r="A224">
        <f>IF(Students!A218="","",Students!A218)</f>
        <v/>
      </c>
      <c r="B224">
        <f>IF($A224="","",Students!B218)</f>
        <v/>
      </c>
      <c r="C224">
        <f>IF($A224="","",Students!C218)</f>
        <v/>
      </c>
      <c r="D224">
        <f>IF($A224="","",COUNTIFS(Assessments!G:G,$A224,Assessments!B:B,"&gt;="&amp;$B$4,Assessments!B:B,"&lt;="&amp;$B$5,Assessments!C:C,IF($E$4="",$B224,$E$4),Assessments!D:D,IF($E$5="",$C224,$E$5)))</f>
        <v/>
      </c>
      <c r="E224">
        <f>IF($D224=0,"",ROUND(AVERAGEIFS(Assessments!J:J,Assessments!G:G,$A224,Assessments!B:B,"&gt;="&amp;$B$4,Assessments!B:B,"&lt;="&amp;$B$5,Assessments!C:C,IF($E$4="",$B224,$E$4),Assessments!D:D,IF($E$5="",$C224,$E$5)),0))</f>
        <v/>
      </c>
      <c r="F224">
        <f>IF($D224=0,"",MAXIFS(Assessments!J:J,Assessments!G:G,$A224,Assessments!B:B,"&gt;="&amp;$B$4,Assessments!B:B,"&lt;="&amp;$B$5,Assessments!C:C,IF($E$4="",$B224,$E$4),Assessments!D:D,IF($E$5="",$C224,$E$5)))</f>
        <v/>
      </c>
      <c r="G224">
        <f>IF($D224=0,"",MINIFS(Assessments!J:J,Assessments!G:G,$A224,Assessments!B:B,"&gt;="&amp;$B$4,Assessments!B:B,"&lt;="&amp;$B$5,Assessments!C:C,IF($E$4="",$B224,$E$4),Assessments!D:D,IF($E$5="",$C224,$E$5)))</f>
        <v/>
      </c>
      <c r="H224">
        <f>IF($E224="","",RANK($E224,$E$8:$E$507,0))</f>
        <v/>
      </c>
      <c r="I224">
        <f>IF($E224="","",IF($E224&gt;=85,"Excellent",IF($E224&gt;=70,"Good",IF($E224&gt;=50,"Fair","Needs Support"))))</f>
        <v/>
      </c>
    </row>
    <row r="225">
      <c r="A225">
        <f>IF(Students!A219="","",Students!A219)</f>
        <v/>
      </c>
      <c r="B225">
        <f>IF($A225="","",Students!B219)</f>
        <v/>
      </c>
      <c r="C225">
        <f>IF($A225="","",Students!C219)</f>
        <v/>
      </c>
      <c r="D225">
        <f>IF($A225="","",COUNTIFS(Assessments!G:G,$A225,Assessments!B:B,"&gt;="&amp;$B$4,Assessments!B:B,"&lt;="&amp;$B$5,Assessments!C:C,IF($E$4="",$B225,$E$4),Assessments!D:D,IF($E$5="",$C225,$E$5)))</f>
        <v/>
      </c>
      <c r="E225">
        <f>IF($D225=0,"",ROUND(AVERAGEIFS(Assessments!J:J,Assessments!G:G,$A225,Assessments!B:B,"&gt;="&amp;$B$4,Assessments!B:B,"&lt;="&amp;$B$5,Assessments!C:C,IF($E$4="",$B225,$E$4),Assessments!D:D,IF($E$5="",$C225,$E$5)),0))</f>
        <v/>
      </c>
      <c r="F225">
        <f>IF($D225=0,"",MAXIFS(Assessments!J:J,Assessments!G:G,$A225,Assessments!B:B,"&gt;="&amp;$B$4,Assessments!B:B,"&lt;="&amp;$B$5,Assessments!C:C,IF($E$4="",$B225,$E$4),Assessments!D:D,IF($E$5="",$C225,$E$5)))</f>
        <v/>
      </c>
      <c r="G225">
        <f>IF($D225=0,"",MINIFS(Assessments!J:J,Assessments!G:G,$A225,Assessments!B:B,"&gt;="&amp;$B$4,Assessments!B:B,"&lt;="&amp;$B$5,Assessments!C:C,IF($E$4="",$B225,$E$4),Assessments!D:D,IF($E$5="",$C225,$E$5)))</f>
        <v/>
      </c>
      <c r="H225">
        <f>IF($E225="","",RANK($E225,$E$8:$E$507,0))</f>
        <v/>
      </c>
      <c r="I225">
        <f>IF($E225="","",IF($E225&gt;=85,"Excellent",IF($E225&gt;=70,"Good",IF($E225&gt;=50,"Fair","Needs Support"))))</f>
        <v/>
      </c>
    </row>
    <row r="226">
      <c r="A226">
        <f>IF(Students!A220="","",Students!A220)</f>
        <v/>
      </c>
      <c r="B226">
        <f>IF($A226="","",Students!B220)</f>
        <v/>
      </c>
      <c r="C226">
        <f>IF($A226="","",Students!C220)</f>
        <v/>
      </c>
      <c r="D226">
        <f>IF($A226="","",COUNTIFS(Assessments!G:G,$A226,Assessments!B:B,"&gt;="&amp;$B$4,Assessments!B:B,"&lt;="&amp;$B$5,Assessments!C:C,IF($E$4="",$B226,$E$4),Assessments!D:D,IF($E$5="",$C226,$E$5)))</f>
        <v/>
      </c>
      <c r="E226">
        <f>IF($D226=0,"",ROUND(AVERAGEIFS(Assessments!J:J,Assessments!G:G,$A226,Assessments!B:B,"&gt;="&amp;$B$4,Assessments!B:B,"&lt;="&amp;$B$5,Assessments!C:C,IF($E$4="",$B226,$E$4),Assessments!D:D,IF($E$5="",$C226,$E$5)),0))</f>
        <v/>
      </c>
      <c r="F226">
        <f>IF($D226=0,"",MAXIFS(Assessments!J:J,Assessments!G:G,$A226,Assessments!B:B,"&gt;="&amp;$B$4,Assessments!B:B,"&lt;="&amp;$B$5,Assessments!C:C,IF($E$4="",$B226,$E$4),Assessments!D:D,IF($E$5="",$C226,$E$5)))</f>
        <v/>
      </c>
      <c r="G226">
        <f>IF($D226=0,"",MINIFS(Assessments!J:J,Assessments!G:G,$A226,Assessments!B:B,"&gt;="&amp;$B$4,Assessments!B:B,"&lt;="&amp;$B$5,Assessments!C:C,IF($E$4="",$B226,$E$4),Assessments!D:D,IF($E$5="",$C226,$E$5)))</f>
        <v/>
      </c>
      <c r="H226">
        <f>IF($E226="","",RANK($E226,$E$8:$E$507,0))</f>
        <v/>
      </c>
      <c r="I226">
        <f>IF($E226="","",IF($E226&gt;=85,"Excellent",IF($E226&gt;=70,"Good",IF($E226&gt;=50,"Fair","Needs Support"))))</f>
        <v/>
      </c>
    </row>
    <row r="227">
      <c r="A227">
        <f>IF(Students!A221="","",Students!A221)</f>
        <v/>
      </c>
      <c r="B227">
        <f>IF($A227="","",Students!B221)</f>
        <v/>
      </c>
      <c r="C227">
        <f>IF($A227="","",Students!C221)</f>
        <v/>
      </c>
      <c r="D227">
        <f>IF($A227="","",COUNTIFS(Assessments!G:G,$A227,Assessments!B:B,"&gt;="&amp;$B$4,Assessments!B:B,"&lt;="&amp;$B$5,Assessments!C:C,IF($E$4="",$B227,$E$4),Assessments!D:D,IF($E$5="",$C227,$E$5)))</f>
        <v/>
      </c>
      <c r="E227">
        <f>IF($D227=0,"",ROUND(AVERAGEIFS(Assessments!J:J,Assessments!G:G,$A227,Assessments!B:B,"&gt;="&amp;$B$4,Assessments!B:B,"&lt;="&amp;$B$5,Assessments!C:C,IF($E$4="",$B227,$E$4),Assessments!D:D,IF($E$5="",$C227,$E$5)),0))</f>
        <v/>
      </c>
      <c r="F227">
        <f>IF($D227=0,"",MAXIFS(Assessments!J:J,Assessments!G:G,$A227,Assessments!B:B,"&gt;="&amp;$B$4,Assessments!B:B,"&lt;="&amp;$B$5,Assessments!C:C,IF($E$4="",$B227,$E$4),Assessments!D:D,IF($E$5="",$C227,$E$5)))</f>
        <v/>
      </c>
      <c r="G227">
        <f>IF($D227=0,"",MINIFS(Assessments!J:J,Assessments!G:G,$A227,Assessments!B:B,"&gt;="&amp;$B$4,Assessments!B:B,"&lt;="&amp;$B$5,Assessments!C:C,IF($E$4="",$B227,$E$4),Assessments!D:D,IF($E$5="",$C227,$E$5)))</f>
        <v/>
      </c>
      <c r="H227">
        <f>IF($E227="","",RANK($E227,$E$8:$E$507,0))</f>
        <v/>
      </c>
      <c r="I227">
        <f>IF($E227="","",IF($E227&gt;=85,"Excellent",IF($E227&gt;=70,"Good",IF($E227&gt;=50,"Fair","Needs Support"))))</f>
        <v/>
      </c>
    </row>
    <row r="228">
      <c r="A228">
        <f>IF(Students!A222="","",Students!A222)</f>
        <v/>
      </c>
      <c r="B228">
        <f>IF($A228="","",Students!B222)</f>
        <v/>
      </c>
      <c r="C228">
        <f>IF($A228="","",Students!C222)</f>
        <v/>
      </c>
      <c r="D228">
        <f>IF($A228="","",COUNTIFS(Assessments!G:G,$A228,Assessments!B:B,"&gt;="&amp;$B$4,Assessments!B:B,"&lt;="&amp;$B$5,Assessments!C:C,IF($E$4="",$B228,$E$4),Assessments!D:D,IF($E$5="",$C228,$E$5)))</f>
        <v/>
      </c>
      <c r="E228">
        <f>IF($D228=0,"",ROUND(AVERAGEIFS(Assessments!J:J,Assessments!G:G,$A228,Assessments!B:B,"&gt;="&amp;$B$4,Assessments!B:B,"&lt;="&amp;$B$5,Assessments!C:C,IF($E$4="",$B228,$E$4),Assessments!D:D,IF($E$5="",$C228,$E$5)),0))</f>
        <v/>
      </c>
      <c r="F228">
        <f>IF($D228=0,"",MAXIFS(Assessments!J:J,Assessments!G:G,$A228,Assessments!B:B,"&gt;="&amp;$B$4,Assessments!B:B,"&lt;="&amp;$B$5,Assessments!C:C,IF($E$4="",$B228,$E$4),Assessments!D:D,IF($E$5="",$C228,$E$5)))</f>
        <v/>
      </c>
      <c r="G228">
        <f>IF($D228=0,"",MINIFS(Assessments!J:J,Assessments!G:G,$A228,Assessments!B:B,"&gt;="&amp;$B$4,Assessments!B:B,"&lt;="&amp;$B$5,Assessments!C:C,IF($E$4="",$B228,$E$4),Assessments!D:D,IF($E$5="",$C228,$E$5)))</f>
        <v/>
      </c>
      <c r="H228">
        <f>IF($E228="","",RANK($E228,$E$8:$E$507,0))</f>
        <v/>
      </c>
      <c r="I228">
        <f>IF($E228="","",IF($E228&gt;=85,"Excellent",IF($E228&gt;=70,"Good",IF($E228&gt;=50,"Fair","Needs Support"))))</f>
        <v/>
      </c>
    </row>
    <row r="229">
      <c r="A229">
        <f>IF(Students!A223="","",Students!A223)</f>
        <v/>
      </c>
      <c r="B229">
        <f>IF($A229="","",Students!B223)</f>
        <v/>
      </c>
      <c r="C229">
        <f>IF($A229="","",Students!C223)</f>
        <v/>
      </c>
      <c r="D229">
        <f>IF($A229="","",COUNTIFS(Assessments!G:G,$A229,Assessments!B:B,"&gt;="&amp;$B$4,Assessments!B:B,"&lt;="&amp;$B$5,Assessments!C:C,IF($E$4="",$B229,$E$4),Assessments!D:D,IF($E$5="",$C229,$E$5)))</f>
        <v/>
      </c>
      <c r="E229">
        <f>IF($D229=0,"",ROUND(AVERAGEIFS(Assessments!J:J,Assessments!G:G,$A229,Assessments!B:B,"&gt;="&amp;$B$4,Assessments!B:B,"&lt;="&amp;$B$5,Assessments!C:C,IF($E$4="",$B229,$E$4),Assessments!D:D,IF($E$5="",$C229,$E$5)),0))</f>
        <v/>
      </c>
      <c r="F229">
        <f>IF($D229=0,"",MAXIFS(Assessments!J:J,Assessments!G:G,$A229,Assessments!B:B,"&gt;="&amp;$B$4,Assessments!B:B,"&lt;="&amp;$B$5,Assessments!C:C,IF($E$4="",$B229,$E$4),Assessments!D:D,IF($E$5="",$C229,$E$5)))</f>
        <v/>
      </c>
      <c r="G229">
        <f>IF($D229=0,"",MINIFS(Assessments!J:J,Assessments!G:G,$A229,Assessments!B:B,"&gt;="&amp;$B$4,Assessments!B:B,"&lt;="&amp;$B$5,Assessments!C:C,IF($E$4="",$B229,$E$4),Assessments!D:D,IF($E$5="",$C229,$E$5)))</f>
        <v/>
      </c>
      <c r="H229">
        <f>IF($E229="","",RANK($E229,$E$8:$E$507,0))</f>
        <v/>
      </c>
      <c r="I229">
        <f>IF($E229="","",IF($E229&gt;=85,"Excellent",IF($E229&gt;=70,"Good",IF($E229&gt;=50,"Fair","Needs Support"))))</f>
        <v/>
      </c>
    </row>
    <row r="230">
      <c r="A230">
        <f>IF(Students!A224="","",Students!A224)</f>
        <v/>
      </c>
      <c r="B230">
        <f>IF($A230="","",Students!B224)</f>
        <v/>
      </c>
      <c r="C230">
        <f>IF($A230="","",Students!C224)</f>
        <v/>
      </c>
      <c r="D230">
        <f>IF($A230="","",COUNTIFS(Assessments!G:G,$A230,Assessments!B:B,"&gt;="&amp;$B$4,Assessments!B:B,"&lt;="&amp;$B$5,Assessments!C:C,IF($E$4="",$B230,$E$4),Assessments!D:D,IF($E$5="",$C230,$E$5)))</f>
        <v/>
      </c>
      <c r="E230">
        <f>IF($D230=0,"",ROUND(AVERAGEIFS(Assessments!J:J,Assessments!G:G,$A230,Assessments!B:B,"&gt;="&amp;$B$4,Assessments!B:B,"&lt;="&amp;$B$5,Assessments!C:C,IF($E$4="",$B230,$E$4),Assessments!D:D,IF($E$5="",$C230,$E$5)),0))</f>
        <v/>
      </c>
      <c r="F230">
        <f>IF($D230=0,"",MAXIFS(Assessments!J:J,Assessments!G:G,$A230,Assessments!B:B,"&gt;="&amp;$B$4,Assessments!B:B,"&lt;="&amp;$B$5,Assessments!C:C,IF($E$4="",$B230,$E$4),Assessments!D:D,IF($E$5="",$C230,$E$5)))</f>
        <v/>
      </c>
      <c r="G230">
        <f>IF($D230=0,"",MINIFS(Assessments!J:J,Assessments!G:G,$A230,Assessments!B:B,"&gt;="&amp;$B$4,Assessments!B:B,"&lt;="&amp;$B$5,Assessments!C:C,IF($E$4="",$B230,$E$4),Assessments!D:D,IF($E$5="",$C230,$E$5)))</f>
        <v/>
      </c>
      <c r="H230">
        <f>IF($E230="","",RANK($E230,$E$8:$E$507,0))</f>
        <v/>
      </c>
      <c r="I230">
        <f>IF($E230="","",IF($E230&gt;=85,"Excellent",IF($E230&gt;=70,"Good",IF($E230&gt;=50,"Fair","Needs Support"))))</f>
        <v/>
      </c>
    </row>
    <row r="231">
      <c r="A231">
        <f>IF(Students!A225="","",Students!A225)</f>
        <v/>
      </c>
      <c r="B231">
        <f>IF($A231="","",Students!B225)</f>
        <v/>
      </c>
      <c r="C231">
        <f>IF($A231="","",Students!C225)</f>
        <v/>
      </c>
      <c r="D231">
        <f>IF($A231="","",COUNTIFS(Assessments!G:G,$A231,Assessments!B:B,"&gt;="&amp;$B$4,Assessments!B:B,"&lt;="&amp;$B$5,Assessments!C:C,IF($E$4="",$B231,$E$4),Assessments!D:D,IF($E$5="",$C231,$E$5)))</f>
        <v/>
      </c>
      <c r="E231">
        <f>IF($D231=0,"",ROUND(AVERAGEIFS(Assessments!J:J,Assessments!G:G,$A231,Assessments!B:B,"&gt;="&amp;$B$4,Assessments!B:B,"&lt;="&amp;$B$5,Assessments!C:C,IF($E$4="",$B231,$E$4),Assessments!D:D,IF($E$5="",$C231,$E$5)),0))</f>
        <v/>
      </c>
      <c r="F231">
        <f>IF($D231=0,"",MAXIFS(Assessments!J:J,Assessments!G:G,$A231,Assessments!B:B,"&gt;="&amp;$B$4,Assessments!B:B,"&lt;="&amp;$B$5,Assessments!C:C,IF($E$4="",$B231,$E$4),Assessments!D:D,IF($E$5="",$C231,$E$5)))</f>
        <v/>
      </c>
      <c r="G231">
        <f>IF($D231=0,"",MINIFS(Assessments!J:J,Assessments!G:G,$A231,Assessments!B:B,"&gt;="&amp;$B$4,Assessments!B:B,"&lt;="&amp;$B$5,Assessments!C:C,IF($E$4="",$B231,$E$4),Assessments!D:D,IF($E$5="",$C231,$E$5)))</f>
        <v/>
      </c>
      <c r="H231">
        <f>IF($E231="","",RANK($E231,$E$8:$E$507,0))</f>
        <v/>
      </c>
      <c r="I231">
        <f>IF($E231="","",IF($E231&gt;=85,"Excellent",IF($E231&gt;=70,"Good",IF($E231&gt;=50,"Fair","Needs Support"))))</f>
        <v/>
      </c>
    </row>
    <row r="232">
      <c r="A232">
        <f>IF(Students!A226="","",Students!A226)</f>
        <v/>
      </c>
      <c r="B232">
        <f>IF($A232="","",Students!B226)</f>
        <v/>
      </c>
      <c r="C232">
        <f>IF($A232="","",Students!C226)</f>
        <v/>
      </c>
      <c r="D232">
        <f>IF($A232="","",COUNTIFS(Assessments!G:G,$A232,Assessments!B:B,"&gt;="&amp;$B$4,Assessments!B:B,"&lt;="&amp;$B$5,Assessments!C:C,IF($E$4="",$B232,$E$4),Assessments!D:D,IF($E$5="",$C232,$E$5)))</f>
        <v/>
      </c>
      <c r="E232">
        <f>IF($D232=0,"",ROUND(AVERAGEIFS(Assessments!J:J,Assessments!G:G,$A232,Assessments!B:B,"&gt;="&amp;$B$4,Assessments!B:B,"&lt;="&amp;$B$5,Assessments!C:C,IF($E$4="",$B232,$E$4),Assessments!D:D,IF($E$5="",$C232,$E$5)),0))</f>
        <v/>
      </c>
      <c r="F232">
        <f>IF($D232=0,"",MAXIFS(Assessments!J:J,Assessments!G:G,$A232,Assessments!B:B,"&gt;="&amp;$B$4,Assessments!B:B,"&lt;="&amp;$B$5,Assessments!C:C,IF($E$4="",$B232,$E$4),Assessments!D:D,IF($E$5="",$C232,$E$5)))</f>
        <v/>
      </c>
      <c r="G232">
        <f>IF($D232=0,"",MINIFS(Assessments!J:J,Assessments!G:G,$A232,Assessments!B:B,"&gt;="&amp;$B$4,Assessments!B:B,"&lt;="&amp;$B$5,Assessments!C:C,IF($E$4="",$B232,$E$4),Assessments!D:D,IF($E$5="",$C232,$E$5)))</f>
        <v/>
      </c>
      <c r="H232">
        <f>IF($E232="","",RANK($E232,$E$8:$E$507,0))</f>
        <v/>
      </c>
      <c r="I232">
        <f>IF($E232="","",IF($E232&gt;=85,"Excellent",IF($E232&gt;=70,"Good",IF($E232&gt;=50,"Fair","Needs Support"))))</f>
        <v/>
      </c>
    </row>
    <row r="233">
      <c r="A233">
        <f>IF(Students!A227="","",Students!A227)</f>
        <v/>
      </c>
      <c r="B233">
        <f>IF($A233="","",Students!B227)</f>
        <v/>
      </c>
      <c r="C233">
        <f>IF($A233="","",Students!C227)</f>
        <v/>
      </c>
      <c r="D233">
        <f>IF($A233="","",COUNTIFS(Assessments!G:G,$A233,Assessments!B:B,"&gt;="&amp;$B$4,Assessments!B:B,"&lt;="&amp;$B$5,Assessments!C:C,IF($E$4="",$B233,$E$4),Assessments!D:D,IF($E$5="",$C233,$E$5)))</f>
        <v/>
      </c>
      <c r="E233">
        <f>IF($D233=0,"",ROUND(AVERAGEIFS(Assessments!J:J,Assessments!G:G,$A233,Assessments!B:B,"&gt;="&amp;$B$4,Assessments!B:B,"&lt;="&amp;$B$5,Assessments!C:C,IF($E$4="",$B233,$E$4),Assessments!D:D,IF($E$5="",$C233,$E$5)),0))</f>
        <v/>
      </c>
      <c r="F233">
        <f>IF($D233=0,"",MAXIFS(Assessments!J:J,Assessments!G:G,$A233,Assessments!B:B,"&gt;="&amp;$B$4,Assessments!B:B,"&lt;="&amp;$B$5,Assessments!C:C,IF($E$4="",$B233,$E$4),Assessments!D:D,IF($E$5="",$C233,$E$5)))</f>
        <v/>
      </c>
      <c r="G233">
        <f>IF($D233=0,"",MINIFS(Assessments!J:J,Assessments!G:G,$A233,Assessments!B:B,"&gt;="&amp;$B$4,Assessments!B:B,"&lt;="&amp;$B$5,Assessments!C:C,IF($E$4="",$B233,$E$4),Assessments!D:D,IF($E$5="",$C233,$E$5)))</f>
        <v/>
      </c>
      <c r="H233">
        <f>IF($E233="","",RANK($E233,$E$8:$E$507,0))</f>
        <v/>
      </c>
      <c r="I233">
        <f>IF($E233="","",IF($E233&gt;=85,"Excellent",IF($E233&gt;=70,"Good",IF($E233&gt;=50,"Fair","Needs Support"))))</f>
        <v/>
      </c>
    </row>
    <row r="234">
      <c r="A234">
        <f>IF(Students!A228="","",Students!A228)</f>
        <v/>
      </c>
      <c r="B234">
        <f>IF($A234="","",Students!B228)</f>
        <v/>
      </c>
      <c r="C234">
        <f>IF($A234="","",Students!C228)</f>
        <v/>
      </c>
      <c r="D234">
        <f>IF($A234="","",COUNTIFS(Assessments!G:G,$A234,Assessments!B:B,"&gt;="&amp;$B$4,Assessments!B:B,"&lt;="&amp;$B$5,Assessments!C:C,IF($E$4="",$B234,$E$4),Assessments!D:D,IF($E$5="",$C234,$E$5)))</f>
        <v/>
      </c>
      <c r="E234">
        <f>IF($D234=0,"",ROUND(AVERAGEIFS(Assessments!J:J,Assessments!G:G,$A234,Assessments!B:B,"&gt;="&amp;$B$4,Assessments!B:B,"&lt;="&amp;$B$5,Assessments!C:C,IF($E$4="",$B234,$E$4),Assessments!D:D,IF($E$5="",$C234,$E$5)),0))</f>
        <v/>
      </c>
      <c r="F234">
        <f>IF($D234=0,"",MAXIFS(Assessments!J:J,Assessments!G:G,$A234,Assessments!B:B,"&gt;="&amp;$B$4,Assessments!B:B,"&lt;="&amp;$B$5,Assessments!C:C,IF($E$4="",$B234,$E$4),Assessments!D:D,IF($E$5="",$C234,$E$5)))</f>
        <v/>
      </c>
      <c r="G234">
        <f>IF($D234=0,"",MINIFS(Assessments!J:J,Assessments!G:G,$A234,Assessments!B:B,"&gt;="&amp;$B$4,Assessments!B:B,"&lt;="&amp;$B$5,Assessments!C:C,IF($E$4="",$B234,$E$4),Assessments!D:D,IF($E$5="",$C234,$E$5)))</f>
        <v/>
      </c>
      <c r="H234">
        <f>IF($E234="","",RANK($E234,$E$8:$E$507,0))</f>
        <v/>
      </c>
      <c r="I234">
        <f>IF($E234="","",IF($E234&gt;=85,"Excellent",IF($E234&gt;=70,"Good",IF($E234&gt;=50,"Fair","Needs Support"))))</f>
        <v/>
      </c>
    </row>
    <row r="235">
      <c r="A235">
        <f>IF(Students!A229="","",Students!A229)</f>
        <v/>
      </c>
      <c r="B235">
        <f>IF($A235="","",Students!B229)</f>
        <v/>
      </c>
      <c r="C235">
        <f>IF($A235="","",Students!C229)</f>
        <v/>
      </c>
      <c r="D235">
        <f>IF($A235="","",COUNTIFS(Assessments!G:G,$A235,Assessments!B:B,"&gt;="&amp;$B$4,Assessments!B:B,"&lt;="&amp;$B$5,Assessments!C:C,IF($E$4="",$B235,$E$4),Assessments!D:D,IF($E$5="",$C235,$E$5)))</f>
        <v/>
      </c>
      <c r="E235">
        <f>IF($D235=0,"",ROUND(AVERAGEIFS(Assessments!J:J,Assessments!G:G,$A235,Assessments!B:B,"&gt;="&amp;$B$4,Assessments!B:B,"&lt;="&amp;$B$5,Assessments!C:C,IF($E$4="",$B235,$E$4),Assessments!D:D,IF($E$5="",$C235,$E$5)),0))</f>
        <v/>
      </c>
      <c r="F235">
        <f>IF($D235=0,"",MAXIFS(Assessments!J:J,Assessments!G:G,$A235,Assessments!B:B,"&gt;="&amp;$B$4,Assessments!B:B,"&lt;="&amp;$B$5,Assessments!C:C,IF($E$4="",$B235,$E$4),Assessments!D:D,IF($E$5="",$C235,$E$5)))</f>
        <v/>
      </c>
      <c r="G235">
        <f>IF($D235=0,"",MINIFS(Assessments!J:J,Assessments!G:G,$A235,Assessments!B:B,"&gt;="&amp;$B$4,Assessments!B:B,"&lt;="&amp;$B$5,Assessments!C:C,IF($E$4="",$B235,$E$4),Assessments!D:D,IF($E$5="",$C235,$E$5)))</f>
        <v/>
      </c>
      <c r="H235">
        <f>IF($E235="","",RANK($E235,$E$8:$E$507,0))</f>
        <v/>
      </c>
      <c r="I235">
        <f>IF($E235="","",IF($E235&gt;=85,"Excellent",IF($E235&gt;=70,"Good",IF($E235&gt;=50,"Fair","Needs Support"))))</f>
        <v/>
      </c>
    </row>
    <row r="236">
      <c r="A236">
        <f>IF(Students!A230="","",Students!A230)</f>
        <v/>
      </c>
      <c r="B236">
        <f>IF($A236="","",Students!B230)</f>
        <v/>
      </c>
      <c r="C236">
        <f>IF($A236="","",Students!C230)</f>
        <v/>
      </c>
      <c r="D236">
        <f>IF($A236="","",COUNTIFS(Assessments!G:G,$A236,Assessments!B:B,"&gt;="&amp;$B$4,Assessments!B:B,"&lt;="&amp;$B$5,Assessments!C:C,IF($E$4="",$B236,$E$4),Assessments!D:D,IF($E$5="",$C236,$E$5)))</f>
        <v/>
      </c>
      <c r="E236">
        <f>IF($D236=0,"",ROUND(AVERAGEIFS(Assessments!J:J,Assessments!G:G,$A236,Assessments!B:B,"&gt;="&amp;$B$4,Assessments!B:B,"&lt;="&amp;$B$5,Assessments!C:C,IF($E$4="",$B236,$E$4),Assessments!D:D,IF($E$5="",$C236,$E$5)),0))</f>
        <v/>
      </c>
      <c r="F236">
        <f>IF($D236=0,"",MAXIFS(Assessments!J:J,Assessments!G:G,$A236,Assessments!B:B,"&gt;="&amp;$B$4,Assessments!B:B,"&lt;="&amp;$B$5,Assessments!C:C,IF($E$4="",$B236,$E$4),Assessments!D:D,IF($E$5="",$C236,$E$5)))</f>
        <v/>
      </c>
      <c r="G236">
        <f>IF($D236=0,"",MINIFS(Assessments!J:J,Assessments!G:G,$A236,Assessments!B:B,"&gt;="&amp;$B$4,Assessments!B:B,"&lt;="&amp;$B$5,Assessments!C:C,IF($E$4="",$B236,$E$4),Assessments!D:D,IF($E$5="",$C236,$E$5)))</f>
        <v/>
      </c>
      <c r="H236">
        <f>IF($E236="","",RANK($E236,$E$8:$E$507,0))</f>
        <v/>
      </c>
      <c r="I236">
        <f>IF($E236="","",IF($E236&gt;=85,"Excellent",IF($E236&gt;=70,"Good",IF($E236&gt;=50,"Fair","Needs Support"))))</f>
        <v/>
      </c>
    </row>
    <row r="237">
      <c r="A237">
        <f>IF(Students!A231="","",Students!A231)</f>
        <v/>
      </c>
      <c r="B237">
        <f>IF($A237="","",Students!B231)</f>
        <v/>
      </c>
      <c r="C237">
        <f>IF($A237="","",Students!C231)</f>
        <v/>
      </c>
      <c r="D237">
        <f>IF($A237="","",COUNTIFS(Assessments!G:G,$A237,Assessments!B:B,"&gt;="&amp;$B$4,Assessments!B:B,"&lt;="&amp;$B$5,Assessments!C:C,IF($E$4="",$B237,$E$4),Assessments!D:D,IF($E$5="",$C237,$E$5)))</f>
        <v/>
      </c>
      <c r="E237">
        <f>IF($D237=0,"",ROUND(AVERAGEIFS(Assessments!J:J,Assessments!G:G,$A237,Assessments!B:B,"&gt;="&amp;$B$4,Assessments!B:B,"&lt;="&amp;$B$5,Assessments!C:C,IF($E$4="",$B237,$E$4),Assessments!D:D,IF($E$5="",$C237,$E$5)),0))</f>
        <v/>
      </c>
      <c r="F237">
        <f>IF($D237=0,"",MAXIFS(Assessments!J:J,Assessments!G:G,$A237,Assessments!B:B,"&gt;="&amp;$B$4,Assessments!B:B,"&lt;="&amp;$B$5,Assessments!C:C,IF($E$4="",$B237,$E$4),Assessments!D:D,IF($E$5="",$C237,$E$5)))</f>
        <v/>
      </c>
      <c r="G237">
        <f>IF($D237=0,"",MINIFS(Assessments!J:J,Assessments!G:G,$A237,Assessments!B:B,"&gt;="&amp;$B$4,Assessments!B:B,"&lt;="&amp;$B$5,Assessments!C:C,IF($E$4="",$B237,$E$4),Assessments!D:D,IF($E$5="",$C237,$E$5)))</f>
        <v/>
      </c>
      <c r="H237">
        <f>IF($E237="","",RANK($E237,$E$8:$E$507,0))</f>
        <v/>
      </c>
      <c r="I237">
        <f>IF($E237="","",IF($E237&gt;=85,"Excellent",IF($E237&gt;=70,"Good",IF($E237&gt;=50,"Fair","Needs Support"))))</f>
        <v/>
      </c>
    </row>
    <row r="238">
      <c r="A238">
        <f>IF(Students!A232="","",Students!A232)</f>
        <v/>
      </c>
      <c r="B238">
        <f>IF($A238="","",Students!B232)</f>
        <v/>
      </c>
      <c r="C238">
        <f>IF($A238="","",Students!C232)</f>
        <v/>
      </c>
      <c r="D238">
        <f>IF($A238="","",COUNTIFS(Assessments!G:G,$A238,Assessments!B:B,"&gt;="&amp;$B$4,Assessments!B:B,"&lt;="&amp;$B$5,Assessments!C:C,IF($E$4="",$B238,$E$4),Assessments!D:D,IF($E$5="",$C238,$E$5)))</f>
        <v/>
      </c>
      <c r="E238">
        <f>IF($D238=0,"",ROUND(AVERAGEIFS(Assessments!J:J,Assessments!G:G,$A238,Assessments!B:B,"&gt;="&amp;$B$4,Assessments!B:B,"&lt;="&amp;$B$5,Assessments!C:C,IF($E$4="",$B238,$E$4),Assessments!D:D,IF($E$5="",$C238,$E$5)),0))</f>
        <v/>
      </c>
      <c r="F238">
        <f>IF($D238=0,"",MAXIFS(Assessments!J:J,Assessments!G:G,$A238,Assessments!B:B,"&gt;="&amp;$B$4,Assessments!B:B,"&lt;="&amp;$B$5,Assessments!C:C,IF($E$4="",$B238,$E$4),Assessments!D:D,IF($E$5="",$C238,$E$5)))</f>
        <v/>
      </c>
      <c r="G238">
        <f>IF($D238=0,"",MINIFS(Assessments!J:J,Assessments!G:G,$A238,Assessments!B:B,"&gt;="&amp;$B$4,Assessments!B:B,"&lt;="&amp;$B$5,Assessments!C:C,IF($E$4="",$B238,$E$4),Assessments!D:D,IF($E$5="",$C238,$E$5)))</f>
        <v/>
      </c>
      <c r="H238">
        <f>IF($E238="","",RANK($E238,$E$8:$E$507,0))</f>
        <v/>
      </c>
      <c r="I238">
        <f>IF($E238="","",IF($E238&gt;=85,"Excellent",IF($E238&gt;=70,"Good",IF($E238&gt;=50,"Fair","Needs Support"))))</f>
        <v/>
      </c>
    </row>
    <row r="239">
      <c r="A239">
        <f>IF(Students!A233="","",Students!A233)</f>
        <v/>
      </c>
      <c r="B239">
        <f>IF($A239="","",Students!B233)</f>
        <v/>
      </c>
      <c r="C239">
        <f>IF($A239="","",Students!C233)</f>
        <v/>
      </c>
      <c r="D239">
        <f>IF($A239="","",COUNTIFS(Assessments!G:G,$A239,Assessments!B:B,"&gt;="&amp;$B$4,Assessments!B:B,"&lt;="&amp;$B$5,Assessments!C:C,IF($E$4="",$B239,$E$4),Assessments!D:D,IF($E$5="",$C239,$E$5)))</f>
        <v/>
      </c>
      <c r="E239">
        <f>IF($D239=0,"",ROUND(AVERAGEIFS(Assessments!J:J,Assessments!G:G,$A239,Assessments!B:B,"&gt;="&amp;$B$4,Assessments!B:B,"&lt;="&amp;$B$5,Assessments!C:C,IF($E$4="",$B239,$E$4),Assessments!D:D,IF($E$5="",$C239,$E$5)),0))</f>
        <v/>
      </c>
      <c r="F239">
        <f>IF($D239=0,"",MAXIFS(Assessments!J:J,Assessments!G:G,$A239,Assessments!B:B,"&gt;="&amp;$B$4,Assessments!B:B,"&lt;="&amp;$B$5,Assessments!C:C,IF($E$4="",$B239,$E$4),Assessments!D:D,IF($E$5="",$C239,$E$5)))</f>
        <v/>
      </c>
      <c r="G239">
        <f>IF($D239=0,"",MINIFS(Assessments!J:J,Assessments!G:G,$A239,Assessments!B:B,"&gt;="&amp;$B$4,Assessments!B:B,"&lt;="&amp;$B$5,Assessments!C:C,IF($E$4="",$B239,$E$4),Assessments!D:D,IF($E$5="",$C239,$E$5)))</f>
        <v/>
      </c>
      <c r="H239">
        <f>IF($E239="","",RANK($E239,$E$8:$E$507,0))</f>
        <v/>
      </c>
      <c r="I239">
        <f>IF($E239="","",IF($E239&gt;=85,"Excellent",IF($E239&gt;=70,"Good",IF($E239&gt;=50,"Fair","Needs Support"))))</f>
        <v/>
      </c>
    </row>
    <row r="240">
      <c r="A240">
        <f>IF(Students!A234="","",Students!A234)</f>
        <v/>
      </c>
      <c r="B240">
        <f>IF($A240="","",Students!B234)</f>
        <v/>
      </c>
      <c r="C240">
        <f>IF($A240="","",Students!C234)</f>
        <v/>
      </c>
      <c r="D240">
        <f>IF($A240="","",COUNTIFS(Assessments!G:G,$A240,Assessments!B:B,"&gt;="&amp;$B$4,Assessments!B:B,"&lt;="&amp;$B$5,Assessments!C:C,IF($E$4="",$B240,$E$4),Assessments!D:D,IF($E$5="",$C240,$E$5)))</f>
        <v/>
      </c>
      <c r="E240">
        <f>IF($D240=0,"",ROUND(AVERAGEIFS(Assessments!J:J,Assessments!G:G,$A240,Assessments!B:B,"&gt;="&amp;$B$4,Assessments!B:B,"&lt;="&amp;$B$5,Assessments!C:C,IF($E$4="",$B240,$E$4),Assessments!D:D,IF($E$5="",$C240,$E$5)),0))</f>
        <v/>
      </c>
      <c r="F240">
        <f>IF($D240=0,"",MAXIFS(Assessments!J:J,Assessments!G:G,$A240,Assessments!B:B,"&gt;="&amp;$B$4,Assessments!B:B,"&lt;="&amp;$B$5,Assessments!C:C,IF($E$4="",$B240,$E$4),Assessments!D:D,IF($E$5="",$C240,$E$5)))</f>
        <v/>
      </c>
      <c r="G240">
        <f>IF($D240=0,"",MINIFS(Assessments!J:J,Assessments!G:G,$A240,Assessments!B:B,"&gt;="&amp;$B$4,Assessments!B:B,"&lt;="&amp;$B$5,Assessments!C:C,IF($E$4="",$B240,$E$4),Assessments!D:D,IF($E$5="",$C240,$E$5)))</f>
        <v/>
      </c>
      <c r="H240">
        <f>IF($E240="","",RANK($E240,$E$8:$E$507,0))</f>
        <v/>
      </c>
      <c r="I240">
        <f>IF($E240="","",IF($E240&gt;=85,"Excellent",IF($E240&gt;=70,"Good",IF($E240&gt;=50,"Fair","Needs Support"))))</f>
        <v/>
      </c>
    </row>
    <row r="241">
      <c r="A241">
        <f>IF(Students!A235="","",Students!A235)</f>
        <v/>
      </c>
      <c r="B241">
        <f>IF($A241="","",Students!B235)</f>
        <v/>
      </c>
      <c r="C241">
        <f>IF($A241="","",Students!C235)</f>
        <v/>
      </c>
      <c r="D241">
        <f>IF($A241="","",COUNTIFS(Assessments!G:G,$A241,Assessments!B:B,"&gt;="&amp;$B$4,Assessments!B:B,"&lt;="&amp;$B$5,Assessments!C:C,IF($E$4="",$B241,$E$4),Assessments!D:D,IF($E$5="",$C241,$E$5)))</f>
        <v/>
      </c>
      <c r="E241">
        <f>IF($D241=0,"",ROUND(AVERAGEIFS(Assessments!J:J,Assessments!G:G,$A241,Assessments!B:B,"&gt;="&amp;$B$4,Assessments!B:B,"&lt;="&amp;$B$5,Assessments!C:C,IF($E$4="",$B241,$E$4),Assessments!D:D,IF($E$5="",$C241,$E$5)),0))</f>
        <v/>
      </c>
      <c r="F241">
        <f>IF($D241=0,"",MAXIFS(Assessments!J:J,Assessments!G:G,$A241,Assessments!B:B,"&gt;="&amp;$B$4,Assessments!B:B,"&lt;="&amp;$B$5,Assessments!C:C,IF($E$4="",$B241,$E$4),Assessments!D:D,IF($E$5="",$C241,$E$5)))</f>
        <v/>
      </c>
      <c r="G241">
        <f>IF($D241=0,"",MINIFS(Assessments!J:J,Assessments!G:G,$A241,Assessments!B:B,"&gt;="&amp;$B$4,Assessments!B:B,"&lt;="&amp;$B$5,Assessments!C:C,IF($E$4="",$B241,$E$4),Assessments!D:D,IF($E$5="",$C241,$E$5)))</f>
        <v/>
      </c>
      <c r="H241">
        <f>IF($E241="","",RANK($E241,$E$8:$E$507,0))</f>
        <v/>
      </c>
      <c r="I241">
        <f>IF($E241="","",IF($E241&gt;=85,"Excellent",IF($E241&gt;=70,"Good",IF($E241&gt;=50,"Fair","Needs Support"))))</f>
        <v/>
      </c>
    </row>
    <row r="242">
      <c r="A242">
        <f>IF(Students!A236="","",Students!A236)</f>
        <v/>
      </c>
      <c r="B242">
        <f>IF($A242="","",Students!B236)</f>
        <v/>
      </c>
      <c r="C242">
        <f>IF($A242="","",Students!C236)</f>
        <v/>
      </c>
      <c r="D242">
        <f>IF($A242="","",COUNTIFS(Assessments!G:G,$A242,Assessments!B:B,"&gt;="&amp;$B$4,Assessments!B:B,"&lt;="&amp;$B$5,Assessments!C:C,IF($E$4="",$B242,$E$4),Assessments!D:D,IF($E$5="",$C242,$E$5)))</f>
        <v/>
      </c>
      <c r="E242">
        <f>IF($D242=0,"",ROUND(AVERAGEIFS(Assessments!J:J,Assessments!G:G,$A242,Assessments!B:B,"&gt;="&amp;$B$4,Assessments!B:B,"&lt;="&amp;$B$5,Assessments!C:C,IF($E$4="",$B242,$E$4),Assessments!D:D,IF($E$5="",$C242,$E$5)),0))</f>
        <v/>
      </c>
      <c r="F242">
        <f>IF($D242=0,"",MAXIFS(Assessments!J:J,Assessments!G:G,$A242,Assessments!B:B,"&gt;="&amp;$B$4,Assessments!B:B,"&lt;="&amp;$B$5,Assessments!C:C,IF($E$4="",$B242,$E$4),Assessments!D:D,IF($E$5="",$C242,$E$5)))</f>
        <v/>
      </c>
      <c r="G242">
        <f>IF($D242=0,"",MINIFS(Assessments!J:J,Assessments!G:G,$A242,Assessments!B:B,"&gt;="&amp;$B$4,Assessments!B:B,"&lt;="&amp;$B$5,Assessments!C:C,IF($E$4="",$B242,$E$4),Assessments!D:D,IF($E$5="",$C242,$E$5)))</f>
        <v/>
      </c>
      <c r="H242">
        <f>IF($E242="","",RANK($E242,$E$8:$E$507,0))</f>
        <v/>
      </c>
      <c r="I242">
        <f>IF($E242="","",IF($E242&gt;=85,"Excellent",IF($E242&gt;=70,"Good",IF($E242&gt;=50,"Fair","Needs Support"))))</f>
        <v/>
      </c>
    </row>
    <row r="243">
      <c r="A243">
        <f>IF(Students!A237="","",Students!A237)</f>
        <v/>
      </c>
      <c r="B243">
        <f>IF($A243="","",Students!B237)</f>
        <v/>
      </c>
      <c r="C243">
        <f>IF($A243="","",Students!C237)</f>
        <v/>
      </c>
      <c r="D243">
        <f>IF($A243="","",COUNTIFS(Assessments!G:G,$A243,Assessments!B:B,"&gt;="&amp;$B$4,Assessments!B:B,"&lt;="&amp;$B$5,Assessments!C:C,IF($E$4="",$B243,$E$4),Assessments!D:D,IF($E$5="",$C243,$E$5)))</f>
        <v/>
      </c>
      <c r="E243">
        <f>IF($D243=0,"",ROUND(AVERAGEIFS(Assessments!J:J,Assessments!G:G,$A243,Assessments!B:B,"&gt;="&amp;$B$4,Assessments!B:B,"&lt;="&amp;$B$5,Assessments!C:C,IF($E$4="",$B243,$E$4),Assessments!D:D,IF($E$5="",$C243,$E$5)),0))</f>
        <v/>
      </c>
      <c r="F243">
        <f>IF($D243=0,"",MAXIFS(Assessments!J:J,Assessments!G:G,$A243,Assessments!B:B,"&gt;="&amp;$B$4,Assessments!B:B,"&lt;="&amp;$B$5,Assessments!C:C,IF($E$4="",$B243,$E$4),Assessments!D:D,IF($E$5="",$C243,$E$5)))</f>
        <v/>
      </c>
      <c r="G243">
        <f>IF($D243=0,"",MINIFS(Assessments!J:J,Assessments!G:G,$A243,Assessments!B:B,"&gt;="&amp;$B$4,Assessments!B:B,"&lt;="&amp;$B$5,Assessments!C:C,IF($E$4="",$B243,$E$4),Assessments!D:D,IF($E$5="",$C243,$E$5)))</f>
        <v/>
      </c>
      <c r="H243">
        <f>IF($E243="","",RANK($E243,$E$8:$E$507,0))</f>
        <v/>
      </c>
      <c r="I243">
        <f>IF($E243="","",IF($E243&gt;=85,"Excellent",IF($E243&gt;=70,"Good",IF($E243&gt;=50,"Fair","Needs Support"))))</f>
        <v/>
      </c>
    </row>
    <row r="244">
      <c r="A244">
        <f>IF(Students!A238="","",Students!A238)</f>
        <v/>
      </c>
      <c r="B244">
        <f>IF($A244="","",Students!B238)</f>
        <v/>
      </c>
      <c r="C244">
        <f>IF($A244="","",Students!C238)</f>
        <v/>
      </c>
      <c r="D244">
        <f>IF($A244="","",COUNTIFS(Assessments!G:G,$A244,Assessments!B:B,"&gt;="&amp;$B$4,Assessments!B:B,"&lt;="&amp;$B$5,Assessments!C:C,IF($E$4="",$B244,$E$4),Assessments!D:D,IF($E$5="",$C244,$E$5)))</f>
        <v/>
      </c>
      <c r="E244">
        <f>IF($D244=0,"",ROUND(AVERAGEIFS(Assessments!J:J,Assessments!G:G,$A244,Assessments!B:B,"&gt;="&amp;$B$4,Assessments!B:B,"&lt;="&amp;$B$5,Assessments!C:C,IF($E$4="",$B244,$E$4),Assessments!D:D,IF($E$5="",$C244,$E$5)),0))</f>
        <v/>
      </c>
      <c r="F244">
        <f>IF($D244=0,"",MAXIFS(Assessments!J:J,Assessments!G:G,$A244,Assessments!B:B,"&gt;="&amp;$B$4,Assessments!B:B,"&lt;="&amp;$B$5,Assessments!C:C,IF($E$4="",$B244,$E$4),Assessments!D:D,IF($E$5="",$C244,$E$5)))</f>
        <v/>
      </c>
      <c r="G244">
        <f>IF($D244=0,"",MINIFS(Assessments!J:J,Assessments!G:G,$A244,Assessments!B:B,"&gt;="&amp;$B$4,Assessments!B:B,"&lt;="&amp;$B$5,Assessments!C:C,IF($E$4="",$B244,$E$4),Assessments!D:D,IF($E$5="",$C244,$E$5)))</f>
        <v/>
      </c>
      <c r="H244">
        <f>IF($E244="","",RANK($E244,$E$8:$E$507,0))</f>
        <v/>
      </c>
      <c r="I244">
        <f>IF($E244="","",IF($E244&gt;=85,"Excellent",IF($E244&gt;=70,"Good",IF($E244&gt;=50,"Fair","Needs Support"))))</f>
        <v/>
      </c>
    </row>
    <row r="245">
      <c r="A245">
        <f>IF(Students!A239="","",Students!A239)</f>
        <v/>
      </c>
      <c r="B245">
        <f>IF($A245="","",Students!B239)</f>
        <v/>
      </c>
      <c r="C245">
        <f>IF($A245="","",Students!C239)</f>
        <v/>
      </c>
      <c r="D245">
        <f>IF($A245="","",COUNTIFS(Assessments!G:G,$A245,Assessments!B:B,"&gt;="&amp;$B$4,Assessments!B:B,"&lt;="&amp;$B$5,Assessments!C:C,IF($E$4="",$B245,$E$4),Assessments!D:D,IF($E$5="",$C245,$E$5)))</f>
        <v/>
      </c>
      <c r="E245">
        <f>IF($D245=0,"",ROUND(AVERAGEIFS(Assessments!J:J,Assessments!G:G,$A245,Assessments!B:B,"&gt;="&amp;$B$4,Assessments!B:B,"&lt;="&amp;$B$5,Assessments!C:C,IF($E$4="",$B245,$E$4),Assessments!D:D,IF($E$5="",$C245,$E$5)),0))</f>
        <v/>
      </c>
      <c r="F245">
        <f>IF($D245=0,"",MAXIFS(Assessments!J:J,Assessments!G:G,$A245,Assessments!B:B,"&gt;="&amp;$B$4,Assessments!B:B,"&lt;="&amp;$B$5,Assessments!C:C,IF($E$4="",$B245,$E$4),Assessments!D:D,IF($E$5="",$C245,$E$5)))</f>
        <v/>
      </c>
      <c r="G245">
        <f>IF($D245=0,"",MINIFS(Assessments!J:J,Assessments!G:G,$A245,Assessments!B:B,"&gt;="&amp;$B$4,Assessments!B:B,"&lt;="&amp;$B$5,Assessments!C:C,IF($E$4="",$B245,$E$4),Assessments!D:D,IF($E$5="",$C245,$E$5)))</f>
        <v/>
      </c>
      <c r="H245">
        <f>IF($E245="","",RANK($E245,$E$8:$E$507,0))</f>
        <v/>
      </c>
      <c r="I245">
        <f>IF($E245="","",IF($E245&gt;=85,"Excellent",IF($E245&gt;=70,"Good",IF($E245&gt;=50,"Fair","Needs Support"))))</f>
        <v/>
      </c>
    </row>
    <row r="246">
      <c r="A246">
        <f>IF(Students!A240="","",Students!A240)</f>
        <v/>
      </c>
      <c r="B246">
        <f>IF($A246="","",Students!B240)</f>
        <v/>
      </c>
      <c r="C246">
        <f>IF($A246="","",Students!C240)</f>
        <v/>
      </c>
      <c r="D246">
        <f>IF($A246="","",COUNTIFS(Assessments!G:G,$A246,Assessments!B:B,"&gt;="&amp;$B$4,Assessments!B:B,"&lt;="&amp;$B$5,Assessments!C:C,IF($E$4="",$B246,$E$4),Assessments!D:D,IF($E$5="",$C246,$E$5)))</f>
        <v/>
      </c>
      <c r="E246">
        <f>IF($D246=0,"",ROUND(AVERAGEIFS(Assessments!J:J,Assessments!G:G,$A246,Assessments!B:B,"&gt;="&amp;$B$4,Assessments!B:B,"&lt;="&amp;$B$5,Assessments!C:C,IF($E$4="",$B246,$E$4),Assessments!D:D,IF($E$5="",$C246,$E$5)),0))</f>
        <v/>
      </c>
      <c r="F246">
        <f>IF($D246=0,"",MAXIFS(Assessments!J:J,Assessments!G:G,$A246,Assessments!B:B,"&gt;="&amp;$B$4,Assessments!B:B,"&lt;="&amp;$B$5,Assessments!C:C,IF($E$4="",$B246,$E$4),Assessments!D:D,IF($E$5="",$C246,$E$5)))</f>
        <v/>
      </c>
      <c r="G246">
        <f>IF($D246=0,"",MINIFS(Assessments!J:J,Assessments!G:G,$A246,Assessments!B:B,"&gt;="&amp;$B$4,Assessments!B:B,"&lt;="&amp;$B$5,Assessments!C:C,IF($E$4="",$B246,$E$4),Assessments!D:D,IF($E$5="",$C246,$E$5)))</f>
        <v/>
      </c>
      <c r="H246">
        <f>IF($E246="","",RANK($E246,$E$8:$E$507,0))</f>
        <v/>
      </c>
      <c r="I246">
        <f>IF($E246="","",IF($E246&gt;=85,"Excellent",IF($E246&gt;=70,"Good",IF($E246&gt;=50,"Fair","Needs Support"))))</f>
        <v/>
      </c>
    </row>
    <row r="247">
      <c r="A247">
        <f>IF(Students!A241="","",Students!A241)</f>
        <v/>
      </c>
      <c r="B247">
        <f>IF($A247="","",Students!B241)</f>
        <v/>
      </c>
      <c r="C247">
        <f>IF($A247="","",Students!C241)</f>
        <v/>
      </c>
      <c r="D247">
        <f>IF($A247="","",COUNTIFS(Assessments!G:G,$A247,Assessments!B:B,"&gt;="&amp;$B$4,Assessments!B:B,"&lt;="&amp;$B$5,Assessments!C:C,IF($E$4="",$B247,$E$4),Assessments!D:D,IF($E$5="",$C247,$E$5)))</f>
        <v/>
      </c>
      <c r="E247">
        <f>IF($D247=0,"",ROUND(AVERAGEIFS(Assessments!J:J,Assessments!G:G,$A247,Assessments!B:B,"&gt;="&amp;$B$4,Assessments!B:B,"&lt;="&amp;$B$5,Assessments!C:C,IF($E$4="",$B247,$E$4),Assessments!D:D,IF($E$5="",$C247,$E$5)),0))</f>
        <v/>
      </c>
      <c r="F247">
        <f>IF($D247=0,"",MAXIFS(Assessments!J:J,Assessments!G:G,$A247,Assessments!B:B,"&gt;="&amp;$B$4,Assessments!B:B,"&lt;="&amp;$B$5,Assessments!C:C,IF($E$4="",$B247,$E$4),Assessments!D:D,IF($E$5="",$C247,$E$5)))</f>
        <v/>
      </c>
      <c r="G247">
        <f>IF($D247=0,"",MINIFS(Assessments!J:J,Assessments!G:G,$A247,Assessments!B:B,"&gt;="&amp;$B$4,Assessments!B:B,"&lt;="&amp;$B$5,Assessments!C:C,IF($E$4="",$B247,$E$4),Assessments!D:D,IF($E$5="",$C247,$E$5)))</f>
        <v/>
      </c>
      <c r="H247">
        <f>IF($E247="","",RANK($E247,$E$8:$E$507,0))</f>
        <v/>
      </c>
      <c r="I247">
        <f>IF($E247="","",IF($E247&gt;=85,"Excellent",IF($E247&gt;=70,"Good",IF($E247&gt;=50,"Fair","Needs Support"))))</f>
        <v/>
      </c>
    </row>
    <row r="248">
      <c r="A248">
        <f>IF(Students!A242="","",Students!A242)</f>
        <v/>
      </c>
      <c r="B248">
        <f>IF($A248="","",Students!B242)</f>
        <v/>
      </c>
      <c r="C248">
        <f>IF($A248="","",Students!C242)</f>
        <v/>
      </c>
      <c r="D248">
        <f>IF($A248="","",COUNTIFS(Assessments!G:G,$A248,Assessments!B:B,"&gt;="&amp;$B$4,Assessments!B:B,"&lt;="&amp;$B$5,Assessments!C:C,IF($E$4="",$B248,$E$4),Assessments!D:D,IF($E$5="",$C248,$E$5)))</f>
        <v/>
      </c>
      <c r="E248">
        <f>IF($D248=0,"",ROUND(AVERAGEIFS(Assessments!J:J,Assessments!G:G,$A248,Assessments!B:B,"&gt;="&amp;$B$4,Assessments!B:B,"&lt;="&amp;$B$5,Assessments!C:C,IF($E$4="",$B248,$E$4),Assessments!D:D,IF($E$5="",$C248,$E$5)),0))</f>
        <v/>
      </c>
      <c r="F248">
        <f>IF($D248=0,"",MAXIFS(Assessments!J:J,Assessments!G:G,$A248,Assessments!B:B,"&gt;="&amp;$B$4,Assessments!B:B,"&lt;="&amp;$B$5,Assessments!C:C,IF($E$4="",$B248,$E$4),Assessments!D:D,IF($E$5="",$C248,$E$5)))</f>
        <v/>
      </c>
      <c r="G248">
        <f>IF($D248=0,"",MINIFS(Assessments!J:J,Assessments!G:G,$A248,Assessments!B:B,"&gt;="&amp;$B$4,Assessments!B:B,"&lt;="&amp;$B$5,Assessments!C:C,IF($E$4="",$B248,$E$4),Assessments!D:D,IF($E$5="",$C248,$E$5)))</f>
        <v/>
      </c>
      <c r="H248">
        <f>IF($E248="","",RANK($E248,$E$8:$E$507,0))</f>
        <v/>
      </c>
      <c r="I248">
        <f>IF($E248="","",IF($E248&gt;=85,"Excellent",IF($E248&gt;=70,"Good",IF($E248&gt;=50,"Fair","Needs Support"))))</f>
        <v/>
      </c>
    </row>
    <row r="249">
      <c r="A249">
        <f>IF(Students!A243="","",Students!A243)</f>
        <v/>
      </c>
      <c r="B249">
        <f>IF($A249="","",Students!B243)</f>
        <v/>
      </c>
      <c r="C249">
        <f>IF($A249="","",Students!C243)</f>
        <v/>
      </c>
      <c r="D249">
        <f>IF($A249="","",COUNTIFS(Assessments!G:G,$A249,Assessments!B:B,"&gt;="&amp;$B$4,Assessments!B:B,"&lt;="&amp;$B$5,Assessments!C:C,IF($E$4="",$B249,$E$4),Assessments!D:D,IF($E$5="",$C249,$E$5)))</f>
        <v/>
      </c>
      <c r="E249">
        <f>IF($D249=0,"",ROUND(AVERAGEIFS(Assessments!J:J,Assessments!G:G,$A249,Assessments!B:B,"&gt;="&amp;$B$4,Assessments!B:B,"&lt;="&amp;$B$5,Assessments!C:C,IF($E$4="",$B249,$E$4),Assessments!D:D,IF($E$5="",$C249,$E$5)),0))</f>
        <v/>
      </c>
      <c r="F249">
        <f>IF($D249=0,"",MAXIFS(Assessments!J:J,Assessments!G:G,$A249,Assessments!B:B,"&gt;="&amp;$B$4,Assessments!B:B,"&lt;="&amp;$B$5,Assessments!C:C,IF($E$4="",$B249,$E$4),Assessments!D:D,IF($E$5="",$C249,$E$5)))</f>
        <v/>
      </c>
      <c r="G249">
        <f>IF($D249=0,"",MINIFS(Assessments!J:J,Assessments!G:G,$A249,Assessments!B:B,"&gt;="&amp;$B$4,Assessments!B:B,"&lt;="&amp;$B$5,Assessments!C:C,IF($E$4="",$B249,$E$4),Assessments!D:D,IF($E$5="",$C249,$E$5)))</f>
        <v/>
      </c>
      <c r="H249">
        <f>IF($E249="","",RANK($E249,$E$8:$E$507,0))</f>
        <v/>
      </c>
      <c r="I249">
        <f>IF($E249="","",IF($E249&gt;=85,"Excellent",IF($E249&gt;=70,"Good",IF($E249&gt;=50,"Fair","Needs Support"))))</f>
        <v/>
      </c>
    </row>
    <row r="250">
      <c r="A250">
        <f>IF(Students!A244="","",Students!A244)</f>
        <v/>
      </c>
      <c r="B250">
        <f>IF($A250="","",Students!B244)</f>
        <v/>
      </c>
      <c r="C250">
        <f>IF($A250="","",Students!C244)</f>
        <v/>
      </c>
      <c r="D250">
        <f>IF($A250="","",COUNTIFS(Assessments!G:G,$A250,Assessments!B:B,"&gt;="&amp;$B$4,Assessments!B:B,"&lt;="&amp;$B$5,Assessments!C:C,IF($E$4="",$B250,$E$4),Assessments!D:D,IF($E$5="",$C250,$E$5)))</f>
        <v/>
      </c>
      <c r="E250">
        <f>IF($D250=0,"",ROUND(AVERAGEIFS(Assessments!J:J,Assessments!G:G,$A250,Assessments!B:B,"&gt;="&amp;$B$4,Assessments!B:B,"&lt;="&amp;$B$5,Assessments!C:C,IF($E$4="",$B250,$E$4),Assessments!D:D,IF($E$5="",$C250,$E$5)),0))</f>
        <v/>
      </c>
      <c r="F250">
        <f>IF($D250=0,"",MAXIFS(Assessments!J:J,Assessments!G:G,$A250,Assessments!B:B,"&gt;="&amp;$B$4,Assessments!B:B,"&lt;="&amp;$B$5,Assessments!C:C,IF($E$4="",$B250,$E$4),Assessments!D:D,IF($E$5="",$C250,$E$5)))</f>
        <v/>
      </c>
      <c r="G250">
        <f>IF($D250=0,"",MINIFS(Assessments!J:J,Assessments!G:G,$A250,Assessments!B:B,"&gt;="&amp;$B$4,Assessments!B:B,"&lt;="&amp;$B$5,Assessments!C:C,IF($E$4="",$B250,$E$4),Assessments!D:D,IF($E$5="",$C250,$E$5)))</f>
        <v/>
      </c>
      <c r="H250">
        <f>IF($E250="","",RANK($E250,$E$8:$E$507,0))</f>
        <v/>
      </c>
      <c r="I250">
        <f>IF($E250="","",IF($E250&gt;=85,"Excellent",IF($E250&gt;=70,"Good",IF($E250&gt;=50,"Fair","Needs Support"))))</f>
        <v/>
      </c>
    </row>
    <row r="251">
      <c r="A251">
        <f>IF(Students!A245="","",Students!A245)</f>
        <v/>
      </c>
      <c r="B251">
        <f>IF($A251="","",Students!B245)</f>
        <v/>
      </c>
      <c r="C251">
        <f>IF($A251="","",Students!C245)</f>
        <v/>
      </c>
      <c r="D251">
        <f>IF($A251="","",COUNTIFS(Assessments!G:G,$A251,Assessments!B:B,"&gt;="&amp;$B$4,Assessments!B:B,"&lt;="&amp;$B$5,Assessments!C:C,IF($E$4="",$B251,$E$4),Assessments!D:D,IF($E$5="",$C251,$E$5)))</f>
        <v/>
      </c>
      <c r="E251">
        <f>IF($D251=0,"",ROUND(AVERAGEIFS(Assessments!J:J,Assessments!G:G,$A251,Assessments!B:B,"&gt;="&amp;$B$4,Assessments!B:B,"&lt;="&amp;$B$5,Assessments!C:C,IF($E$4="",$B251,$E$4),Assessments!D:D,IF($E$5="",$C251,$E$5)),0))</f>
        <v/>
      </c>
      <c r="F251">
        <f>IF($D251=0,"",MAXIFS(Assessments!J:J,Assessments!G:G,$A251,Assessments!B:B,"&gt;="&amp;$B$4,Assessments!B:B,"&lt;="&amp;$B$5,Assessments!C:C,IF($E$4="",$B251,$E$4),Assessments!D:D,IF($E$5="",$C251,$E$5)))</f>
        <v/>
      </c>
      <c r="G251">
        <f>IF($D251=0,"",MINIFS(Assessments!J:J,Assessments!G:G,$A251,Assessments!B:B,"&gt;="&amp;$B$4,Assessments!B:B,"&lt;="&amp;$B$5,Assessments!C:C,IF($E$4="",$B251,$E$4),Assessments!D:D,IF($E$5="",$C251,$E$5)))</f>
        <v/>
      </c>
      <c r="H251">
        <f>IF($E251="","",RANK($E251,$E$8:$E$507,0))</f>
        <v/>
      </c>
      <c r="I251">
        <f>IF($E251="","",IF($E251&gt;=85,"Excellent",IF($E251&gt;=70,"Good",IF($E251&gt;=50,"Fair","Needs Support"))))</f>
        <v/>
      </c>
    </row>
    <row r="252">
      <c r="A252">
        <f>IF(Students!A246="","",Students!A246)</f>
        <v/>
      </c>
      <c r="B252">
        <f>IF($A252="","",Students!B246)</f>
        <v/>
      </c>
      <c r="C252">
        <f>IF($A252="","",Students!C246)</f>
        <v/>
      </c>
      <c r="D252">
        <f>IF($A252="","",COUNTIFS(Assessments!G:G,$A252,Assessments!B:B,"&gt;="&amp;$B$4,Assessments!B:B,"&lt;="&amp;$B$5,Assessments!C:C,IF($E$4="",$B252,$E$4),Assessments!D:D,IF($E$5="",$C252,$E$5)))</f>
        <v/>
      </c>
      <c r="E252">
        <f>IF($D252=0,"",ROUND(AVERAGEIFS(Assessments!J:J,Assessments!G:G,$A252,Assessments!B:B,"&gt;="&amp;$B$4,Assessments!B:B,"&lt;="&amp;$B$5,Assessments!C:C,IF($E$4="",$B252,$E$4),Assessments!D:D,IF($E$5="",$C252,$E$5)),0))</f>
        <v/>
      </c>
      <c r="F252">
        <f>IF($D252=0,"",MAXIFS(Assessments!J:J,Assessments!G:G,$A252,Assessments!B:B,"&gt;="&amp;$B$4,Assessments!B:B,"&lt;="&amp;$B$5,Assessments!C:C,IF($E$4="",$B252,$E$4),Assessments!D:D,IF($E$5="",$C252,$E$5)))</f>
        <v/>
      </c>
      <c r="G252">
        <f>IF($D252=0,"",MINIFS(Assessments!J:J,Assessments!G:G,$A252,Assessments!B:B,"&gt;="&amp;$B$4,Assessments!B:B,"&lt;="&amp;$B$5,Assessments!C:C,IF($E$4="",$B252,$E$4),Assessments!D:D,IF($E$5="",$C252,$E$5)))</f>
        <v/>
      </c>
      <c r="H252">
        <f>IF($E252="","",RANK($E252,$E$8:$E$507,0))</f>
        <v/>
      </c>
      <c r="I252">
        <f>IF($E252="","",IF($E252&gt;=85,"Excellent",IF($E252&gt;=70,"Good",IF($E252&gt;=50,"Fair","Needs Support"))))</f>
        <v/>
      </c>
    </row>
    <row r="253">
      <c r="A253">
        <f>IF(Students!A247="","",Students!A247)</f>
        <v/>
      </c>
      <c r="B253">
        <f>IF($A253="","",Students!B247)</f>
        <v/>
      </c>
      <c r="C253">
        <f>IF($A253="","",Students!C247)</f>
        <v/>
      </c>
      <c r="D253">
        <f>IF($A253="","",COUNTIFS(Assessments!G:G,$A253,Assessments!B:B,"&gt;="&amp;$B$4,Assessments!B:B,"&lt;="&amp;$B$5,Assessments!C:C,IF($E$4="",$B253,$E$4),Assessments!D:D,IF($E$5="",$C253,$E$5)))</f>
        <v/>
      </c>
      <c r="E253">
        <f>IF($D253=0,"",ROUND(AVERAGEIFS(Assessments!J:J,Assessments!G:G,$A253,Assessments!B:B,"&gt;="&amp;$B$4,Assessments!B:B,"&lt;="&amp;$B$5,Assessments!C:C,IF($E$4="",$B253,$E$4),Assessments!D:D,IF($E$5="",$C253,$E$5)),0))</f>
        <v/>
      </c>
      <c r="F253">
        <f>IF($D253=0,"",MAXIFS(Assessments!J:J,Assessments!G:G,$A253,Assessments!B:B,"&gt;="&amp;$B$4,Assessments!B:B,"&lt;="&amp;$B$5,Assessments!C:C,IF($E$4="",$B253,$E$4),Assessments!D:D,IF($E$5="",$C253,$E$5)))</f>
        <v/>
      </c>
      <c r="G253">
        <f>IF($D253=0,"",MINIFS(Assessments!J:J,Assessments!G:G,$A253,Assessments!B:B,"&gt;="&amp;$B$4,Assessments!B:B,"&lt;="&amp;$B$5,Assessments!C:C,IF($E$4="",$B253,$E$4),Assessments!D:D,IF($E$5="",$C253,$E$5)))</f>
        <v/>
      </c>
      <c r="H253">
        <f>IF($E253="","",RANK($E253,$E$8:$E$507,0))</f>
        <v/>
      </c>
      <c r="I253">
        <f>IF($E253="","",IF($E253&gt;=85,"Excellent",IF($E253&gt;=70,"Good",IF($E253&gt;=50,"Fair","Needs Support"))))</f>
        <v/>
      </c>
    </row>
    <row r="254">
      <c r="A254">
        <f>IF(Students!A248="","",Students!A248)</f>
        <v/>
      </c>
      <c r="B254">
        <f>IF($A254="","",Students!B248)</f>
        <v/>
      </c>
      <c r="C254">
        <f>IF($A254="","",Students!C248)</f>
        <v/>
      </c>
      <c r="D254">
        <f>IF($A254="","",COUNTIFS(Assessments!G:G,$A254,Assessments!B:B,"&gt;="&amp;$B$4,Assessments!B:B,"&lt;="&amp;$B$5,Assessments!C:C,IF($E$4="",$B254,$E$4),Assessments!D:D,IF($E$5="",$C254,$E$5)))</f>
        <v/>
      </c>
      <c r="E254">
        <f>IF($D254=0,"",ROUND(AVERAGEIFS(Assessments!J:J,Assessments!G:G,$A254,Assessments!B:B,"&gt;="&amp;$B$4,Assessments!B:B,"&lt;="&amp;$B$5,Assessments!C:C,IF($E$4="",$B254,$E$4),Assessments!D:D,IF($E$5="",$C254,$E$5)),0))</f>
        <v/>
      </c>
      <c r="F254">
        <f>IF($D254=0,"",MAXIFS(Assessments!J:J,Assessments!G:G,$A254,Assessments!B:B,"&gt;="&amp;$B$4,Assessments!B:B,"&lt;="&amp;$B$5,Assessments!C:C,IF($E$4="",$B254,$E$4),Assessments!D:D,IF($E$5="",$C254,$E$5)))</f>
        <v/>
      </c>
      <c r="G254">
        <f>IF($D254=0,"",MINIFS(Assessments!J:J,Assessments!G:G,$A254,Assessments!B:B,"&gt;="&amp;$B$4,Assessments!B:B,"&lt;="&amp;$B$5,Assessments!C:C,IF($E$4="",$B254,$E$4),Assessments!D:D,IF($E$5="",$C254,$E$5)))</f>
        <v/>
      </c>
      <c r="H254">
        <f>IF($E254="","",RANK($E254,$E$8:$E$507,0))</f>
        <v/>
      </c>
      <c r="I254">
        <f>IF($E254="","",IF($E254&gt;=85,"Excellent",IF($E254&gt;=70,"Good",IF($E254&gt;=50,"Fair","Needs Support"))))</f>
        <v/>
      </c>
    </row>
    <row r="255">
      <c r="A255">
        <f>IF(Students!A249="","",Students!A249)</f>
        <v/>
      </c>
      <c r="B255">
        <f>IF($A255="","",Students!B249)</f>
        <v/>
      </c>
      <c r="C255">
        <f>IF($A255="","",Students!C249)</f>
        <v/>
      </c>
      <c r="D255">
        <f>IF($A255="","",COUNTIFS(Assessments!G:G,$A255,Assessments!B:B,"&gt;="&amp;$B$4,Assessments!B:B,"&lt;="&amp;$B$5,Assessments!C:C,IF($E$4="",$B255,$E$4),Assessments!D:D,IF($E$5="",$C255,$E$5)))</f>
        <v/>
      </c>
      <c r="E255">
        <f>IF($D255=0,"",ROUND(AVERAGEIFS(Assessments!J:J,Assessments!G:G,$A255,Assessments!B:B,"&gt;="&amp;$B$4,Assessments!B:B,"&lt;="&amp;$B$5,Assessments!C:C,IF($E$4="",$B255,$E$4),Assessments!D:D,IF($E$5="",$C255,$E$5)),0))</f>
        <v/>
      </c>
      <c r="F255">
        <f>IF($D255=0,"",MAXIFS(Assessments!J:J,Assessments!G:G,$A255,Assessments!B:B,"&gt;="&amp;$B$4,Assessments!B:B,"&lt;="&amp;$B$5,Assessments!C:C,IF($E$4="",$B255,$E$4),Assessments!D:D,IF($E$5="",$C255,$E$5)))</f>
        <v/>
      </c>
      <c r="G255">
        <f>IF($D255=0,"",MINIFS(Assessments!J:J,Assessments!G:G,$A255,Assessments!B:B,"&gt;="&amp;$B$4,Assessments!B:B,"&lt;="&amp;$B$5,Assessments!C:C,IF($E$4="",$B255,$E$4),Assessments!D:D,IF($E$5="",$C255,$E$5)))</f>
        <v/>
      </c>
      <c r="H255">
        <f>IF($E255="","",RANK($E255,$E$8:$E$507,0))</f>
        <v/>
      </c>
      <c r="I255">
        <f>IF($E255="","",IF($E255&gt;=85,"Excellent",IF($E255&gt;=70,"Good",IF($E255&gt;=50,"Fair","Needs Support"))))</f>
        <v/>
      </c>
    </row>
    <row r="256">
      <c r="A256">
        <f>IF(Students!A250="","",Students!A250)</f>
        <v/>
      </c>
      <c r="B256">
        <f>IF($A256="","",Students!B250)</f>
        <v/>
      </c>
      <c r="C256">
        <f>IF($A256="","",Students!C250)</f>
        <v/>
      </c>
      <c r="D256">
        <f>IF($A256="","",COUNTIFS(Assessments!G:G,$A256,Assessments!B:B,"&gt;="&amp;$B$4,Assessments!B:B,"&lt;="&amp;$B$5,Assessments!C:C,IF($E$4="",$B256,$E$4),Assessments!D:D,IF($E$5="",$C256,$E$5)))</f>
        <v/>
      </c>
      <c r="E256">
        <f>IF($D256=0,"",ROUND(AVERAGEIFS(Assessments!J:J,Assessments!G:G,$A256,Assessments!B:B,"&gt;="&amp;$B$4,Assessments!B:B,"&lt;="&amp;$B$5,Assessments!C:C,IF($E$4="",$B256,$E$4),Assessments!D:D,IF($E$5="",$C256,$E$5)),0))</f>
        <v/>
      </c>
      <c r="F256">
        <f>IF($D256=0,"",MAXIFS(Assessments!J:J,Assessments!G:G,$A256,Assessments!B:B,"&gt;="&amp;$B$4,Assessments!B:B,"&lt;="&amp;$B$5,Assessments!C:C,IF($E$4="",$B256,$E$4),Assessments!D:D,IF($E$5="",$C256,$E$5)))</f>
        <v/>
      </c>
      <c r="G256">
        <f>IF($D256=0,"",MINIFS(Assessments!J:J,Assessments!G:G,$A256,Assessments!B:B,"&gt;="&amp;$B$4,Assessments!B:B,"&lt;="&amp;$B$5,Assessments!C:C,IF($E$4="",$B256,$E$4),Assessments!D:D,IF($E$5="",$C256,$E$5)))</f>
        <v/>
      </c>
      <c r="H256">
        <f>IF($E256="","",RANK($E256,$E$8:$E$507,0))</f>
        <v/>
      </c>
      <c r="I256">
        <f>IF($E256="","",IF($E256&gt;=85,"Excellent",IF($E256&gt;=70,"Good",IF($E256&gt;=50,"Fair","Needs Support"))))</f>
        <v/>
      </c>
    </row>
    <row r="257">
      <c r="A257">
        <f>IF(Students!A251="","",Students!A251)</f>
        <v/>
      </c>
      <c r="B257">
        <f>IF($A257="","",Students!B251)</f>
        <v/>
      </c>
      <c r="C257">
        <f>IF($A257="","",Students!C251)</f>
        <v/>
      </c>
      <c r="D257">
        <f>IF($A257="","",COUNTIFS(Assessments!G:G,$A257,Assessments!B:B,"&gt;="&amp;$B$4,Assessments!B:B,"&lt;="&amp;$B$5,Assessments!C:C,IF($E$4="",$B257,$E$4),Assessments!D:D,IF($E$5="",$C257,$E$5)))</f>
        <v/>
      </c>
      <c r="E257">
        <f>IF($D257=0,"",ROUND(AVERAGEIFS(Assessments!J:J,Assessments!G:G,$A257,Assessments!B:B,"&gt;="&amp;$B$4,Assessments!B:B,"&lt;="&amp;$B$5,Assessments!C:C,IF($E$4="",$B257,$E$4),Assessments!D:D,IF($E$5="",$C257,$E$5)),0))</f>
        <v/>
      </c>
      <c r="F257">
        <f>IF($D257=0,"",MAXIFS(Assessments!J:J,Assessments!G:G,$A257,Assessments!B:B,"&gt;="&amp;$B$4,Assessments!B:B,"&lt;="&amp;$B$5,Assessments!C:C,IF($E$4="",$B257,$E$4),Assessments!D:D,IF($E$5="",$C257,$E$5)))</f>
        <v/>
      </c>
      <c r="G257">
        <f>IF($D257=0,"",MINIFS(Assessments!J:J,Assessments!G:G,$A257,Assessments!B:B,"&gt;="&amp;$B$4,Assessments!B:B,"&lt;="&amp;$B$5,Assessments!C:C,IF($E$4="",$B257,$E$4),Assessments!D:D,IF($E$5="",$C257,$E$5)))</f>
        <v/>
      </c>
      <c r="H257">
        <f>IF($E257="","",RANK($E257,$E$8:$E$507,0))</f>
        <v/>
      </c>
      <c r="I257">
        <f>IF($E257="","",IF($E257&gt;=85,"Excellent",IF($E257&gt;=70,"Good",IF($E257&gt;=50,"Fair","Needs Support"))))</f>
        <v/>
      </c>
    </row>
    <row r="258">
      <c r="A258">
        <f>IF(Students!A252="","",Students!A252)</f>
        <v/>
      </c>
      <c r="B258">
        <f>IF($A258="","",Students!B252)</f>
        <v/>
      </c>
      <c r="C258">
        <f>IF($A258="","",Students!C252)</f>
        <v/>
      </c>
      <c r="D258">
        <f>IF($A258="","",COUNTIFS(Assessments!G:G,$A258,Assessments!B:B,"&gt;="&amp;$B$4,Assessments!B:B,"&lt;="&amp;$B$5,Assessments!C:C,IF($E$4="",$B258,$E$4),Assessments!D:D,IF($E$5="",$C258,$E$5)))</f>
        <v/>
      </c>
      <c r="E258">
        <f>IF($D258=0,"",ROUND(AVERAGEIFS(Assessments!J:J,Assessments!G:G,$A258,Assessments!B:B,"&gt;="&amp;$B$4,Assessments!B:B,"&lt;="&amp;$B$5,Assessments!C:C,IF($E$4="",$B258,$E$4),Assessments!D:D,IF($E$5="",$C258,$E$5)),0))</f>
        <v/>
      </c>
      <c r="F258">
        <f>IF($D258=0,"",MAXIFS(Assessments!J:J,Assessments!G:G,$A258,Assessments!B:B,"&gt;="&amp;$B$4,Assessments!B:B,"&lt;="&amp;$B$5,Assessments!C:C,IF($E$4="",$B258,$E$4),Assessments!D:D,IF($E$5="",$C258,$E$5)))</f>
        <v/>
      </c>
      <c r="G258">
        <f>IF($D258=0,"",MINIFS(Assessments!J:J,Assessments!G:G,$A258,Assessments!B:B,"&gt;="&amp;$B$4,Assessments!B:B,"&lt;="&amp;$B$5,Assessments!C:C,IF($E$4="",$B258,$E$4),Assessments!D:D,IF($E$5="",$C258,$E$5)))</f>
        <v/>
      </c>
      <c r="H258">
        <f>IF($E258="","",RANK($E258,$E$8:$E$507,0))</f>
        <v/>
      </c>
      <c r="I258">
        <f>IF($E258="","",IF($E258&gt;=85,"Excellent",IF($E258&gt;=70,"Good",IF($E258&gt;=50,"Fair","Needs Support"))))</f>
        <v/>
      </c>
    </row>
    <row r="259">
      <c r="A259">
        <f>IF(Students!A253="","",Students!A253)</f>
        <v/>
      </c>
      <c r="B259">
        <f>IF($A259="","",Students!B253)</f>
        <v/>
      </c>
      <c r="C259">
        <f>IF($A259="","",Students!C253)</f>
        <v/>
      </c>
      <c r="D259">
        <f>IF($A259="","",COUNTIFS(Assessments!G:G,$A259,Assessments!B:B,"&gt;="&amp;$B$4,Assessments!B:B,"&lt;="&amp;$B$5,Assessments!C:C,IF($E$4="",$B259,$E$4),Assessments!D:D,IF($E$5="",$C259,$E$5)))</f>
        <v/>
      </c>
      <c r="E259">
        <f>IF($D259=0,"",ROUND(AVERAGEIFS(Assessments!J:J,Assessments!G:G,$A259,Assessments!B:B,"&gt;="&amp;$B$4,Assessments!B:B,"&lt;="&amp;$B$5,Assessments!C:C,IF($E$4="",$B259,$E$4),Assessments!D:D,IF($E$5="",$C259,$E$5)),0))</f>
        <v/>
      </c>
      <c r="F259">
        <f>IF($D259=0,"",MAXIFS(Assessments!J:J,Assessments!G:G,$A259,Assessments!B:B,"&gt;="&amp;$B$4,Assessments!B:B,"&lt;="&amp;$B$5,Assessments!C:C,IF($E$4="",$B259,$E$4),Assessments!D:D,IF($E$5="",$C259,$E$5)))</f>
        <v/>
      </c>
      <c r="G259">
        <f>IF($D259=0,"",MINIFS(Assessments!J:J,Assessments!G:G,$A259,Assessments!B:B,"&gt;="&amp;$B$4,Assessments!B:B,"&lt;="&amp;$B$5,Assessments!C:C,IF($E$4="",$B259,$E$4),Assessments!D:D,IF($E$5="",$C259,$E$5)))</f>
        <v/>
      </c>
      <c r="H259">
        <f>IF($E259="","",RANK($E259,$E$8:$E$507,0))</f>
        <v/>
      </c>
      <c r="I259">
        <f>IF($E259="","",IF($E259&gt;=85,"Excellent",IF($E259&gt;=70,"Good",IF($E259&gt;=50,"Fair","Needs Support"))))</f>
        <v/>
      </c>
    </row>
    <row r="260">
      <c r="A260">
        <f>IF(Students!A254="","",Students!A254)</f>
        <v/>
      </c>
      <c r="B260">
        <f>IF($A260="","",Students!B254)</f>
        <v/>
      </c>
      <c r="C260">
        <f>IF($A260="","",Students!C254)</f>
        <v/>
      </c>
      <c r="D260">
        <f>IF($A260="","",COUNTIFS(Assessments!G:G,$A260,Assessments!B:B,"&gt;="&amp;$B$4,Assessments!B:B,"&lt;="&amp;$B$5,Assessments!C:C,IF($E$4="",$B260,$E$4),Assessments!D:D,IF($E$5="",$C260,$E$5)))</f>
        <v/>
      </c>
      <c r="E260">
        <f>IF($D260=0,"",ROUND(AVERAGEIFS(Assessments!J:J,Assessments!G:G,$A260,Assessments!B:B,"&gt;="&amp;$B$4,Assessments!B:B,"&lt;="&amp;$B$5,Assessments!C:C,IF($E$4="",$B260,$E$4),Assessments!D:D,IF($E$5="",$C260,$E$5)),0))</f>
        <v/>
      </c>
      <c r="F260">
        <f>IF($D260=0,"",MAXIFS(Assessments!J:J,Assessments!G:G,$A260,Assessments!B:B,"&gt;="&amp;$B$4,Assessments!B:B,"&lt;="&amp;$B$5,Assessments!C:C,IF($E$4="",$B260,$E$4),Assessments!D:D,IF($E$5="",$C260,$E$5)))</f>
        <v/>
      </c>
      <c r="G260">
        <f>IF($D260=0,"",MINIFS(Assessments!J:J,Assessments!G:G,$A260,Assessments!B:B,"&gt;="&amp;$B$4,Assessments!B:B,"&lt;="&amp;$B$5,Assessments!C:C,IF($E$4="",$B260,$E$4),Assessments!D:D,IF($E$5="",$C260,$E$5)))</f>
        <v/>
      </c>
      <c r="H260">
        <f>IF($E260="","",RANK($E260,$E$8:$E$507,0))</f>
        <v/>
      </c>
      <c r="I260">
        <f>IF($E260="","",IF($E260&gt;=85,"Excellent",IF($E260&gt;=70,"Good",IF($E260&gt;=50,"Fair","Needs Support"))))</f>
        <v/>
      </c>
    </row>
    <row r="261">
      <c r="A261">
        <f>IF(Students!A255="","",Students!A255)</f>
        <v/>
      </c>
      <c r="B261">
        <f>IF($A261="","",Students!B255)</f>
        <v/>
      </c>
      <c r="C261">
        <f>IF($A261="","",Students!C255)</f>
        <v/>
      </c>
      <c r="D261">
        <f>IF($A261="","",COUNTIFS(Assessments!G:G,$A261,Assessments!B:B,"&gt;="&amp;$B$4,Assessments!B:B,"&lt;="&amp;$B$5,Assessments!C:C,IF($E$4="",$B261,$E$4),Assessments!D:D,IF($E$5="",$C261,$E$5)))</f>
        <v/>
      </c>
      <c r="E261">
        <f>IF($D261=0,"",ROUND(AVERAGEIFS(Assessments!J:J,Assessments!G:G,$A261,Assessments!B:B,"&gt;="&amp;$B$4,Assessments!B:B,"&lt;="&amp;$B$5,Assessments!C:C,IF($E$4="",$B261,$E$4),Assessments!D:D,IF($E$5="",$C261,$E$5)),0))</f>
        <v/>
      </c>
      <c r="F261">
        <f>IF($D261=0,"",MAXIFS(Assessments!J:J,Assessments!G:G,$A261,Assessments!B:B,"&gt;="&amp;$B$4,Assessments!B:B,"&lt;="&amp;$B$5,Assessments!C:C,IF($E$4="",$B261,$E$4),Assessments!D:D,IF($E$5="",$C261,$E$5)))</f>
        <v/>
      </c>
      <c r="G261">
        <f>IF($D261=0,"",MINIFS(Assessments!J:J,Assessments!G:G,$A261,Assessments!B:B,"&gt;="&amp;$B$4,Assessments!B:B,"&lt;="&amp;$B$5,Assessments!C:C,IF($E$4="",$B261,$E$4),Assessments!D:D,IF($E$5="",$C261,$E$5)))</f>
        <v/>
      </c>
      <c r="H261">
        <f>IF($E261="","",RANK($E261,$E$8:$E$507,0))</f>
        <v/>
      </c>
      <c r="I261">
        <f>IF($E261="","",IF($E261&gt;=85,"Excellent",IF($E261&gt;=70,"Good",IF($E261&gt;=50,"Fair","Needs Support"))))</f>
        <v/>
      </c>
    </row>
    <row r="262">
      <c r="A262">
        <f>IF(Students!A256="","",Students!A256)</f>
        <v/>
      </c>
      <c r="B262">
        <f>IF($A262="","",Students!B256)</f>
        <v/>
      </c>
      <c r="C262">
        <f>IF($A262="","",Students!C256)</f>
        <v/>
      </c>
      <c r="D262">
        <f>IF($A262="","",COUNTIFS(Assessments!G:G,$A262,Assessments!B:B,"&gt;="&amp;$B$4,Assessments!B:B,"&lt;="&amp;$B$5,Assessments!C:C,IF($E$4="",$B262,$E$4),Assessments!D:D,IF($E$5="",$C262,$E$5)))</f>
        <v/>
      </c>
      <c r="E262">
        <f>IF($D262=0,"",ROUND(AVERAGEIFS(Assessments!J:J,Assessments!G:G,$A262,Assessments!B:B,"&gt;="&amp;$B$4,Assessments!B:B,"&lt;="&amp;$B$5,Assessments!C:C,IF($E$4="",$B262,$E$4),Assessments!D:D,IF($E$5="",$C262,$E$5)),0))</f>
        <v/>
      </c>
      <c r="F262">
        <f>IF($D262=0,"",MAXIFS(Assessments!J:J,Assessments!G:G,$A262,Assessments!B:B,"&gt;="&amp;$B$4,Assessments!B:B,"&lt;="&amp;$B$5,Assessments!C:C,IF($E$4="",$B262,$E$4),Assessments!D:D,IF($E$5="",$C262,$E$5)))</f>
        <v/>
      </c>
      <c r="G262">
        <f>IF($D262=0,"",MINIFS(Assessments!J:J,Assessments!G:G,$A262,Assessments!B:B,"&gt;="&amp;$B$4,Assessments!B:B,"&lt;="&amp;$B$5,Assessments!C:C,IF($E$4="",$B262,$E$4),Assessments!D:D,IF($E$5="",$C262,$E$5)))</f>
        <v/>
      </c>
      <c r="H262">
        <f>IF($E262="","",RANK($E262,$E$8:$E$507,0))</f>
        <v/>
      </c>
      <c r="I262">
        <f>IF($E262="","",IF($E262&gt;=85,"Excellent",IF($E262&gt;=70,"Good",IF($E262&gt;=50,"Fair","Needs Support"))))</f>
        <v/>
      </c>
    </row>
    <row r="263">
      <c r="A263">
        <f>IF(Students!A257="","",Students!A257)</f>
        <v/>
      </c>
      <c r="B263">
        <f>IF($A263="","",Students!B257)</f>
        <v/>
      </c>
      <c r="C263">
        <f>IF($A263="","",Students!C257)</f>
        <v/>
      </c>
      <c r="D263">
        <f>IF($A263="","",COUNTIFS(Assessments!G:G,$A263,Assessments!B:B,"&gt;="&amp;$B$4,Assessments!B:B,"&lt;="&amp;$B$5,Assessments!C:C,IF($E$4="",$B263,$E$4),Assessments!D:D,IF($E$5="",$C263,$E$5)))</f>
        <v/>
      </c>
      <c r="E263">
        <f>IF($D263=0,"",ROUND(AVERAGEIFS(Assessments!J:J,Assessments!G:G,$A263,Assessments!B:B,"&gt;="&amp;$B$4,Assessments!B:B,"&lt;="&amp;$B$5,Assessments!C:C,IF($E$4="",$B263,$E$4),Assessments!D:D,IF($E$5="",$C263,$E$5)),0))</f>
        <v/>
      </c>
      <c r="F263">
        <f>IF($D263=0,"",MAXIFS(Assessments!J:J,Assessments!G:G,$A263,Assessments!B:B,"&gt;="&amp;$B$4,Assessments!B:B,"&lt;="&amp;$B$5,Assessments!C:C,IF($E$4="",$B263,$E$4),Assessments!D:D,IF($E$5="",$C263,$E$5)))</f>
        <v/>
      </c>
      <c r="G263">
        <f>IF($D263=0,"",MINIFS(Assessments!J:J,Assessments!G:G,$A263,Assessments!B:B,"&gt;="&amp;$B$4,Assessments!B:B,"&lt;="&amp;$B$5,Assessments!C:C,IF($E$4="",$B263,$E$4),Assessments!D:D,IF($E$5="",$C263,$E$5)))</f>
        <v/>
      </c>
      <c r="H263">
        <f>IF($E263="","",RANK($E263,$E$8:$E$507,0))</f>
        <v/>
      </c>
      <c r="I263">
        <f>IF($E263="","",IF($E263&gt;=85,"Excellent",IF($E263&gt;=70,"Good",IF($E263&gt;=50,"Fair","Needs Support"))))</f>
        <v/>
      </c>
    </row>
    <row r="264">
      <c r="A264">
        <f>IF(Students!A258="","",Students!A258)</f>
        <v/>
      </c>
      <c r="B264">
        <f>IF($A264="","",Students!B258)</f>
        <v/>
      </c>
      <c r="C264">
        <f>IF($A264="","",Students!C258)</f>
        <v/>
      </c>
      <c r="D264">
        <f>IF($A264="","",COUNTIFS(Assessments!G:G,$A264,Assessments!B:B,"&gt;="&amp;$B$4,Assessments!B:B,"&lt;="&amp;$B$5,Assessments!C:C,IF($E$4="",$B264,$E$4),Assessments!D:D,IF($E$5="",$C264,$E$5)))</f>
        <v/>
      </c>
      <c r="E264">
        <f>IF($D264=0,"",ROUND(AVERAGEIFS(Assessments!J:J,Assessments!G:G,$A264,Assessments!B:B,"&gt;="&amp;$B$4,Assessments!B:B,"&lt;="&amp;$B$5,Assessments!C:C,IF($E$4="",$B264,$E$4),Assessments!D:D,IF($E$5="",$C264,$E$5)),0))</f>
        <v/>
      </c>
      <c r="F264">
        <f>IF($D264=0,"",MAXIFS(Assessments!J:J,Assessments!G:G,$A264,Assessments!B:B,"&gt;="&amp;$B$4,Assessments!B:B,"&lt;="&amp;$B$5,Assessments!C:C,IF($E$4="",$B264,$E$4),Assessments!D:D,IF($E$5="",$C264,$E$5)))</f>
        <v/>
      </c>
      <c r="G264">
        <f>IF($D264=0,"",MINIFS(Assessments!J:J,Assessments!G:G,$A264,Assessments!B:B,"&gt;="&amp;$B$4,Assessments!B:B,"&lt;="&amp;$B$5,Assessments!C:C,IF($E$4="",$B264,$E$4),Assessments!D:D,IF($E$5="",$C264,$E$5)))</f>
        <v/>
      </c>
      <c r="H264">
        <f>IF($E264="","",RANK($E264,$E$8:$E$507,0))</f>
        <v/>
      </c>
      <c r="I264">
        <f>IF($E264="","",IF($E264&gt;=85,"Excellent",IF($E264&gt;=70,"Good",IF($E264&gt;=50,"Fair","Needs Support"))))</f>
        <v/>
      </c>
    </row>
    <row r="265">
      <c r="A265">
        <f>IF(Students!A259="","",Students!A259)</f>
        <v/>
      </c>
      <c r="B265">
        <f>IF($A265="","",Students!B259)</f>
        <v/>
      </c>
      <c r="C265">
        <f>IF($A265="","",Students!C259)</f>
        <v/>
      </c>
      <c r="D265">
        <f>IF($A265="","",COUNTIFS(Assessments!G:G,$A265,Assessments!B:B,"&gt;="&amp;$B$4,Assessments!B:B,"&lt;="&amp;$B$5,Assessments!C:C,IF($E$4="",$B265,$E$4),Assessments!D:D,IF($E$5="",$C265,$E$5)))</f>
        <v/>
      </c>
      <c r="E265">
        <f>IF($D265=0,"",ROUND(AVERAGEIFS(Assessments!J:J,Assessments!G:G,$A265,Assessments!B:B,"&gt;="&amp;$B$4,Assessments!B:B,"&lt;="&amp;$B$5,Assessments!C:C,IF($E$4="",$B265,$E$4),Assessments!D:D,IF($E$5="",$C265,$E$5)),0))</f>
        <v/>
      </c>
      <c r="F265">
        <f>IF($D265=0,"",MAXIFS(Assessments!J:J,Assessments!G:G,$A265,Assessments!B:B,"&gt;="&amp;$B$4,Assessments!B:B,"&lt;="&amp;$B$5,Assessments!C:C,IF($E$4="",$B265,$E$4),Assessments!D:D,IF($E$5="",$C265,$E$5)))</f>
        <v/>
      </c>
      <c r="G265">
        <f>IF($D265=0,"",MINIFS(Assessments!J:J,Assessments!G:G,$A265,Assessments!B:B,"&gt;="&amp;$B$4,Assessments!B:B,"&lt;="&amp;$B$5,Assessments!C:C,IF($E$4="",$B265,$E$4),Assessments!D:D,IF($E$5="",$C265,$E$5)))</f>
        <v/>
      </c>
      <c r="H265">
        <f>IF($E265="","",RANK($E265,$E$8:$E$507,0))</f>
        <v/>
      </c>
      <c r="I265">
        <f>IF($E265="","",IF($E265&gt;=85,"Excellent",IF($E265&gt;=70,"Good",IF($E265&gt;=50,"Fair","Needs Support"))))</f>
        <v/>
      </c>
    </row>
    <row r="266">
      <c r="A266">
        <f>IF(Students!A260="","",Students!A260)</f>
        <v/>
      </c>
      <c r="B266">
        <f>IF($A266="","",Students!B260)</f>
        <v/>
      </c>
      <c r="C266">
        <f>IF($A266="","",Students!C260)</f>
        <v/>
      </c>
      <c r="D266">
        <f>IF($A266="","",COUNTIFS(Assessments!G:G,$A266,Assessments!B:B,"&gt;="&amp;$B$4,Assessments!B:B,"&lt;="&amp;$B$5,Assessments!C:C,IF($E$4="",$B266,$E$4),Assessments!D:D,IF($E$5="",$C266,$E$5)))</f>
        <v/>
      </c>
      <c r="E266">
        <f>IF($D266=0,"",ROUND(AVERAGEIFS(Assessments!J:J,Assessments!G:G,$A266,Assessments!B:B,"&gt;="&amp;$B$4,Assessments!B:B,"&lt;="&amp;$B$5,Assessments!C:C,IF($E$4="",$B266,$E$4),Assessments!D:D,IF($E$5="",$C266,$E$5)),0))</f>
        <v/>
      </c>
      <c r="F266">
        <f>IF($D266=0,"",MAXIFS(Assessments!J:J,Assessments!G:G,$A266,Assessments!B:B,"&gt;="&amp;$B$4,Assessments!B:B,"&lt;="&amp;$B$5,Assessments!C:C,IF($E$4="",$B266,$E$4),Assessments!D:D,IF($E$5="",$C266,$E$5)))</f>
        <v/>
      </c>
      <c r="G266">
        <f>IF($D266=0,"",MINIFS(Assessments!J:J,Assessments!G:G,$A266,Assessments!B:B,"&gt;="&amp;$B$4,Assessments!B:B,"&lt;="&amp;$B$5,Assessments!C:C,IF($E$4="",$B266,$E$4),Assessments!D:D,IF($E$5="",$C266,$E$5)))</f>
        <v/>
      </c>
      <c r="H266">
        <f>IF($E266="","",RANK($E266,$E$8:$E$507,0))</f>
        <v/>
      </c>
      <c r="I266">
        <f>IF($E266="","",IF($E266&gt;=85,"Excellent",IF($E266&gt;=70,"Good",IF($E266&gt;=50,"Fair","Needs Support"))))</f>
        <v/>
      </c>
    </row>
    <row r="267">
      <c r="A267">
        <f>IF(Students!A261="","",Students!A261)</f>
        <v/>
      </c>
      <c r="B267">
        <f>IF($A267="","",Students!B261)</f>
        <v/>
      </c>
      <c r="C267">
        <f>IF($A267="","",Students!C261)</f>
        <v/>
      </c>
      <c r="D267">
        <f>IF($A267="","",COUNTIFS(Assessments!G:G,$A267,Assessments!B:B,"&gt;="&amp;$B$4,Assessments!B:B,"&lt;="&amp;$B$5,Assessments!C:C,IF($E$4="",$B267,$E$4),Assessments!D:D,IF($E$5="",$C267,$E$5)))</f>
        <v/>
      </c>
      <c r="E267">
        <f>IF($D267=0,"",ROUND(AVERAGEIFS(Assessments!J:J,Assessments!G:G,$A267,Assessments!B:B,"&gt;="&amp;$B$4,Assessments!B:B,"&lt;="&amp;$B$5,Assessments!C:C,IF($E$4="",$B267,$E$4),Assessments!D:D,IF($E$5="",$C267,$E$5)),0))</f>
        <v/>
      </c>
      <c r="F267">
        <f>IF($D267=0,"",MAXIFS(Assessments!J:J,Assessments!G:G,$A267,Assessments!B:B,"&gt;="&amp;$B$4,Assessments!B:B,"&lt;="&amp;$B$5,Assessments!C:C,IF($E$4="",$B267,$E$4),Assessments!D:D,IF($E$5="",$C267,$E$5)))</f>
        <v/>
      </c>
      <c r="G267">
        <f>IF($D267=0,"",MINIFS(Assessments!J:J,Assessments!G:G,$A267,Assessments!B:B,"&gt;="&amp;$B$4,Assessments!B:B,"&lt;="&amp;$B$5,Assessments!C:C,IF($E$4="",$B267,$E$4),Assessments!D:D,IF($E$5="",$C267,$E$5)))</f>
        <v/>
      </c>
      <c r="H267">
        <f>IF($E267="","",RANK($E267,$E$8:$E$507,0))</f>
        <v/>
      </c>
      <c r="I267">
        <f>IF($E267="","",IF($E267&gt;=85,"Excellent",IF($E267&gt;=70,"Good",IF($E267&gt;=50,"Fair","Needs Support"))))</f>
        <v/>
      </c>
    </row>
    <row r="268">
      <c r="A268">
        <f>IF(Students!A262="","",Students!A262)</f>
        <v/>
      </c>
      <c r="B268">
        <f>IF($A268="","",Students!B262)</f>
        <v/>
      </c>
      <c r="C268">
        <f>IF($A268="","",Students!C262)</f>
        <v/>
      </c>
      <c r="D268">
        <f>IF($A268="","",COUNTIFS(Assessments!G:G,$A268,Assessments!B:B,"&gt;="&amp;$B$4,Assessments!B:B,"&lt;="&amp;$B$5,Assessments!C:C,IF($E$4="",$B268,$E$4),Assessments!D:D,IF($E$5="",$C268,$E$5)))</f>
        <v/>
      </c>
      <c r="E268">
        <f>IF($D268=0,"",ROUND(AVERAGEIFS(Assessments!J:J,Assessments!G:G,$A268,Assessments!B:B,"&gt;="&amp;$B$4,Assessments!B:B,"&lt;="&amp;$B$5,Assessments!C:C,IF($E$4="",$B268,$E$4),Assessments!D:D,IF($E$5="",$C268,$E$5)),0))</f>
        <v/>
      </c>
      <c r="F268">
        <f>IF($D268=0,"",MAXIFS(Assessments!J:J,Assessments!G:G,$A268,Assessments!B:B,"&gt;="&amp;$B$4,Assessments!B:B,"&lt;="&amp;$B$5,Assessments!C:C,IF($E$4="",$B268,$E$4),Assessments!D:D,IF($E$5="",$C268,$E$5)))</f>
        <v/>
      </c>
      <c r="G268">
        <f>IF($D268=0,"",MINIFS(Assessments!J:J,Assessments!G:G,$A268,Assessments!B:B,"&gt;="&amp;$B$4,Assessments!B:B,"&lt;="&amp;$B$5,Assessments!C:C,IF($E$4="",$B268,$E$4),Assessments!D:D,IF($E$5="",$C268,$E$5)))</f>
        <v/>
      </c>
      <c r="H268">
        <f>IF($E268="","",RANK($E268,$E$8:$E$507,0))</f>
        <v/>
      </c>
      <c r="I268">
        <f>IF($E268="","",IF($E268&gt;=85,"Excellent",IF($E268&gt;=70,"Good",IF($E268&gt;=50,"Fair","Needs Support"))))</f>
        <v/>
      </c>
    </row>
    <row r="269">
      <c r="A269">
        <f>IF(Students!A263="","",Students!A263)</f>
        <v/>
      </c>
      <c r="B269">
        <f>IF($A269="","",Students!B263)</f>
        <v/>
      </c>
      <c r="C269">
        <f>IF($A269="","",Students!C263)</f>
        <v/>
      </c>
      <c r="D269">
        <f>IF($A269="","",COUNTIFS(Assessments!G:G,$A269,Assessments!B:B,"&gt;="&amp;$B$4,Assessments!B:B,"&lt;="&amp;$B$5,Assessments!C:C,IF($E$4="",$B269,$E$4),Assessments!D:D,IF($E$5="",$C269,$E$5)))</f>
        <v/>
      </c>
      <c r="E269">
        <f>IF($D269=0,"",ROUND(AVERAGEIFS(Assessments!J:J,Assessments!G:G,$A269,Assessments!B:B,"&gt;="&amp;$B$4,Assessments!B:B,"&lt;="&amp;$B$5,Assessments!C:C,IF($E$4="",$B269,$E$4),Assessments!D:D,IF($E$5="",$C269,$E$5)),0))</f>
        <v/>
      </c>
      <c r="F269">
        <f>IF($D269=0,"",MAXIFS(Assessments!J:J,Assessments!G:G,$A269,Assessments!B:B,"&gt;="&amp;$B$4,Assessments!B:B,"&lt;="&amp;$B$5,Assessments!C:C,IF($E$4="",$B269,$E$4),Assessments!D:D,IF($E$5="",$C269,$E$5)))</f>
        <v/>
      </c>
      <c r="G269">
        <f>IF($D269=0,"",MINIFS(Assessments!J:J,Assessments!G:G,$A269,Assessments!B:B,"&gt;="&amp;$B$4,Assessments!B:B,"&lt;="&amp;$B$5,Assessments!C:C,IF($E$4="",$B269,$E$4),Assessments!D:D,IF($E$5="",$C269,$E$5)))</f>
        <v/>
      </c>
      <c r="H269">
        <f>IF($E269="","",RANK($E269,$E$8:$E$507,0))</f>
        <v/>
      </c>
      <c r="I269">
        <f>IF($E269="","",IF($E269&gt;=85,"Excellent",IF($E269&gt;=70,"Good",IF($E269&gt;=50,"Fair","Needs Support"))))</f>
        <v/>
      </c>
    </row>
    <row r="270">
      <c r="A270">
        <f>IF(Students!A264="","",Students!A264)</f>
        <v/>
      </c>
      <c r="B270">
        <f>IF($A270="","",Students!B264)</f>
        <v/>
      </c>
      <c r="C270">
        <f>IF($A270="","",Students!C264)</f>
        <v/>
      </c>
      <c r="D270">
        <f>IF($A270="","",COUNTIFS(Assessments!G:G,$A270,Assessments!B:B,"&gt;="&amp;$B$4,Assessments!B:B,"&lt;="&amp;$B$5,Assessments!C:C,IF($E$4="",$B270,$E$4),Assessments!D:D,IF($E$5="",$C270,$E$5)))</f>
        <v/>
      </c>
      <c r="E270">
        <f>IF($D270=0,"",ROUND(AVERAGEIFS(Assessments!J:J,Assessments!G:G,$A270,Assessments!B:B,"&gt;="&amp;$B$4,Assessments!B:B,"&lt;="&amp;$B$5,Assessments!C:C,IF($E$4="",$B270,$E$4),Assessments!D:D,IF($E$5="",$C270,$E$5)),0))</f>
        <v/>
      </c>
      <c r="F270">
        <f>IF($D270=0,"",MAXIFS(Assessments!J:J,Assessments!G:G,$A270,Assessments!B:B,"&gt;="&amp;$B$4,Assessments!B:B,"&lt;="&amp;$B$5,Assessments!C:C,IF($E$4="",$B270,$E$4),Assessments!D:D,IF($E$5="",$C270,$E$5)))</f>
        <v/>
      </c>
      <c r="G270">
        <f>IF($D270=0,"",MINIFS(Assessments!J:J,Assessments!G:G,$A270,Assessments!B:B,"&gt;="&amp;$B$4,Assessments!B:B,"&lt;="&amp;$B$5,Assessments!C:C,IF($E$4="",$B270,$E$4),Assessments!D:D,IF($E$5="",$C270,$E$5)))</f>
        <v/>
      </c>
      <c r="H270">
        <f>IF($E270="","",RANK($E270,$E$8:$E$507,0))</f>
        <v/>
      </c>
      <c r="I270">
        <f>IF($E270="","",IF($E270&gt;=85,"Excellent",IF($E270&gt;=70,"Good",IF($E270&gt;=50,"Fair","Needs Support"))))</f>
        <v/>
      </c>
    </row>
    <row r="271">
      <c r="A271">
        <f>IF(Students!A265="","",Students!A265)</f>
        <v/>
      </c>
      <c r="B271">
        <f>IF($A271="","",Students!B265)</f>
        <v/>
      </c>
      <c r="C271">
        <f>IF($A271="","",Students!C265)</f>
        <v/>
      </c>
      <c r="D271">
        <f>IF($A271="","",COUNTIFS(Assessments!G:G,$A271,Assessments!B:B,"&gt;="&amp;$B$4,Assessments!B:B,"&lt;="&amp;$B$5,Assessments!C:C,IF($E$4="",$B271,$E$4),Assessments!D:D,IF($E$5="",$C271,$E$5)))</f>
        <v/>
      </c>
      <c r="E271">
        <f>IF($D271=0,"",ROUND(AVERAGEIFS(Assessments!J:J,Assessments!G:G,$A271,Assessments!B:B,"&gt;="&amp;$B$4,Assessments!B:B,"&lt;="&amp;$B$5,Assessments!C:C,IF($E$4="",$B271,$E$4),Assessments!D:D,IF($E$5="",$C271,$E$5)),0))</f>
        <v/>
      </c>
      <c r="F271">
        <f>IF($D271=0,"",MAXIFS(Assessments!J:J,Assessments!G:G,$A271,Assessments!B:B,"&gt;="&amp;$B$4,Assessments!B:B,"&lt;="&amp;$B$5,Assessments!C:C,IF($E$4="",$B271,$E$4),Assessments!D:D,IF($E$5="",$C271,$E$5)))</f>
        <v/>
      </c>
      <c r="G271">
        <f>IF($D271=0,"",MINIFS(Assessments!J:J,Assessments!G:G,$A271,Assessments!B:B,"&gt;="&amp;$B$4,Assessments!B:B,"&lt;="&amp;$B$5,Assessments!C:C,IF($E$4="",$B271,$E$4),Assessments!D:D,IF($E$5="",$C271,$E$5)))</f>
        <v/>
      </c>
      <c r="H271">
        <f>IF($E271="","",RANK($E271,$E$8:$E$507,0))</f>
        <v/>
      </c>
      <c r="I271">
        <f>IF($E271="","",IF($E271&gt;=85,"Excellent",IF($E271&gt;=70,"Good",IF($E271&gt;=50,"Fair","Needs Support"))))</f>
        <v/>
      </c>
    </row>
    <row r="272">
      <c r="A272">
        <f>IF(Students!A266="","",Students!A266)</f>
        <v/>
      </c>
      <c r="B272">
        <f>IF($A272="","",Students!B266)</f>
        <v/>
      </c>
      <c r="C272">
        <f>IF($A272="","",Students!C266)</f>
        <v/>
      </c>
      <c r="D272">
        <f>IF($A272="","",COUNTIFS(Assessments!G:G,$A272,Assessments!B:B,"&gt;="&amp;$B$4,Assessments!B:B,"&lt;="&amp;$B$5,Assessments!C:C,IF($E$4="",$B272,$E$4),Assessments!D:D,IF($E$5="",$C272,$E$5)))</f>
        <v/>
      </c>
      <c r="E272">
        <f>IF($D272=0,"",ROUND(AVERAGEIFS(Assessments!J:J,Assessments!G:G,$A272,Assessments!B:B,"&gt;="&amp;$B$4,Assessments!B:B,"&lt;="&amp;$B$5,Assessments!C:C,IF($E$4="",$B272,$E$4),Assessments!D:D,IF($E$5="",$C272,$E$5)),0))</f>
        <v/>
      </c>
      <c r="F272">
        <f>IF($D272=0,"",MAXIFS(Assessments!J:J,Assessments!G:G,$A272,Assessments!B:B,"&gt;="&amp;$B$4,Assessments!B:B,"&lt;="&amp;$B$5,Assessments!C:C,IF($E$4="",$B272,$E$4),Assessments!D:D,IF($E$5="",$C272,$E$5)))</f>
        <v/>
      </c>
      <c r="G272">
        <f>IF($D272=0,"",MINIFS(Assessments!J:J,Assessments!G:G,$A272,Assessments!B:B,"&gt;="&amp;$B$4,Assessments!B:B,"&lt;="&amp;$B$5,Assessments!C:C,IF($E$4="",$B272,$E$4),Assessments!D:D,IF($E$5="",$C272,$E$5)))</f>
        <v/>
      </c>
      <c r="H272">
        <f>IF($E272="","",RANK($E272,$E$8:$E$507,0))</f>
        <v/>
      </c>
      <c r="I272">
        <f>IF($E272="","",IF($E272&gt;=85,"Excellent",IF($E272&gt;=70,"Good",IF($E272&gt;=50,"Fair","Needs Support"))))</f>
        <v/>
      </c>
    </row>
    <row r="273">
      <c r="A273">
        <f>IF(Students!A267="","",Students!A267)</f>
        <v/>
      </c>
      <c r="B273">
        <f>IF($A273="","",Students!B267)</f>
        <v/>
      </c>
      <c r="C273">
        <f>IF($A273="","",Students!C267)</f>
        <v/>
      </c>
      <c r="D273">
        <f>IF($A273="","",COUNTIFS(Assessments!G:G,$A273,Assessments!B:B,"&gt;="&amp;$B$4,Assessments!B:B,"&lt;="&amp;$B$5,Assessments!C:C,IF($E$4="",$B273,$E$4),Assessments!D:D,IF($E$5="",$C273,$E$5)))</f>
        <v/>
      </c>
      <c r="E273">
        <f>IF($D273=0,"",ROUND(AVERAGEIFS(Assessments!J:J,Assessments!G:G,$A273,Assessments!B:B,"&gt;="&amp;$B$4,Assessments!B:B,"&lt;="&amp;$B$5,Assessments!C:C,IF($E$4="",$B273,$E$4),Assessments!D:D,IF($E$5="",$C273,$E$5)),0))</f>
        <v/>
      </c>
      <c r="F273">
        <f>IF($D273=0,"",MAXIFS(Assessments!J:J,Assessments!G:G,$A273,Assessments!B:B,"&gt;="&amp;$B$4,Assessments!B:B,"&lt;="&amp;$B$5,Assessments!C:C,IF($E$4="",$B273,$E$4),Assessments!D:D,IF($E$5="",$C273,$E$5)))</f>
        <v/>
      </c>
      <c r="G273">
        <f>IF($D273=0,"",MINIFS(Assessments!J:J,Assessments!G:G,$A273,Assessments!B:B,"&gt;="&amp;$B$4,Assessments!B:B,"&lt;="&amp;$B$5,Assessments!C:C,IF($E$4="",$B273,$E$4),Assessments!D:D,IF($E$5="",$C273,$E$5)))</f>
        <v/>
      </c>
      <c r="H273">
        <f>IF($E273="","",RANK($E273,$E$8:$E$507,0))</f>
        <v/>
      </c>
      <c r="I273">
        <f>IF($E273="","",IF($E273&gt;=85,"Excellent",IF($E273&gt;=70,"Good",IF($E273&gt;=50,"Fair","Needs Support"))))</f>
        <v/>
      </c>
    </row>
    <row r="274">
      <c r="A274">
        <f>IF(Students!A268="","",Students!A268)</f>
        <v/>
      </c>
      <c r="B274">
        <f>IF($A274="","",Students!B268)</f>
        <v/>
      </c>
      <c r="C274">
        <f>IF($A274="","",Students!C268)</f>
        <v/>
      </c>
      <c r="D274">
        <f>IF($A274="","",COUNTIFS(Assessments!G:G,$A274,Assessments!B:B,"&gt;="&amp;$B$4,Assessments!B:B,"&lt;="&amp;$B$5,Assessments!C:C,IF($E$4="",$B274,$E$4),Assessments!D:D,IF($E$5="",$C274,$E$5)))</f>
        <v/>
      </c>
      <c r="E274">
        <f>IF($D274=0,"",ROUND(AVERAGEIFS(Assessments!J:J,Assessments!G:G,$A274,Assessments!B:B,"&gt;="&amp;$B$4,Assessments!B:B,"&lt;="&amp;$B$5,Assessments!C:C,IF($E$4="",$B274,$E$4),Assessments!D:D,IF($E$5="",$C274,$E$5)),0))</f>
        <v/>
      </c>
      <c r="F274">
        <f>IF($D274=0,"",MAXIFS(Assessments!J:J,Assessments!G:G,$A274,Assessments!B:B,"&gt;="&amp;$B$4,Assessments!B:B,"&lt;="&amp;$B$5,Assessments!C:C,IF($E$4="",$B274,$E$4),Assessments!D:D,IF($E$5="",$C274,$E$5)))</f>
        <v/>
      </c>
      <c r="G274">
        <f>IF($D274=0,"",MINIFS(Assessments!J:J,Assessments!G:G,$A274,Assessments!B:B,"&gt;="&amp;$B$4,Assessments!B:B,"&lt;="&amp;$B$5,Assessments!C:C,IF($E$4="",$B274,$E$4),Assessments!D:D,IF($E$5="",$C274,$E$5)))</f>
        <v/>
      </c>
      <c r="H274">
        <f>IF($E274="","",RANK($E274,$E$8:$E$507,0))</f>
        <v/>
      </c>
      <c r="I274">
        <f>IF($E274="","",IF($E274&gt;=85,"Excellent",IF($E274&gt;=70,"Good",IF($E274&gt;=50,"Fair","Needs Support"))))</f>
        <v/>
      </c>
    </row>
    <row r="275">
      <c r="A275">
        <f>IF(Students!A269="","",Students!A269)</f>
        <v/>
      </c>
      <c r="B275">
        <f>IF($A275="","",Students!B269)</f>
        <v/>
      </c>
      <c r="C275">
        <f>IF($A275="","",Students!C269)</f>
        <v/>
      </c>
      <c r="D275">
        <f>IF($A275="","",COUNTIFS(Assessments!G:G,$A275,Assessments!B:B,"&gt;="&amp;$B$4,Assessments!B:B,"&lt;="&amp;$B$5,Assessments!C:C,IF($E$4="",$B275,$E$4),Assessments!D:D,IF($E$5="",$C275,$E$5)))</f>
        <v/>
      </c>
      <c r="E275">
        <f>IF($D275=0,"",ROUND(AVERAGEIFS(Assessments!J:J,Assessments!G:G,$A275,Assessments!B:B,"&gt;="&amp;$B$4,Assessments!B:B,"&lt;="&amp;$B$5,Assessments!C:C,IF($E$4="",$B275,$E$4),Assessments!D:D,IF($E$5="",$C275,$E$5)),0))</f>
        <v/>
      </c>
      <c r="F275">
        <f>IF($D275=0,"",MAXIFS(Assessments!J:J,Assessments!G:G,$A275,Assessments!B:B,"&gt;="&amp;$B$4,Assessments!B:B,"&lt;="&amp;$B$5,Assessments!C:C,IF($E$4="",$B275,$E$4),Assessments!D:D,IF($E$5="",$C275,$E$5)))</f>
        <v/>
      </c>
      <c r="G275">
        <f>IF($D275=0,"",MINIFS(Assessments!J:J,Assessments!G:G,$A275,Assessments!B:B,"&gt;="&amp;$B$4,Assessments!B:B,"&lt;="&amp;$B$5,Assessments!C:C,IF($E$4="",$B275,$E$4),Assessments!D:D,IF($E$5="",$C275,$E$5)))</f>
        <v/>
      </c>
      <c r="H275">
        <f>IF($E275="","",RANK($E275,$E$8:$E$507,0))</f>
        <v/>
      </c>
      <c r="I275">
        <f>IF($E275="","",IF($E275&gt;=85,"Excellent",IF($E275&gt;=70,"Good",IF($E275&gt;=50,"Fair","Needs Support"))))</f>
        <v/>
      </c>
    </row>
    <row r="276">
      <c r="A276">
        <f>IF(Students!A270="","",Students!A270)</f>
        <v/>
      </c>
      <c r="B276">
        <f>IF($A276="","",Students!B270)</f>
        <v/>
      </c>
      <c r="C276">
        <f>IF($A276="","",Students!C270)</f>
        <v/>
      </c>
      <c r="D276">
        <f>IF($A276="","",COUNTIFS(Assessments!G:G,$A276,Assessments!B:B,"&gt;="&amp;$B$4,Assessments!B:B,"&lt;="&amp;$B$5,Assessments!C:C,IF($E$4="",$B276,$E$4),Assessments!D:D,IF($E$5="",$C276,$E$5)))</f>
        <v/>
      </c>
      <c r="E276">
        <f>IF($D276=0,"",ROUND(AVERAGEIFS(Assessments!J:J,Assessments!G:G,$A276,Assessments!B:B,"&gt;="&amp;$B$4,Assessments!B:B,"&lt;="&amp;$B$5,Assessments!C:C,IF($E$4="",$B276,$E$4),Assessments!D:D,IF($E$5="",$C276,$E$5)),0))</f>
        <v/>
      </c>
      <c r="F276">
        <f>IF($D276=0,"",MAXIFS(Assessments!J:J,Assessments!G:G,$A276,Assessments!B:B,"&gt;="&amp;$B$4,Assessments!B:B,"&lt;="&amp;$B$5,Assessments!C:C,IF($E$4="",$B276,$E$4),Assessments!D:D,IF($E$5="",$C276,$E$5)))</f>
        <v/>
      </c>
      <c r="G276">
        <f>IF($D276=0,"",MINIFS(Assessments!J:J,Assessments!G:G,$A276,Assessments!B:B,"&gt;="&amp;$B$4,Assessments!B:B,"&lt;="&amp;$B$5,Assessments!C:C,IF($E$4="",$B276,$E$4),Assessments!D:D,IF($E$5="",$C276,$E$5)))</f>
        <v/>
      </c>
      <c r="H276">
        <f>IF($E276="","",RANK($E276,$E$8:$E$507,0))</f>
        <v/>
      </c>
      <c r="I276">
        <f>IF($E276="","",IF($E276&gt;=85,"Excellent",IF($E276&gt;=70,"Good",IF($E276&gt;=50,"Fair","Needs Support"))))</f>
        <v/>
      </c>
    </row>
    <row r="277">
      <c r="A277">
        <f>IF(Students!A271="","",Students!A271)</f>
        <v/>
      </c>
      <c r="B277">
        <f>IF($A277="","",Students!B271)</f>
        <v/>
      </c>
      <c r="C277">
        <f>IF($A277="","",Students!C271)</f>
        <v/>
      </c>
      <c r="D277">
        <f>IF($A277="","",COUNTIFS(Assessments!G:G,$A277,Assessments!B:B,"&gt;="&amp;$B$4,Assessments!B:B,"&lt;="&amp;$B$5,Assessments!C:C,IF($E$4="",$B277,$E$4),Assessments!D:D,IF($E$5="",$C277,$E$5)))</f>
        <v/>
      </c>
      <c r="E277">
        <f>IF($D277=0,"",ROUND(AVERAGEIFS(Assessments!J:J,Assessments!G:G,$A277,Assessments!B:B,"&gt;="&amp;$B$4,Assessments!B:B,"&lt;="&amp;$B$5,Assessments!C:C,IF($E$4="",$B277,$E$4),Assessments!D:D,IF($E$5="",$C277,$E$5)),0))</f>
        <v/>
      </c>
      <c r="F277">
        <f>IF($D277=0,"",MAXIFS(Assessments!J:J,Assessments!G:G,$A277,Assessments!B:B,"&gt;="&amp;$B$4,Assessments!B:B,"&lt;="&amp;$B$5,Assessments!C:C,IF($E$4="",$B277,$E$4),Assessments!D:D,IF($E$5="",$C277,$E$5)))</f>
        <v/>
      </c>
      <c r="G277">
        <f>IF($D277=0,"",MINIFS(Assessments!J:J,Assessments!G:G,$A277,Assessments!B:B,"&gt;="&amp;$B$4,Assessments!B:B,"&lt;="&amp;$B$5,Assessments!C:C,IF($E$4="",$B277,$E$4),Assessments!D:D,IF($E$5="",$C277,$E$5)))</f>
        <v/>
      </c>
      <c r="H277">
        <f>IF($E277="","",RANK($E277,$E$8:$E$507,0))</f>
        <v/>
      </c>
      <c r="I277">
        <f>IF($E277="","",IF($E277&gt;=85,"Excellent",IF($E277&gt;=70,"Good",IF($E277&gt;=50,"Fair","Needs Support"))))</f>
        <v/>
      </c>
    </row>
    <row r="278">
      <c r="A278">
        <f>IF(Students!A272="","",Students!A272)</f>
        <v/>
      </c>
      <c r="B278">
        <f>IF($A278="","",Students!B272)</f>
        <v/>
      </c>
      <c r="C278">
        <f>IF($A278="","",Students!C272)</f>
        <v/>
      </c>
      <c r="D278">
        <f>IF($A278="","",COUNTIFS(Assessments!G:G,$A278,Assessments!B:B,"&gt;="&amp;$B$4,Assessments!B:B,"&lt;="&amp;$B$5,Assessments!C:C,IF($E$4="",$B278,$E$4),Assessments!D:D,IF($E$5="",$C278,$E$5)))</f>
        <v/>
      </c>
      <c r="E278">
        <f>IF($D278=0,"",ROUND(AVERAGEIFS(Assessments!J:J,Assessments!G:G,$A278,Assessments!B:B,"&gt;="&amp;$B$4,Assessments!B:B,"&lt;="&amp;$B$5,Assessments!C:C,IF($E$4="",$B278,$E$4),Assessments!D:D,IF($E$5="",$C278,$E$5)),0))</f>
        <v/>
      </c>
      <c r="F278">
        <f>IF($D278=0,"",MAXIFS(Assessments!J:J,Assessments!G:G,$A278,Assessments!B:B,"&gt;="&amp;$B$4,Assessments!B:B,"&lt;="&amp;$B$5,Assessments!C:C,IF($E$4="",$B278,$E$4),Assessments!D:D,IF($E$5="",$C278,$E$5)))</f>
        <v/>
      </c>
      <c r="G278">
        <f>IF($D278=0,"",MINIFS(Assessments!J:J,Assessments!G:G,$A278,Assessments!B:B,"&gt;="&amp;$B$4,Assessments!B:B,"&lt;="&amp;$B$5,Assessments!C:C,IF($E$4="",$B278,$E$4),Assessments!D:D,IF($E$5="",$C278,$E$5)))</f>
        <v/>
      </c>
      <c r="H278">
        <f>IF($E278="","",RANK($E278,$E$8:$E$507,0))</f>
        <v/>
      </c>
      <c r="I278">
        <f>IF($E278="","",IF($E278&gt;=85,"Excellent",IF($E278&gt;=70,"Good",IF($E278&gt;=50,"Fair","Needs Support"))))</f>
        <v/>
      </c>
    </row>
    <row r="279">
      <c r="A279">
        <f>IF(Students!A273="","",Students!A273)</f>
        <v/>
      </c>
      <c r="B279">
        <f>IF($A279="","",Students!B273)</f>
        <v/>
      </c>
      <c r="C279">
        <f>IF($A279="","",Students!C273)</f>
        <v/>
      </c>
      <c r="D279">
        <f>IF($A279="","",COUNTIFS(Assessments!G:G,$A279,Assessments!B:B,"&gt;="&amp;$B$4,Assessments!B:B,"&lt;="&amp;$B$5,Assessments!C:C,IF($E$4="",$B279,$E$4),Assessments!D:D,IF($E$5="",$C279,$E$5)))</f>
        <v/>
      </c>
      <c r="E279">
        <f>IF($D279=0,"",ROUND(AVERAGEIFS(Assessments!J:J,Assessments!G:G,$A279,Assessments!B:B,"&gt;="&amp;$B$4,Assessments!B:B,"&lt;="&amp;$B$5,Assessments!C:C,IF($E$4="",$B279,$E$4),Assessments!D:D,IF($E$5="",$C279,$E$5)),0))</f>
        <v/>
      </c>
      <c r="F279">
        <f>IF($D279=0,"",MAXIFS(Assessments!J:J,Assessments!G:G,$A279,Assessments!B:B,"&gt;="&amp;$B$4,Assessments!B:B,"&lt;="&amp;$B$5,Assessments!C:C,IF($E$4="",$B279,$E$4),Assessments!D:D,IF($E$5="",$C279,$E$5)))</f>
        <v/>
      </c>
      <c r="G279">
        <f>IF($D279=0,"",MINIFS(Assessments!J:J,Assessments!G:G,$A279,Assessments!B:B,"&gt;="&amp;$B$4,Assessments!B:B,"&lt;="&amp;$B$5,Assessments!C:C,IF($E$4="",$B279,$E$4),Assessments!D:D,IF($E$5="",$C279,$E$5)))</f>
        <v/>
      </c>
      <c r="H279">
        <f>IF($E279="","",RANK($E279,$E$8:$E$507,0))</f>
        <v/>
      </c>
      <c r="I279">
        <f>IF($E279="","",IF($E279&gt;=85,"Excellent",IF($E279&gt;=70,"Good",IF($E279&gt;=50,"Fair","Needs Support"))))</f>
        <v/>
      </c>
    </row>
    <row r="280">
      <c r="A280">
        <f>IF(Students!A274="","",Students!A274)</f>
        <v/>
      </c>
      <c r="B280">
        <f>IF($A280="","",Students!B274)</f>
        <v/>
      </c>
      <c r="C280">
        <f>IF($A280="","",Students!C274)</f>
        <v/>
      </c>
      <c r="D280">
        <f>IF($A280="","",COUNTIFS(Assessments!G:G,$A280,Assessments!B:B,"&gt;="&amp;$B$4,Assessments!B:B,"&lt;="&amp;$B$5,Assessments!C:C,IF($E$4="",$B280,$E$4),Assessments!D:D,IF($E$5="",$C280,$E$5)))</f>
        <v/>
      </c>
      <c r="E280">
        <f>IF($D280=0,"",ROUND(AVERAGEIFS(Assessments!J:J,Assessments!G:G,$A280,Assessments!B:B,"&gt;="&amp;$B$4,Assessments!B:B,"&lt;="&amp;$B$5,Assessments!C:C,IF($E$4="",$B280,$E$4),Assessments!D:D,IF($E$5="",$C280,$E$5)),0))</f>
        <v/>
      </c>
      <c r="F280">
        <f>IF($D280=0,"",MAXIFS(Assessments!J:J,Assessments!G:G,$A280,Assessments!B:B,"&gt;="&amp;$B$4,Assessments!B:B,"&lt;="&amp;$B$5,Assessments!C:C,IF($E$4="",$B280,$E$4),Assessments!D:D,IF($E$5="",$C280,$E$5)))</f>
        <v/>
      </c>
      <c r="G280">
        <f>IF($D280=0,"",MINIFS(Assessments!J:J,Assessments!G:G,$A280,Assessments!B:B,"&gt;="&amp;$B$4,Assessments!B:B,"&lt;="&amp;$B$5,Assessments!C:C,IF($E$4="",$B280,$E$4),Assessments!D:D,IF($E$5="",$C280,$E$5)))</f>
        <v/>
      </c>
      <c r="H280">
        <f>IF($E280="","",RANK($E280,$E$8:$E$507,0))</f>
        <v/>
      </c>
      <c r="I280">
        <f>IF($E280="","",IF($E280&gt;=85,"Excellent",IF($E280&gt;=70,"Good",IF($E280&gt;=50,"Fair","Needs Support"))))</f>
        <v/>
      </c>
    </row>
    <row r="281">
      <c r="A281">
        <f>IF(Students!A275="","",Students!A275)</f>
        <v/>
      </c>
      <c r="B281">
        <f>IF($A281="","",Students!B275)</f>
        <v/>
      </c>
      <c r="C281">
        <f>IF($A281="","",Students!C275)</f>
        <v/>
      </c>
      <c r="D281">
        <f>IF($A281="","",COUNTIFS(Assessments!G:G,$A281,Assessments!B:B,"&gt;="&amp;$B$4,Assessments!B:B,"&lt;="&amp;$B$5,Assessments!C:C,IF($E$4="",$B281,$E$4),Assessments!D:D,IF($E$5="",$C281,$E$5)))</f>
        <v/>
      </c>
      <c r="E281">
        <f>IF($D281=0,"",ROUND(AVERAGEIFS(Assessments!J:J,Assessments!G:G,$A281,Assessments!B:B,"&gt;="&amp;$B$4,Assessments!B:B,"&lt;="&amp;$B$5,Assessments!C:C,IF($E$4="",$B281,$E$4),Assessments!D:D,IF($E$5="",$C281,$E$5)),0))</f>
        <v/>
      </c>
      <c r="F281">
        <f>IF($D281=0,"",MAXIFS(Assessments!J:J,Assessments!G:G,$A281,Assessments!B:B,"&gt;="&amp;$B$4,Assessments!B:B,"&lt;="&amp;$B$5,Assessments!C:C,IF($E$4="",$B281,$E$4),Assessments!D:D,IF($E$5="",$C281,$E$5)))</f>
        <v/>
      </c>
      <c r="G281">
        <f>IF($D281=0,"",MINIFS(Assessments!J:J,Assessments!G:G,$A281,Assessments!B:B,"&gt;="&amp;$B$4,Assessments!B:B,"&lt;="&amp;$B$5,Assessments!C:C,IF($E$4="",$B281,$E$4),Assessments!D:D,IF($E$5="",$C281,$E$5)))</f>
        <v/>
      </c>
      <c r="H281">
        <f>IF($E281="","",RANK($E281,$E$8:$E$507,0))</f>
        <v/>
      </c>
      <c r="I281">
        <f>IF($E281="","",IF($E281&gt;=85,"Excellent",IF($E281&gt;=70,"Good",IF($E281&gt;=50,"Fair","Needs Support"))))</f>
        <v/>
      </c>
    </row>
    <row r="282">
      <c r="A282">
        <f>IF(Students!A276="","",Students!A276)</f>
        <v/>
      </c>
      <c r="B282">
        <f>IF($A282="","",Students!B276)</f>
        <v/>
      </c>
      <c r="C282">
        <f>IF($A282="","",Students!C276)</f>
        <v/>
      </c>
      <c r="D282">
        <f>IF($A282="","",COUNTIFS(Assessments!G:G,$A282,Assessments!B:B,"&gt;="&amp;$B$4,Assessments!B:B,"&lt;="&amp;$B$5,Assessments!C:C,IF($E$4="",$B282,$E$4),Assessments!D:D,IF($E$5="",$C282,$E$5)))</f>
        <v/>
      </c>
      <c r="E282">
        <f>IF($D282=0,"",ROUND(AVERAGEIFS(Assessments!J:J,Assessments!G:G,$A282,Assessments!B:B,"&gt;="&amp;$B$4,Assessments!B:B,"&lt;="&amp;$B$5,Assessments!C:C,IF($E$4="",$B282,$E$4),Assessments!D:D,IF($E$5="",$C282,$E$5)),0))</f>
        <v/>
      </c>
      <c r="F282">
        <f>IF($D282=0,"",MAXIFS(Assessments!J:J,Assessments!G:G,$A282,Assessments!B:B,"&gt;="&amp;$B$4,Assessments!B:B,"&lt;="&amp;$B$5,Assessments!C:C,IF($E$4="",$B282,$E$4),Assessments!D:D,IF($E$5="",$C282,$E$5)))</f>
        <v/>
      </c>
      <c r="G282">
        <f>IF($D282=0,"",MINIFS(Assessments!J:J,Assessments!G:G,$A282,Assessments!B:B,"&gt;="&amp;$B$4,Assessments!B:B,"&lt;="&amp;$B$5,Assessments!C:C,IF($E$4="",$B282,$E$4),Assessments!D:D,IF($E$5="",$C282,$E$5)))</f>
        <v/>
      </c>
      <c r="H282">
        <f>IF($E282="","",RANK($E282,$E$8:$E$507,0))</f>
        <v/>
      </c>
      <c r="I282">
        <f>IF($E282="","",IF($E282&gt;=85,"Excellent",IF($E282&gt;=70,"Good",IF($E282&gt;=50,"Fair","Needs Support"))))</f>
        <v/>
      </c>
    </row>
    <row r="283">
      <c r="A283">
        <f>IF(Students!A277="","",Students!A277)</f>
        <v/>
      </c>
      <c r="B283">
        <f>IF($A283="","",Students!B277)</f>
        <v/>
      </c>
      <c r="C283">
        <f>IF($A283="","",Students!C277)</f>
        <v/>
      </c>
      <c r="D283">
        <f>IF($A283="","",COUNTIFS(Assessments!G:G,$A283,Assessments!B:B,"&gt;="&amp;$B$4,Assessments!B:B,"&lt;="&amp;$B$5,Assessments!C:C,IF($E$4="",$B283,$E$4),Assessments!D:D,IF($E$5="",$C283,$E$5)))</f>
        <v/>
      </c>
      <c r="E283">
        <f>IF($D283=0,"",ROUND(AVERAGEIFS(Assessments!J:J,Assessments!G:G,$A283,Assessments!B:B,"&gt;="&amp;$B$4,Assessments!B:B,"&lt;="&amp;$B$5,Assessments!C:C,IF($E$4="",$B283,$E$4),Assessments!D:D,IF($E$5="",$C283,$E$5)),0))</f>
        <v/>
      </c>
      <c r="F283">
        <f>IF($D283=0,"",MAXIFS(Assessments!J:J,Assessments!G:G,$A283,Assessments!B:B,"&gt;="&amp;$B$4,Assessments!B:B,"&lt;="&amp;$B$5,Assessments!C:C,IF($E$4="",$B283,$E$4),Assessments!D:D,IF($E$5="",$C283,$E$5)))</f>
        <v/>
      </c>
      <c r="G283">
        <f>IF($D283=0,"",MINIFS(Assessments!J:J,Assessments!G:G,$A283,Assessments!B:B,"&gt;="&amp;$B$4,Assessments!B:B,"&lt;="&amp;$B$5,Assessments!C:C,IF($E$4="",$B283,$E$4),Assessments!D:D,IF($E$5="",$C283,$E$5)))</f>
        <v/>
      </c>
      <c r="H283">
        <f>IF($E283="","",RANK($E283,$E$8:$E$507,0))</f>
        <v/>
      </c>
      <c r="I283">
        <f>IF($E283="","",IF($E283&gt;=85,"Excellent",IF($E283&gt;=70,"Good",IF($E283&gt;=50,"Fair","Needs Support"))))</f>
        <v/>
      </c>
    </row>
    <row r="284">
      <c r="A284">
        <f>IF(Students!A278="","",Students!A278)</f>
        <v/>
      </c>
      <c r="B284">
        <f>IF($A284="","",Students!B278)</f>
        <v/>
      </c>
      <c r="C284">
        <f>IF($A284="","",Students!C278)</f>
        <v/>
      </c>
      <c r="D284">
        <f>IF($A284="","",COUNTIFS(Assessments!G:G,$A284,Assessments!B:B,"&gt;="&amp;$B$4,Assessments!B:B,"&lt;="&amp;$B$5,Assessments!C:C,IF($E$4="",$B284,$E$4),Assessments!D:D,IF($E$5="",$C284,$E$5)))</f>
        <v/>
      </c>
      <c r="E284">
        <f>IF($D284=0,"",ROUND(AVERAGEIFS(Assessments!J:J,Assessments!G:G,$A284,Assessments!B:B,"&gt;="&amp;$B$4,Assessments!B:B,"&lt;="&amp;$B$5,Assessments!C:C,IF($E$4="",$B284,$E$4),Assessments!D:D,IF($E$5="",$C284,$E$5)),0))</f>
        <v/>
      </c>
      <c r="F284">
        <f>IF($D284=0,"",MAXIFS(Assessments!J:J,Assessments!G:G,$A284,Assessments!B:B,"&gt;="&amp;$B$4,Assessments!B:B,"&lt;="&amp;$B$5,Assessments!C:C,IF($E$4="",$B284,$E$4),Assessments!D:D,IF($E$5="",$C284,$E$5)))</f>
        <v/>
      </c>
      <c r="G284">
        <f>IF($D284=0,"",MINIFS(Assessments!J:J,Assessments!G:G,$A284,Assessments!B:B,"&gt;="&amp;$B$4,Assessments!B:B,"&lt;="&amp;$B$5,Assessments!C:C,IF($E$4="",$B284,$E$4),Assessments!D:D,IF($E$5="",$C284,$E$5)))</f>
        <v/>
      </c>
      <c r="H284">
        <f>IF($E284="","",RANK($E284,$E$8:$E$507,0))</f>
        <v/>
      </c>
      <c r="I284">
        <f>IF($E284="","",IF($E284&gt;=85,"Excellent",IF($E284&gt;=70,"Good",IF($E284&gt;=50,"Fair","Needs Support"))))</f>
        <v/>
      </c>
    </row>
    <row r="285">
      <c r="A285">
        <f>IF(Students!A279="","",Students!A279)</f>
        <v/>
      </c>
      <c r="B285">
        <f>IF($A285="","",Students!B279)</f>
        <v/>
      </c>
      <c r="C285">
        <f>IF($A285="","",Students!C279)</f>
        <v/>
      </c>
      <c r="D285">
        <f>IF($A285="","",COUNTIFS(Assessments!G:G,$A285,Assessments!B:B,"&gt;="&amp;$B$4,Assessments!B:B,"&lt;="&amp;$B$5,Assessments!C:C,IF($E$4="",$B285,$E$4),Assessments!D:D,IF($E$5="",$C285,$E$5)))</f>
        <v/>
      </c>
      <c r="E285">
        <f>IF($D285=0,"",ROUND(AVERAGEIFS(Assessments!J:J,Assessments!G:G,$A285,Assessments!B:B,"&gt;="&amp;$B$4,Assessments!B:B,"&lt;="&amp;$B$5,Assessments!C:C,IF($E$4="",$B285,$E$4),Assessments!D:D,IF($E$5="",$C285,$E$5)),0))</f>
        <v/>
      </c>
      <c r="F285">
        <f>IF($D285=0,"",MAXIFS(Assessments!J:J,Assessments!G:G,$A285,Assessments!B:B,"&gt;="&amp;$B$4,Assessments!B:B,"&lt;="&amp;$B$5,Assessments!C:C,IF($E$4="",$B285,$E$4),Assessments!D:D,IF($E$5="",$C285,$E$5)))</f>
        <v/>
      </c>
      <c r="G285">
        <f>IF($D285=0,"",MINIFS(Assessments!J:J,Assessments!G:G,$A285,Assessments!B:B,"&gt;="&amp;$B$4,Assessments!B:B,"&lt;="&amp;$B$5,Assessments!C:C,IF($E$4="",$B285,$E$4),Assessments!D:D,IF($E$5="",$C285,$E$5)))</f>
        <v/>
      </c>
      <c r="H285">
        <f>IF($E285="","",RANK($E285,$E$8:$E$507,0))</f>
        <v/>
      </c>
      <c r="I285">
        <f>IF($E285="","",IF($E285&gt;=85,"Excellent",IF($E285&gt;=70,"Good",IF($E285&gt;=50,"Fair","Needs Support"))))</f>
        <v/>
      </c>
    </row>
    <row r="286">
      <c r="A286">
        <f>IF(Students!A280="","",Students!A280)</f>
        <v/>
      </c>
      <c r="B286">
        <f>IF($A286="","",Students!B280)</f>
        <v/>
      </c>
      <c r="C286">
        <f>IF($A286="","",Students!C280)</f>
        <v/>
      </c>
      <c r="D286">
        <f>IF($A286="","",COUNTIFS(Assessments!G:G,$A286,Assessments!B:B,"&gt;="&amp;$B$4,Assessments!B:B,"&lt;="&amp;$B$5,Assessments!C:C,IF($E$4="",$B286,$E$4),Assessments!D:D,IF($E$5="",$C286,$E$5)))</f>
        <v/>
      </c>
      <c r="E286">
        <f>IF($D286=0,"",ROUND(AVERAGEIFS(Assessments!J:J,Assessments!G:G,$A286,Assessments!B:B,"&gt;="&amp;$B$4,Assessments!B:B,"&lt;="&amp;$B$5,Assessments!C:C,IF($E$4="",$B286,$E$4),Assessments!D:D,IF($E$5="",$C286,$E$5)),0))</f>
        <v/>
      </c>
      <c r="F286">
        <f>IF($D286=0,"",MAXIFS(Assessments!J:J,Assessments!G:G,$A286,Assessments!B:B,"&gt;="&amp;$B$4,Assessments!B:B,"&lt;="&amp;$B$5,Assessments!C:C,IF($E$4="",$B286,$E$4),Assessments!D:D,IF($E$5="",$C286,$E$5)))</f>
        <v/>
      </c>
      <c r="G286">
        <f>IF($D286=0,"",MINIFS(Assessments!J:J,Assessments!G:G,$A286,Assessments!B:B,"&gt;="&amp;$B$4,Assessments!B:B,"&lt;="&amp;$B$5,Assessments!C:C,IF($E$4="",$B286,$E$4),Assessments!D:D,IF($E$5="",$C286,$E$5)))</f>
        <v/>
      </c>
      <c r="H286">
        <f>IF($E286="","",RANK($E286,$E$8:$E$507,0))</f>
        <v/>
      </c>
      <c r="I286">
        <f>IF($E286="","",IF($E286&gt;=85,"Excellent",IF($E286&gt;=70,"Good",IF($E286&gt;=50,"Fair","Needs Support"))))</f>
        <v/>
      </c>
    </row>
    <row r="287">
      <c r="A287">
        <f>IF(Students!A281="","",Students!A281)</f>
        <v/>
      </c>
      <c r="B287">
        <f>IF($A287="","",Students!B281)</f>
        <v/>
      </c>
      <c r="C287">
        <f>IF($A287="","",Students!C281)</f>
        <v/>
      </c>
      <c r="D287">
        <f>IF($A287="","",COUNTIFS(Assessments!G:G,$A287,Assessments!B:B,"&gt;="&amp;$B$4,Assessments!B:B,"&lt;="&amp;$B$5,Assessments!C:C,IF($E$4="",$B287,$E$4),Assessments!D:D,IF($E$5="",$C287,$E$5)))</f>
        <v/>
      </c>
      <c r="E287">
        <f>IF($D287=0,"",ROUND(AVERAGEIFS(Assessments!J:J,Assessments!G:G,$A287,Assessments!B:B,"&gt;="&amp;$B$4,Assessments!B:B,"&lt;="&amp;$B$5,Assessments!C:C,IF($E$4="",$B287,$E$4),Assessments!D:D,IF($E$5="",$C287,$E$5)),0))</f>
        <v/>
      </c>
      <c r="F287">
        <f>IF($D287=0,"",MAXIFS(Assessments!J:J,Assessments!G:G,$A287,Assessments!B:B,"&gt;="&amp;$B$4,Assessments!B:B,"&lt;="&amp;$B$5,Assessments!C:C,IF($E$4="",$B287,$E$4),Assessments!D:D,IF($E$5="",$C287,$E$5)))</f>
        <v/>
      </c>
      <c r="G287">
        <f>IF($D287=0,"",MINIFS(Assessments!J:J,Assessments!G:G,$A287,Assessments!B:B,"&gt;="&amp;$B$4,Assessments!B:B,"&lt;="&amp;$B$5,Assessments!C:C,IF($E$4="",$B287,$E$4),Assessments!D:D,IF($E$5="",$C287,$E$5)))</f>
        <v/>
      </c>
      <c r="H287">
        <f>IF($E287="","",RANK($E287,$E$8:$E$507,0))</f>
        <v/>
      </c>
      <c r="I287">
        <f>IF($E287="","",IF($E287&gt;=85,"Excellent",IF($E287&gt;=70,"Good",IF($E287&gt;=50,"Fair","Needs Support"))))</f>
        <v/>
      </c>
    </row>
    <row r="288">
      <c r="A288">
        <f>IF(Students!A282="","",Students!A282)</f>
        <v/>
      </c>
      <c r="B288">
        <f>IF($A288="","",Students!B282)</f>
        <v/>
      </c>
      <c r="C288">
        <f>IF($A288="","",Students!C282)</f>
        <v/>
      </c>
      <c r="D288">
        <f>IF($A288="","",COUNTIFS(Assessments!G:G,$A288,Assessments!B:B,"&gt;="&amp;$B$4,Assessments!B:B,"&lt;="&amp;$B$5,Assessments!C:C,IF($E$4="",$B288,$E$4),Assessments!D:D,IF($E$5="",$C288,$E$5)))</f>
        <v/>
      </c>
      <c r="E288">
        <f>IF($D288=0,"",ROUND(AVERAGEIFS(Assessments!J:J,Assessments!G:G,$A288,Assessments!B:B,"&gt;="&amp;$B$4,Assessments!B:B,"&lt;="&amp;$B$5,Assessments!C:C,IF($E$4="",$B288,$E$4),Assessments!D:D,IF($E$5="",$C288,$E$5)),0))</f>
        <v/>
      </c>
      <c r="F288">
        <f>IF($D288=0,"",MAXIFS(Assessments!J:J,Assessments!G:G,$A288,Assessments!B:B,"&gt;="&amp;$B$4,Assessments!B:B,"&lt;="&amp;$B$5,Assessments!C:C,IF($E$4="",$B288,$E$4),Assessments!D:D,IF($E$5="",$C288,$E$5)))</f>
        <v/>
      </c>
      <c r="G288">
        <f>IF($D288=0,"",MINIFS(Assessments!J:J,Assessments!G:G,$A288,Assessments!B:B,"&gt;="&amp;$B$4,Assessments!B:B,"&lt;="&amp;$B$5,Assessments!C:C,IF($E$4="",$B288,$E$4),Assessments!D:D,IF($E$5="",$C288,$E$5)))</f>
        <v/>
      </c>
      <c r="H288">
        <f>IF($E288="","",RANK($E288,$E$8:$E$507,0))</f>
        <v/>
      </c>
      <c r="I288">
        <f>IF($E288="","",IF($E288&gt;=85,"Excellent",IF($E288&gt;=70,"Good",IF($E288&gt;=50,"Fair","Needs Support"))))</f>
        <v/>
      </c>
    </row>
    <row r="289">
      <c r="A289">
        <f>IF(Students!A283="","",Students!A283)</f>
        <v/>
      </c>
      <c r="B289">
        <f>IF($A289="","",Students!B283)</f>
        <v/>
      </c>
      <c r="C289">
        <f>IF($A289="","",Students!C283)</f>
        <v/>
      </c>
      <c r="D289">
        <f>IF($A289="","",COUNTIFS(Assessments!G:G,$A289,Assessments!B:B,"&gt;="&amp;$B$4,Assessments!B:B,"&lt;="&amp;$B$5,Assessments!C:C,IF($E$4="",$B289,$E$4),Assessments!D:D,IF($E$5="",$C289,$E$5)))</f>
        <v/>
      </c>
      <c r="E289">
        <f>IF($D289=0,"",ROUND(AVERAGEIFS(Assessments!J:J,Assessments!G:G,$A289,Assessments!B:B,"&gt;="&amp;$B$4,Assessments!B:B,"&lt;="&amp;$B$5,Assessments!C:C,IF($E$4="",$B289,$E$4),Assessments!D:D,IF($E$5="",$C289,$E$5)),0))</f>
        <v/>
      </c>
      <c r="F289">
        <f>IF($D289=0,"",MAXIFS(Assessments!J:J,Assessments!G:G,$A289,Assessments!B:B,"&gt;="&amp;$B$4,Assessments!B:B,"&lt;="&amp;$B$5,Assessments!C:C,IF($E$4="",$B289,$E$4),Assessments!D:D,IF($E$5="",$C289,$E$5)))</f>
        <v/>
      </c>
      <c r="G289">
        <f>IF($D289=0,"",MINIFS(Assessments!J:J,Assessments!G:G,$A289,Assessments!B:B,"&gt;="&amp;$B$4,Assessments!B:B,"&lt;="&amp;$B$5,Assessments!C:C,IF($E$4="",$B289,$E$4),Assessments!D:D,IF($E$5="",$C289,$E$5)))</f>
        <v/>
      </c>
      <c r="H289">
        <f>IF($E289="","",RANK($E289,$E$8:$E$507,0))</f>
        <v/>
      </c>
      <c r="I289">
        <f>IF($E289="","",IF($E289&gt;=85,"Excellent",IF($E289&gt;=70,"Good",IF($E289&gt;=50,"Fair","Needs Support"))))</f>
        <v/>
      </c>
    </row>
    <row r="290">
      <c r="A290">
        <f>IF(Students!A284="","",Students!A284)</f>
        <v/>
      </c>
      <c r="B290">
        <f>IF($A290="","",Students!B284)</f>
        <v/>
      </c>
      <c r="C290">
        <f>IF($A290="","",Students!C284)</f>
        <v/>
      </c>
      <c r="D290">
        <f>IF($A290="","",COUNTIFS(Assessments!G:G,$A290,Assessments!B:B,"&gt;="&amp;$B$4,Assessments!B:B,"&lt;="&amp;$B$5,Assessments!C:C,IF($E$4="",$B290,$E$4),Assessments!D:D,IF($E$5="",$C290,$E$5)))</f>
        <v/>
      </c>
      <c r="E290">
        <f>IF($D290=0,"",ROUND(AVERAGEIFS(Assessments!J:J,Assessments!G:G,$A290,Assessments!B:B,"&gt;="&amp;$B$4,Assessments!B:B,"&lt;="&amp;$B$5,Assessments!C:C,IF($E$4="",$B290,$E$4),Assessments!D:D,IF($E$5="",$C290,$E$5)),0))</f>
        <v/>
      </c>
      <c r="F290">
        <f>IF($D290=0,"",MAXIFS(Assessments!J:J,Assessments!G:G,$A290,Assessments!B:B,"&gt;="&amp;$B$4,Assessments!B:B,"&lt;="&amp;$B$5,Assessments!C:C,IF($E$4="",$B290,$E$4),Assessments!D:D,IF($E$5="",$C290,$E$5)))</f>
        <v/>
      </c>
      <c r="G290">
        <f>IF($D290=0,"",MINIFS(Assessments!J:J,Assessments!G:G,$A290,Assessments!B:B,"&gt;="&amp;$B$4,Assessments!B:B,"&lt;="&amp;$B$5,Assessments!C:C,IF($E$4="",$B290,$E$4),Assessments!D:D,IF($E$5="",$C290,$E$5)))</f>
        <v/>
      </c>
      <c r="H290">
        <f>IF($E290="","",RANK($E290,$E$8:$E$507,0))</f>
        <v/>
      </c>
      <c r="I290">
        <f>IF($E290="","",IF($E290&gt;=85,"Excellent",IF($E290&gt;=70,"Good",IF($E290&gt;=50,"Fair","Needs Support"))))</f>
        <v/>
      </c>
    </row>
    <row r="291">
      <c r="A291">
        <f>IF(Students!A285="","",Students!A285)</f>
        <v/>
      </c>
      <c r="B291">
        <f>IF($A291="","",Students!B285)</f>
        <v/>
      </c>
      <c r="C291">
        <f>IF($A291="","",Students!C285)</f>
        <v/>
      </c>
      <c r="D291">
        <f>IF($A291="","",COUNTIFS(Assessments!G:G,$A291,Assessments!B:B,"&gt;="&amp;$B$4,Assessments!B:B,"&lt;="&amp;$B$5,Assessments!C:C,IF($E$4="",$B291,$E$4),Assessments!D:D,IF($E$5="",$C291,$E$5)))</f>
        <v/>
      </c>
      <c r="E291">
        <f>IF($D291=0,"",ROUND(AVERAGEIFS(Assessments!J:J,Assessments!G:G,$A291,Assessments!B:B,"&gt;="&amp;$B$4,Assessments!B:B,"&lt;="&amp;$B$5,Assessments!C:C,IF($E$4="",$B291,$E$4),Assessments!D:D,IF($E$5="",$C291,$E$5)),0))</f>
        <v/>
      </c>
      <c r="F291">
        <f>IF($D291=0,"",MAXIFS(Assessments!J:J,Assessments!G:G,$A291,Assessments!B:B,"&gt;="&amp;$B$4,Assessments!B:B,"&lt;="&amp;$B$5,Assessments!C:C,IF($E$4="",$B291,$E$4),Assessments!D:D,IF($E$5="",$C291,$E$5)))</f>
        <v/>
      </c>
      <c r="G291">
        <f>IF($D291=0,"",MINIFS(Assessments!J:J,Assessments!G:G,$A291,Assessments!B:B,"&gt;="&amp;$B$4,Assessments!B:B,"&lt;="&amp;$B$5,Assessments!C:C,IF($E$4="",$B291,$E$4),Assessments!D:D,IF($E$5="",$C291,$E$5)))</f>
        <v/>
      </c>
      <c r="H291">
        <f>IF($E291="","",RANK($E291,$E$8:$E$507,0))</f>
        <v/>
      </c>
      <c r="I291">
        <f>IF($E291="","",IF($E291&gt;=85,"Excellent",IF($E291&gt;=70,"Good",IF($E291&gt;=50,"Fair","Needs Support"))))</f>
        <v/>
      </c>
    </row>
    <row r="292">
      <c r="A292">
        <f>IF(Students!A286="","",Students!A286)</f>
        <v/>
      </c>
      <c r="B292">
        <f>IF($A292="","",Students!B286)</f>
        <v/>
      </c>
      <c r="C292">
        <f>IF($A292="","",Students!C286)</f>
        <v/>
      </c>
      <c r="D292">
        <f>IF($A292="","",COUNTIFS(Assessments!G:G,$A292,Assessments!B:B,"&gt;="&amp;$B$4,Assessments!B:B,"&lt;="&amp;$B$5,Assessments!C:C,IF($E$4="",$B292,$E$4),Assessments!D:D,IF($E$5="",$C292,$E$5)))</f>
        <v/>
      </c>
      <c r="E292">
        <f>IF($D292=0,"",ROUND(AVERAGEIFS(Assessments!J:J,Assessments!G:G,$A292,Assessments!B:B,"&gt;="&amp;$B$4,Assessments!B:B,"&lt;="&amp;$B$5,Assessments!C:C,IF($E$4="",$B292,$E$4),Assessments!D:D,IF($E$5="",$C292,$E$5)),0))</f>
        <v/>
      </c>
      <c r="F292">
        <f>IF($D292=0,"",MAXIFS(Assessments!J:J,Assessments!G:G,$A292,Assessments!B:B,"&gt;="&amp;$B$4,Assessments!B:B,"&lt;="&amp;$B$5,Assessments!C:C,IF($E$4="",$B292,$E$4),Assessments!D:D,IF($E$5="",$C292,$E$5)))</f>
        <v/>
      </c>
      <c r="G292">
        <f>IF($D292=0,"",MINIFS(Assessments!J:J,Assessments!G:G,$A292,Assessments!B:B,"&gt;="&amp;$B$4,Assessments!B:B,"&lt;="&amp;$B$5,Assessments!C:C,IF($E$4="",$B292,$E$4),Assessments!D:D,IF($E$5="",$C292,$E$5)))</f>
        <v/>
      </c>
      <c r="H292">
        <f>IF($E292="","",RANK($E292,$E$8:$E$507,0))</f>
        <v/>
      </c>
      <c r="I292">
        <f>IF($E292="","",IF($E292&gt;=85,"Excellent",IF($E292&gt;=70,"Good",IF($E292&gt;=50,"Fair","Needs Support"))))</f>
        <v/>
      </c>
    </row>
    <row r="293">
      <c r="A293">
        <f>IF(Students!A287="","",Students!A287)</f>
        <v/>
      </c>
      <c r="B293">
        <f>IF($A293="","",Students!B287)</f>
        <v/>
      </c>
      <c r="C293">
        <f>IF($A293="","",Students!C287)</f>
        <v/>
      </c>
      <c r="D293">
        <f>IF($A293="","",COUNTIFS(Assessments!G:G,$A293,Assessments!B:B,"&gt;="&amp;$B$4,Assessments!B:B,"&lt;="&amp;$B$5,Assessments!C:C,IF($E$4="",$B293,$E$4),Assessments!D:D,IF($E$5="",$C293,$E$5)))</f>
        <v/>
      </c>
      <c r="E293">
        <f>IF($D293=0,"",ROUND(AVERAGEIFS(Assessments!J:J,Assessments!G:G,$A293,Assessments!B:B,"&gt;="&amp;$B$4,Assessments!B:B,"&lt;="&amp;$B$5,Assessments!C:C,IF($E$4="",$B293,$E$4),Assessments!D:D,IF($E$5="",$C293,$E$5)),0))</f>
        <v/>
      </c>
      <c r="F293">
        <f>IF($D293=0,"",MAXIFS(Assessments!J:J,Assessments!G:G,$A293,Assessments!B:B,"&gt;="&amp;$B$4,Assessments!B:B,"&lt;="&amp;$B$5,Assessments!C:C,IF($E$4="",$B293,$E$4),Assessments!D:D,IF($E$5="",$C293,$E$5)))</f>
        <v/>
      </c>
      <c r="G293">
        <f>IF($D293=0,"",MINIFS(Assessments!J:J,Assessments!G:G,$A293,Assessments!B:B,"&gt;="&amp;$B$4,Assessments!B:B,"&lt;="&amp;$B$5,Assessments!C:C,IF($E$4="",$B293,$E$4),Assessments!D:D,IF($E$5="",$C293,$E$5)))</f>
        <v/>
      </c>
      <c r="H293">
        <f>IF($E293="","",RANK($E293,$E$8:$E$507,0))</f>
        <v/>
      </c>
      <c r="I293">
        <f>IF($E293="","",IF($E293&gt;=85,"Excellent",IF($E293&gt;=70,"Good",IF($E293&gt;=50,"Fair","Needs Support"))))</f>
        <v/>
      </c>
    </row>
    <row r="294">
      <c r="A294">
        <f>IF(Students!A288="","",Students!A288)</f>
        <v/>
      </c>
      <c r="B294">
        <f>IF($A294="","",Students!B288)</f>
        <v/>
      </c>
      <c r="C294">
        <f>IF($A294="","",Students!C288)</f>
        <v/>
      </c>
      <c r="D294">
        <f>IF($A294="","",COUNTIFS(Assessments!G:G,$A294,Assessments!B:B,"&gt;="&amp;$B$4,Assessments!B:B,"&lt;="&amp;$B$5,Assessments!C:C,IF($E$4="",$B294,$E$4),Assessments!D:D,IF($E$5="",$C294,$E$5)))</f>
        <v/>
      </c>
      <c r="E294">
        <f>IF($D294=0,"",ROUND(AVERAGEIFS(Assessments!J:J,Assessments!G:G,$A294,Assessments!B:B,"&gt;="&amp;$B$4,Assessments!B:B,"&lt;="&amp;$B$5,Assessments!C:C,IF($E$4="",$B294,$E$4),Assessments!D:D,IF($E$5="",$C294,$E$5)),0))</f>
        <v/>
      </c>
      <c r="F294">
        <f>IF($D294=0,"",MAXIFS(Assessments!J:J,Assessments!G:G,$A294,Assessments!B:B,"&gt;="&amp;$B$4,Assessments!B:B,"&lt;="&amp;$B$5,Assessments!C:C,IF($E$4="",$B294,$E$4),Assessments!D:D,IF($E$5="",$C294,$E$5)))</f>
        <v/>
      </c>
      <c r="G294">
        <f>IF($D294=0,"",MINIFS(Assessments!J:J,Assessments!G:G,$A294,Assessments!B:B,"&gt;="&amp;$B$4,Assessments!B:B,"&lt;="&amp;$B$5,Assessments!C:C,IF($E$4="",$B294,$E$4),Assessments!D:D,IF($E$5="",$C294,$E$5)))</f>
        <v/>
      </c>
      <c r="H294">
        <f>IF($E294="","",RANK($E294,$E$8:$E$507,0))</f>
        <v/>
      </c>
      <c r="I294">
        <f>IF($E294="","",IF($E294&gt;=85,"Excellent",IF($E294&gt;=70,"Good",IF($E294&gt;=50,"Fair","Needs Support"))))</f>
        <v/>
      </c>
    </row>
    <row r="295">
      <c r="A295">
        <f>IF(Students!A289="","",Students!A289)</f>
        <v/>
      </c>
      <c r="B295">
        <f>IF($A295="","",Students!B289)</f>
        <v/>
      </c>
      <c r="C295">
        <f>IF($A295="","",Students!C289)</f>
        <v/>
      </c>
      <c r="D295">
        <f>IF($A295="","",COUNTIFS(Assessments!G:G,$A295,Assessments!B:B,"&gt;="&amp;$B$4,Assessments!B:B,"&lt;="&amp;$B$5,Assessments!C:C,IF($E$4="",$B295,$E$4),Assessments!D:D,IF($E$5="",$C295,$E$5)))</f>
        <v/>
      </c>
      <c r="E295">
        <f>IF($D295=0,"",ROUND(AVERAGEIFS(Assessments!J:J,Assessments!G:G,$A295,Assessments!B:B,"&gt;="&amp;$B$4,Assessments!B:B,"&lt;="&amp;$B$5,Assessments!C:C,IF($E$4="",$B295,$E$4),Assessments!D:D,IF($E$5="",$C295,$E$5)),0))</f>
        <v/>
      </c>
      <c r="F295">
        <f>IF($D295=0,"",MAXIFS(Assessments!J:J,Assessments!G:G,$A295,Assessments!B:B,"&gt;="&amp;$B$4,Assessments!B:B,"&lt;="&amp;$B$5,Assessments!C:C,IF($E$4="",$B295,$E$4),Assessments!D:D,IF($E$5="",$C295,$E$5)))</f>
        <v/>
      </c>
      <c r="G295">
        <f>IF($D295=0,"",MINIFS(Assessments!J:J,Assessments!G:G,$A295,Assessments!B:B,"&gt;="&amp;$B$4,Assessments!B:B,"&lt;="&amp;$B$5,Assessments!C:C,IF($E$4="",$B295,$E$4),Assessments!D:D,IF($E$5="",$C295,$E$5)))</f>
        <v/>
      </c>
      <c r="H295">
        <f>IF($E295="","",RANK($E295,$E$8:$E$507,0))</f>
        <v/>
      </c>
      <c r="I295">
        <f>IF($E295="","",IF($E295&gt;=85,"Excellent",IF($E295&gt;=70,"Good",IF($E295&gt;=50,"Fair","Needs Support"))))</f>
        <v/>
      </c>
    </row>
    <row r="296">
      <c r="A296">
        <f>IF(Students!A290="","",Students!A290)</f>
        <v/>
      </c>
      <c r="B296">
        <f>IF($A296="","",Students!B290)</f>
        <v/>
      </c>
      <c r="C296">
        <f>IF($A296="","",Students!C290)</f>
        <v/>
      </c>
      <c r="D296">
        <f>IF($A296="","",COUNTIFS(Assessments!G:G,$A296,Assessments!B:B,"&gt;="&amp;$B$4,Assessments!B:B,"&lt;="&amp;$B$5,Assessments!C:C,IF($E$4="",$B296,$E$4),Assessments!D:D,IF($E$5="",$C296,$E$5)))</f>
        <v/>
      </c>
      <c r="E296">
        <f>IF($D296=0,"",ROUND(AVERAGEIFS(Assessments!J:J,Assessments!G:G,$A296,Assessments!B:B,"&gt;="&amp;$B$4,Assessments!B:B,"&lt;="&amp;$B$5,Assessments!C:C,IF($E$4="",$B296,$E$4),Assessments!D:D,IF($E$5="",$C296,$E$5)),0))</f>
        <v/>
      </c>
      <c r="F296">
        <f>IF($D296=0,"",MAXIFS(Assessments!J:J,Assessments!G:G,$A296,Assessments!B:B,"&gt;="&amp;$B$4,Assessments!B:B,"&lt;="&amp;$B$5,Assessments!C:C,IF($E$4="",$B296,$E$4),Assessments!D:D,IF($E$5="",$C296,$E$5)))</f>
        <v/>
      </c>
      <c r="G296">
        <f>IF($D296=0,"",MINIFS(Assessments!J:J,Assessments!G:G,$A296,Assessments!B:B,"&gt;="&amp;$B$4,Assessments!B:B,"&lt;="&amp;$B$5,Assessments!C:C,IF($E$4="",$B296,$E$4),Assessments!D:D,IF($E$5="",$C296,$E$5)))</f>
        <v/>
      </c>
      <c r="H296">
        <f>IF($E296="","",RANK($E296,$E$8:$E$507,0))</f>
        <v/>
      </c>
      <c r="I296">
        <f>IF($E296="","",IF($E296&gt;=85,"Excellent",IF($E296&gt;=70,"Good",IF($E296&gt;=50,"Fair","Needs Support"))))</f>
        <v/>
      </c>
    </row>
    <row r="297">
      <c r="A297">
        <f>IF(Students!A291="","",Students!A291)</f>
        <v/>
      </c>
      <c r="B297">
        <f>IF($A297="","",Students!B291)</f>
        <v/>
      </c>
      <c r="C297">
        <f>IF($A297="","",Students!C291)</f>
        <v/>
      </c>
      <c r="D297">
        <f>IF($A297="","",COUNTIFS(Assessments!G:G,$A297,Assessments!B:B,"&gt;="&amp;$B$4,Assessments!B:B,"&lt;="&amp;$B$5,Assessments!C:C,IF($E$4="",$B297,$E$4),Assessments!D:D,IF($E$5="",$C297,$E$5)))</f>
        <v/>
      </c>
      <c r="E297">
        <f>IF($D297=0,"",ROUND(AVERAGEIFS(Assessments!J:J,Assessments!G:G,$A297,Assessments!B:B,"&gt;="&amp;$B$4,Assessments!B:B,"&lt;="&amp;$B$5,Assessments!C:C,IF($E$4="",$B297,$E$4),Assessments!D:D,IF($E$5="",$C297,$E$5)),0))</f>
        <v/>
      </c>
      <c r="F297">
        <f>IF($D297=0,"",MAXIFS(Assessments!J:J,Assessments!G:G,$A297,Assessments!B:B,"&gt;="&amp;$B$4,Assessments!B:B,"&lt;="&amp;$B$5,Assessments!C:C,IF($E$4="",$B297,$E$4),Assessments!D:D,IF($E$5="",$C297,$E$5)))</f>
        <v/>
      </c>
      <c r="G297">
        <f>IF($D297=0,"",MINIFS(Assessments!J:J,Assessments!G:G,$A297,Assessments!B:B,"&gt;="&amp;$B$4,Assessments!B:B,"&lt;="&amp;$B$5,Assessments!C:C,IF($E$4="",$B297,$E$4),Assessments!D:D,IF($E$5="",$C297,$E$5)))</f>
        <v/>
      </c>
      <c r="H297">
        <f>IF($E297="","",RANK($E297,$E$8:$E$507,0))</f>
        <v/>
      </c>
      <c r="I297">
        <f>IF($E297="","",IF($E297&gt;=85,"Excellent",IF($E297&gt;=70,"Good",IF($E297&gt;=50,"Fair","Needs Support"))))</f>
        <v/>
      </c>
    </row>
    <row r="298">
      <c r="A298">
        <f>IF(Students!A292="","",Students!A292)</f>
        <v/>
      </c>
      <c r="B298">
        <f>IF($A298="","",Students!B292)</f>
        <v/>
      </c>
      <c r="C298">
        <f>IF($A298="","",Students!C292)</f>
        <v/>
      </c>
      <c r="D298">
        <f>IF($A298="","",COUNTIFS(Assessments!G:G,$A298,Assessments!B:B,"&gt;="&amp;$B$4,Assessments!B:B,"&lt;="&amp;$B$5,Assessments!C:C,IF($E$4="",$B298,$E$4),Assessments!D:D,IF($E$5="",$C298,$E$5)))</f>
        <v/>
      </c>
      <c r="E298">
        <f>IF($D298=0,"",ROUND(AVERAGEIFS(Assessments!J:J,Assessments!G:G,$A298,Assessments!B:B,"&gt;="&amp;$B$4,Assessments!B:B,"&lt;="&amp;$B$5,Assessments!C:C,IF($E$4="",$B298,$E$4),Assessments!D:D,IF($E$5="",$C298,$E$5)),0))</f>
        <v/>
      </c>
      <c r="F298">
        <f>IF($D298=0,"",MAXIFS(Assessments!J:J,Assessments!G:G,$A298,Assessments!B:B,"&gt;="&amp;$B$4,Assessments!B:B,"&lt;="&amp;$B$5,Assessments!C:C,IF($E$4="",$B298,$E$4),Assessments!D:D,IF($E$5="",$C298,$E$5)))</f>
        <v/>
      </c>
      <c r="G298">
        <f>IF($D298=0,"",MINIFS(Assessments!J:J,Assessments!G:G,$A298,Assessments!B:B,"&gt;="&amp;$B$4,Assessments!B:B,"&lt;="&amp;$B$5,Assessments!C:C,IF($E$4="",$B298,$E$4),Assessments!D:D,IF($E$5="",$C298,$E$5)))</f>
        <v/>
      </c>
      <c r="H298">
        <f>IF($E298="","",RANK($E298,$E$8:$E$507,0))</f>
        <v/>
      </c>
      <c r="I298">
        <f>IF($E298="","",IF($E298&gt;=85,"Excellent",IF($E298&gt;=70,"Good",IF($E298&gt;=50,"Fair","Needs Support"))))</f>
        <v/>
      </c>
    </row>
    <row r="299">
      <c r="A299">
        <f>IF(Students!A293="","",Students!A293)</f>
        <v/>
      </c>
      <c r="B299">
        <f>IF($A299="","",Students!B293)</f>
        <v/>
      </c>
      <c r="C299">
        <f>IF($A299="","",Students!C293)</f>
        <v/>
      </c>
      <c r="D299">
        <f>IF($A299="","",COUNTIFS(Assessments!G:G,$A299,Assessments!B:B,"&gt;="&amp;$B$4,Assessments!B:B,"&lt;="&amp;$B$5,Assessments!C:C,IF($E$4="",$B299,$E$4),Assessments!D:D,IF($E$5="",$C299,$E$5)))</f>
        <v/>
      </c>
      <c r="E299">
        <f>IF($D299=0,"",ROUND(AVERAGEIFS(Assessments!J:J,Assessments!G:G,$A299,Assessments!B:B,"&gt;="&amp;$B$4,Assessments!B:B,"&lt;="&amp;$B$5,Assessments!C:C,IF($E$4="",$B299,$E$4),Assessments!D:D,IF($E$5="",$C299,$E$5)),0))</f>
        <v/>
      </c>
      <c r="F299">
        <f>IF($D299=0,"",MAXIFS(Assessments!J:J,Assessments!G:G,$A299,Assessments!B:B,"&gt;="&amp;$B$4,Assessments!B:B,"&lt;="&amp;$B$5,Assessments!C:C,IF($E$4="",$B299,$E$4),Assessments!D:D,IF($E$5="",$C299,$E$5)))</f>
        <v/>
      </c>
      <c r="G299">
        <f>IF($D299=0,"",MINIFS(Assessments!J:J,Assessments!G:G,$A299,Assessments!B:B,"&gt;="&amp;$B$4,Assessments!B:B,"&lt;="&amp;$B$5,Assessments!C:C,IF($E$4="",$B299,$E$4),Assessments!D:D,IF($E$5="",$C299,$E$5)))</f>
        <v/>
      </c>
      <c r="H299">
        <f>IF($E299="","",RANK($E299,$E$8:$E$507,0))</f>
        <v/>
      </c>
      <c r="I299">
        <f>IF($E299="","",IF($E299&gt;=85,"Excellent",IF($E299&gt;=70,"Good",IF($E299&gt;=50,"Fair","Needs Support"))))</f>
        <v/>
      </c>
    </row>
    <row r="300">
      <c r="A300">
        <f>IF(Students!A294="","",Students!A294)</f>
        <v/>
      </c>
      <c r="B300">
        <f>IF($A300="","",Students!B294)</f>
        <v/>
      </c>
      <c r="C300">
        <f>IF($A300="","",Students!C294)</f>
        <v/>
      </c>
      <c r="D300">
        <f>IF($A300="","",COUNTIFS(Assessments!G:G,$A300,Assessments!B:B,"&gt;="&amp;$B$4,Assessments!B:B,"&lt;="&amp;$B$5,Assessments!C:C,IF($E$4="",$B300,$E$4),Assessments!D:D,IF($E$5="",$C300,$E$5)))</f>
        <v/>
      </c>
      <c r="E300">
        <f>IF($D300=0,"",ROUND(AVERAGEIFS(Assessments!J:J,Assessments!G:G,$A300,Assessments!B:B,"&gt;="&amp;$B$4,Assessments!B:B,"&lt;="&amp;$B$5,Assessments!C:C,IF($E$4="",$B300,$E$4),Assessments!D:D,IF($E$5="",$C300,$E$5)),0))</f>
        <v/>
      </c>
      <c r="F300">
        <f>IF($D300=0,"",MAXIFS(Assessments!J:J,Assessments!G:G,$A300,Assessments!B:B,"&gt;="&amp;$B$4,Assessments!B:B,"&lt;="&amp;$B$5,Assessments!C:C,IF($E$4="",$B300,$E$4),Assessments!D:D,IF($E$5="",$C300,$E$5)))</f>
        <v/>
      </c>
      <c r="G300">
        <f>IF($D300=0,"",MINIFS(Assessments!J:J,Assessments!G:G,$A300,Assessments!B:B,"&gt;="&amp;$B$4,Assessments!B:B,"&lt;="&amp;$B$5,Assessments!C:C,IF($E$4="",$B300,$E$4),Assessments!D:D,IF($E$5="",$C300,$E$5)))</f>
        <v/>
      </c>
      <c r="H300">
        <f>IF($E300="","",RANK($E300,$E$8:$E$507,0))</f>
        <v/>
      </c>
      <c r="I300">
        <f>IF($E300="","",IF($E300&gt;=85,"Excellent",IF($E300&gt;=70,"Good",IF($E300&gt;=50,"Fair","Needs Support"))))</f>
        <v/>
      </c>
    </row>
    <row r="301">
      <c r="A301">
        <f>IF(Students!A295="","",Students!A295)</f>
        <v/>
      </c>
      <c r="B301">
        <f>IF($A301="","",Students!B295)</f>
        <v/>
      </c>
      <c r="C301">
        <f>IF($A301="","",Students!C295)</f>
        <v/>
      </c>
      <c r="D301">
        <f>IF($A301="","",COUNTIFS(Assessments!G:G,$A301,Assessments!B:B,"&gt;="&amp;$B$4,Assessments!B:B,"&lt;="&amp;$B$5,Assessments!C:C,IF($E$4="",$B301,$E$4),Assessments!D:D,IF($E$5="",$C301,$E$5)))</f>
        <v/>
      </c>
      <c r="E301">
        <f>IF($D301=0,"",ROUND(AVERAGEIFS(Assessments!J:J,Assessments!G:G,$A301,Assessments!B:B,"&gt;="&amp;$B$4,Assessments!B:B,"&lt;="&amp;$B$5,Assessments!C:C,IF($E$4="",$B301,$E$4),Assessments!D:D,IF($E$5="",$C301,$E$5)),0))</f>
        <v/>
      </c>
      <c r="F301">
        <f>IF($D301=0,"",MAXIFS(Assessments!J:J,Assessments!G:G,$A301,Assessments!B:B,"&gt;="&amp;$B$4,Assessments!B:B,"&lt;="&amp;$B$5,Assessments!C:C,IF($E$4="",$B301,$E$4),Assessments!D:D,IF($E$5="",$C301,$E$5)))</f>
        <v/>
      </c>
      <c r="G301">
        <f>IF($D301=0,"",MINIFS(Assessments!J:J,Assessments!G:G,$A301,Assessments!B:B,"&gt;="&amp;$B$4,Assessments!B:B,"&lt;="&amp;$B$5,Assessments!C:C,IF($E$4="",$B301,$E$4),Assessments!D:D,IF($E$5="",$C301,$E$5)))</f>
        <v/>
      </c>
      <c r="H301">
        <f>IF($E301="","",RANK($E301,$E$8:$E$507,0))</f>
        <v/>
      </c>
      <c r="I301">
        <f>IF($E301="","",IF($E301&gt;=85,"Excellent",IF($E301&gt;=70,"Good",IF($E301&gt;=50,"Fair","Needs Support"))))</f>
        <v/>
      </c>
    </row>
    <row r="302">
      <c r="A302">
        <f>IF(Students!A296="","",Students!A296)</f>
        <v/>
      </c>
      <c r="B302">
        <f>IF($A302="","",Students!B296)</f>
        <v/>
      </c>
      <c r="C302">
        <f>IF($A302="","",Students!C296)</f>
        <v/>
      </c>
      <c r="D302">
        <f>IF($A302="","",COUNTIFS(Assessments!G:G,$A302,Assessments!B:B,"&gt;="&amp;$B$4,Assessments!B:B,"&lt;="&amp;$B$5,Assessments!C:C,IF($E$4="",$B302,$E$4),Assessments!D:D,IF($E$5="",$C302,$E$5)))</f>
        <v/>
      </c>
      <c r="E302">
        <f>IF($D302=0,"",ROUND(AVERAGEIFS(Assessments!J:J,Assessments!G:G,$A302,Assessments!B:B,"&gt;="&amp;$B$4,Assessments!B:B,"&lt;="&amp;$B$5,Assessments!C:C,IF($E$4="",$B302,$E$4),Assessments!D:D,IF($E$5="",$C302,$E$5)),0))</f>
        <v/>
      </c>
      <c r="F302">
        <f>IF($D302=0,"",MAXIFS(Assessments!J:J,Assessments!G:G,$A302,Assessments!B:B,"&gt;="&amp;$B$4,Assessments!B:B,"&lt;="&amp;$B$5,Assessments!C:C,IF($E$4="",$B302,$E$4),Assessments!D:D,IF($E$5="",$C302,$E$5)))</f>
        <v/>
      </c>
      <c r="G302">
        <f>IF($D302=0,"",MINIFS(Assessments!J:J,Assessments!G:G,$A302,Assessments!B:B,"&gt;="&amp;$B$4,Assessments!B:B,"&lt;="&amp;$B$5,Assessments!C:C,IF($E$4="",$B302,$E$4),Assessments!D:D,IF($E$5="",$C302,$E$5)))</f>
        <v/>
      </c>
      <c r="H302">
        <f>IF($E302="","",RANK($E302,$E$8:$E$507,0))</f>
        <v/>
      </c>
      <c r="I302">
        <f>IF($E302="","",IF($E302&gt;=85,"Excellent",IF($E302&gt;=70,"Good",IF($E302&gt;=50,"Fair","Needs Support"))))</f>
        <v/>
      </c>
    </row>
    <row r="303">
      <c r="A303">
        <f>IF(Students!A297="","",Students!A297)</f>
        <v/>
      </c>
      <c r="B303">
        <f>IF($A303="","",Students!B297)</f>
        <v/>
      </c>
      <c r="C303">
        <f>IF($A303="","",Students!C297)</f>
        <v/>
      </c>
      <c r="D303">
        <f>IF($A303="","",COUNTIFS(Assessments!G:G,$A303,Assessments!B:B,"&gt;="&amp;$B$4,Assessments!B:B,"&lt;="&amp;$B$5,Assessments!C:C,IF($E$4="",$B303,$E$4),Assessments!D:D,IF($E$5="",$C303,$E$5)))</f>
        <v/>
      </c>
      <c r="E303">
        <f>IF($D303=0,"",ROUND(AVERAGEIFS(Assessments!J:J,Assessments!G:G,$A303,Assessments!B:B,"&gt;="&amp;$B$4,Assessments!B:B,"&lt;="&amp;$B$5,Assessments!C:C,IF($E$4="",$B303,$E$4),Assessments!D:D,IF($E$5="",$C303,$E$5)),0))</f>
        <v/>
      </c>
      <c r="F303">
        <f>IF($D303=0,"",MAXIFS(Assessments!J:J,Assessments!G:G,$A303,Assessments!B:B,"&gt;="&amp;$B$4,Assessments!B:B,"&lt;="&amp;$B$5,Assessments!C:C,IF($E$4="",$B303,$E$4),Assessments!D:D,IF($E$5="",$C303,$E$5)))</f>
        <v/>
      </c>
      <c r="G303">
        <f>IF($D303=0,"",MINIFS(Assessments!J:J,Assessments!G:G,$A303,Assessments!B:B,"&gt;="&amp;$B$4,Assessments!B:B,"&lt;="&amp;$B$5,Assessments!C:C,IF($E$4="",$B303,$E$4),Assessments!D:D,IF($E$5="",$C303,$E$5)))</f>
        <v/>
      </c>
      <c r="H303">
        <f>IF($E303="","",RANK($E303,$E$8:$E$507,0))</f>
        <v/>
      </c>
      <c r="I303">
        <f>IF($E303="","",IF($E303&gt;=85,"Excellent",IF($E303&gt;=70,"Good",IF($E303&gt;=50,"Fair","Needs Support"))))</f>
        <v/>
      </c>
    </row>
    <row r="304">
      <c r="A304">
        <f>IF(Students!A298="","",Students!A298)</f>
        <v/>
      </c>
      <c r="B304">
        <f>IF($A304="","",Students!B298)</f>
        <v/>
      </c>
      <c r="C304">
        <f>IF($A304="","",Students!C298)</f>
        <v/>
      </c>
      <c r="D304">
        <f>IF($A304="","",COUNTIFS(Assessments!G:G,$A304,Assessments!B:B,"&gt;="&amp;$B$4,Assessments!B:B,"&lt;="&amp;$B$5,Assessments!C:C,IF($E$4="",$B304,$E$4),Assessments!D:D,IF($E$5="",$C304,$E$5)))</f>
        <v/>
      </c>
      <c r="E304">
        <f>IF($D304=0,"",ROUND(AVERAGEIFS(Assessments!J:J,Assessments!G:G,$A304,Assessments!B:B,"&gt;="&amp;$B$4,Assessments!B:B,"&lt;="&amp;$B$5,Assessments!C:C,IF($E$4="",$B304,$E$4),Assessments!D:D,IF($E$5="",$C304,$E$5)),0))</f>
        <v/>
      </c>
      <c r="F304">
        <f>IF($D304=0,"",MAXIFS(Assessments!J:J,Assessments!G:G,$A304,Assessments!B:B,"&gt;="&amp;$B$4,Assessments!B:B,"&lt;="&amp;$B$5,Assessments!C:C,IF($E$4="",$B304,$E$4),Assessments!D:D,IF($E$5="",$C304,$E$5)))</f>
        <v/>
      </c>
      <c r="G304">
        <f>IF($D304=0,"",MINIFS(Assessments!J:J,Assessments!G:G,$A304,Assessments!B:B,"&gt;="&amp;$B$4,Assessments!B:B,"&lt;="&amp;$B$5,Assessments!C:C,IF($E$4="",$B304,$E$4),Assessments!D:D,IF($E$5="",$C304,$E$5)))</f>
        <v/>
      </c>
      <c r="H304">
        <f>IF($E304="","",RANK($E304,$E$8:$E$507,0))</f>
        <v/>
      </c>
      <c r="I304">
        <f>IF($E304="","",IF($E304&gt;=85,"Excellent",IF($E304&gt;=70,"Good",IF($E304&gt;=50,"Fair","Needs Support"))))</f>
        <v/>
      </c>
    </row>
    <row r="305">
      <c r="A305">
        <f>IF(Students!A299="","",Students!A299)</f>
        <v/>
      </c>
      <c r="B305">
        <f>IF($A305="","",Students!B299)</f>
        <v/>
      </c>
      <c r="C305">
        <f>IF($A305="","",Students!C299)</f>
        <v/>
      </c>
      <c r="D305">
        <f>IF($A305="","",COUNTIFS(Assessments!G:G,$A305,Assessments!B:B,"&gt;="&amp;$B$4,Assessments!B:B,"&lt;="&amp;$B$5,Assessments!C:C,IF($E$4="",$B305,$E$4),Assessments!D:D,IF($E$5="",$C305,$E$5)))</f>
        <v/>
      </c>
      <c r="E305">
        <f>IF($D305=0,"",ROUND(AVERAGEIFS(Assessments!J:J,Assessments!G:G,$A305,Assessments!B:B,"&gt;="&amp;$B$4,Assessments!B:B,"&lt;="&amp;$B$5,Assessments!C:C,IF($E$4="",$B305,$E$4),Assessments!D:D,IF($E$5="",$C305,$E$5)),0))</f>
        <v/>
      </c>
      <c r="F305">
        <f>IF($D305=0,"",MAXIFS(Assessments!J:J,Assessments!G:G,$A305,Assessments!B:B,"&gt;="&amp;$B$4,Assessments!B:B,"&lt;="&amp;$B$5,Assessments!C:C,IF($E$4="",$B305,$E$4),Assessments!D:D,IF($E$5="",$C305,$E$5)))</f>
        <v/>
      </c>
      <c r="G305">
        <f>IF($D305=0,"",MINIFS(Assessments!J:J,Assessments!G:G,$A305,Assessments!B:B,"&gt;="&amp;$B$4,Assessments!B:B,"&lt;="&amp;$B$5,Assessments!C:C,IF($E$4="",$B305,$E$4),Assessments!D:D,IF($E$5="",$C305,$E$5)))</f>
        <v/>
      </c>
      <c r="H305">
        <f>IF($E305="","",RANK($E305,$E$8:$E$507,0))</f>
        <v/>
      </c>
      <c r="I305">
        <f>IF($E305="","",IF($E305&gt;=85,"Excellent",IF($E305&gt;=70,"Good",IF($E305&gt;=50,"Fair","Needs Support"))))</f>
        <v/>
      </c>
    </row>
    <row r="306">
      <c r="A306">
        <f>IF(Students!A300="","",Students!A300)</f>
        <v/>
      </c>
      <c r="B306">
        <f>IF($A306="","",Students!B300)</f>
        <v/>
      </c>
      <c r="C306">
        <f>IF($A306="","",Students!C300)</f>
        <v/>
      </c>
      <c r="D306">
        <f>IF($A306="","",COUNTIFS(Assessments!G:G,$A306,Assessments!B:B,"&gt;="&amp;$B$4,Assessments!B:B,"&lt;="&amp;$B$5,Assessments!C:C,IF($E$4="",$B306,$E$4),Assessments!D:D,IF($E$5="",$C306,$E$5)))</f>
        <v/>
      </c>
      <c r="E306">
        <f>IF($D306=0,"",ROUND(AVERAGEIFS(Assessments!J:J,Assessments!G:G,$A306,Assessments!B:B,"&gt;="&amp;$B$4,Assessments!B:B,"&lt;="&amp;$B$5,Assessments!C:C,IF($E$4="",$B306,$E$4),Assessments!D:D,IF($E$5="",$C306,$E$5)),0))</f>
        <v/>
      </c>
      <c r="F306">
        <f>IF($D306=0,"",MAXIFS(Assessments!J:J,Assessments!G:G,$A306,Assessments!B:B,"&gt;="&amp;$B$4,Assessments!B:B,"&lt;="&amp;$B$5,Assessments!C:C,IF($E$4="",$B306,$E$4),Assessments!D:D,IF($E$5="",$C306,$E$5)))</f>
        <v/>
      </c>
      <c r="G306">
        <f>IF($D306=0,"",MINIFS(Assessments!J:J,Assessments!G:G,$A306,Assessments!B:B,"&gt;="&amp;$B$4,Assessments!B:B,"&lt;="&amp;$B$5,Assessments!C:C,IF($E$4="",$B306,$E$4),Assessments!D:D,IF($E$5="",$C306,$E$5)))</f>
        <v/>
      </c>
      <c r="H306">
        <f>IF($E306="","",RANK($E306,$E$8:$E$507,0))</f>
        <v/>
      </c>
      <c r="I306">
        <f>IF($E306="","",IF($E306&gt;=85,"Excellent",IF($E306&gt;=70,"Good",IF($E306&gt;=50,"Fair","Needs Support"))))</f>
        <v/>
      </c>
    </row>
    <row r="307">
      <c r="A307">
        <f>IF(Students!A301="","",Students!A301)</f>
        <v/>
      </c>
      <c r="B307">
        <f>IF($A307="","",Students!B301)</f>
        <v/>
      </c>
      <c r="C307">
        <f>IF($A307="","",Students!C301)</f>
        <v/>
      </c>
      <c r="D307">
        <f>IF($A307="","",COUNTIFS(Assessments!G:G,$A307,Assessments!B:B,"&gt;="&amp;$B$4,Assessments!B:B,"&lt;="&amp;$B$5,Assessments!C:C,IF($E$4="",$B307,$E$4),Assessments!D:D,IF($E$5="",$C307,$E$5)))</f>
        <v/>
      </c>
      <c r="E307">
        <f>IF($D307=0,"",ROUND(AVERAGEIFS(Assessments!J:J,Assessments!G:G,$A307,Assessments!B:B,"&gt;="&amp;$B$4,Assessments!B:B,"&lt;="&amp;$B$5,Assessments!C:C,IF($E$4="",$B307,$E$4),Assessments!D:D,IF($E$5="",$C307,$E$5)),0))</f>
        <v/>
      </c>
      <c r="F307">
        <f>IF($D307=0,"",MAXIFS(Assessments!J:J,Assessments!G:G,$A307,Assessments!B:B,"&gt;="&amp;$B$4,Assessments!B:B,"&lt;="&amp;$B$5,Assessments!C:C,IF($E$4="",$B307,$E$4),Assessments!D:D,IF($E$5="",$C307,$E$5)))</f>
        <v/>
      </c>
      <c r="G307">
        <f>IF($D307=0,"",MINIFS(Assessments!J:J,Assessments!G:G,$A307,Assessments!B:B,"&gt;="&amp;$B$4,Assessments!B:B,"&lt;="&amp;$B$5,Assessments!C:C,IF($E$4="",$B307,$E$4),Assessments!D:D,IF($E$5="",$C307,$E$5)))</f>
        <v/>
      </c>
      <c r="H307">
        <f>IF($E307="","",RANK($E307,$E$8:$E$507,0))</f>
        <v/>
      </c>
      <c r="I307">
        <f>IF($E307="","",IF($E307&gt;=85,"Excellent",IF($E307&gt;=70,"Good",IF($E307&gt;=50,"Fair","Needs Support"))))</f>
        <v/>
      </c>
    </row>
    <row r="308">
      <c r="A308">
        <f>IF(Students!A302="","",Students!A302)</f>
        <v/>
      </c>
      <c r="B308">
        <f>IF($A308="","",Students!B302)</f>
        <v/>
      </c>
      <c r="C308">
        <f>IF($A308="","",Students!C302)</f>
        <v/>
      </c>
      <c r="D308">
        <f>IF($A308="","",COUNTIFS(Assessments!G:G,$A308,Assessments!B:B,"&gt;="&amp;$B$4,Assessments!B:B,"&lt;="&amp;$B$5,Assessments!C:C,IF($E$4="",$B308,$E$4),Assessments!D:D,IF($E$5="",$C308,$E$5)))</f>
        <v/>
      </c>
      <c r="E308">
        <f>IF($D308=0,"",ROUND(AVERAGEIFS(Assessments!J:J,Assessments!G:G,$A308,Assessments!B:B,"&gt;="&amp;$B$4,Assessments!B:B,"&lt;="&amp;$B$5,Assessments!C:C,IF($E$4="",$B308,$E$4),Assessments!D:D,IF($E$5="",$C308,$E$5)),0))</f>
        <v/>
      </c>
      <c r="F308">
        <f>IF($D308=0,"",MAXIFS(Assessments!J:J,Assessments!G:G,$A308,Assessments!B:B,"&gt;="&amp;$B$4,Assessments!B:B,"&lt;="&amp;$B$5,Assessments!C:C,IF($E$4="",$B308,$E$4),Assessments!D:D,IF($E$5="",$C308,$E$5)))</f>
        <v/>
      </c>
      <c r="G308">
        <f>IF($D308=0,"",MINIFS(Assessments!J:J,Assessments!G:G,$A308,Assessments!B:B,"&gt;="&amp;$B$4,Assessments!B:B,"&lt;="&amp;$B$5,Assessments!C:C,IF($E$4="",$B308,$E$4),Assessments!D:D,IF($E$5="",$C308,$E$5)))</f>
        <v/>
      </c>
      <c r="H308">
        <f>IF($E308="","",RANK($E308,$E$8:$E$507,0))</f>
        <v/>
      </c>
      <c r="I308">
        <f>IF($E308="","",IF($E308&gt;=85,"Excellent",IF($E308&gt;=70,"Good",IF($E308&gt;=50,"Fair","Needs Support"))))</f>
        <v/>
      </c>
    </row>
    <row r="309">
      <c r="A309">
        <f>IF(Students!A303="","",Students!A303)</f>
        <v/>
      </c>
      <c r="B309">
        <f>IF($A309="","",Students!B303)</f>
        <v/>
      </c>
      <c r="C309">
        <f>IF($A309="","",Students!C303)</f>
        <v/>
      </c>
      <c r="D309">
        <f>IF($A309="","",COUNTIFS(Assessments!G:G,$A309,Assessments!B:B,"&gt;="&amp;$B$4,Assessments!B:B,"&lt;="&amp;$B$5,Assessments!C:C,IF($E$4="",$B309,$E$4),Assessments!D:D,IF($E$5="",$C309,$E$5)))</f>
        <v/>
      </c>
      <c r="E309">
        <f>IF($D309=0,"",ROUND(AVERAGEIFS(Assessments!J:J,Assessments!G:G,$A309,Assessments!B:B,"&gt;="&amp;$B$4,Assessments!B:B,"&lt;="&amp;$B$5,Assessments!C:C,IF($E$4="",$B309,$E$4),Assessments!D:D,IF($E$5="",$C309,$E$5)),0))</f>
        <v/>
      </c>
      <c r="F309">
        <f>IF($D309=0,"",MAXIFS(Assessments!J:J,Assessments!G:G,$A309,Assessments!B:B,"&gt;="&amp;$B$4,Assessments!B:B,"&lt;="&amp;$B$5,Assessments!C:C,IF($E$4="",$B309,$E$4),Assessments!D:D,IF($E$5="",$C309,$E$5)))</f>
        <v/>
      </c>
      <c r="G309">
        <f>IF($D309=0,"",MINIFS(Assessments!J:J,Assessments!G:G,$A309,Assessments!B:B,"&gt;="&amp;$B$4,Assessments!B:B,"&lt;="&amp;$B$5,Assessments!C:C,IF($E$4="",$B309,$E$4),Assessments!D:D,IF($E$5="",$C309,$E$5)))</f>
        <v/>
      </c>
      <c r="H309">
        <f>IF($E309="","",RANK($E309,$E$8:$E$507,0))</f>
        <v/>
      </c>
      <c r="I309">
        <f>IF($E309="","",IF($E309&gt;=85,"Excellent",IF($E309&gt;=70,"Good",IF($E309&gt;=50,"Fair","Needs Support"))))</f>
        <v/>
      </c>
    </row>
    <row r="310">
      <c r="A310">
        <f>IF(Students!A304="","",Students!A304)</f>
        <v/>
      </c>
      <c r="B310">
        <f>IF($A310="","",Students!B304)</f>
        <v/>
      </c>
      <c r="C310">
        <f>IF($A310="","",Students!C304)</f>
        <v/>
      </c>
      <c r="D310">
        <f>IF($A310="","",COUNTIFS(Assessments!G:G,$A310,Assessments!B:B,"&gt;="&amp;$B$4,Assessments!B:B,"&lt;="&amp;$B$5,Assessments!C:C,IF($E$4="",$B310,$E$4),Assessments!D:D,IF($E$5="",$C310,$E$5)))</f>
        <v/>
      </c>
      <c r="E310">
        <f>IF($D310=0,"",ROUND(AVERAGEIFS(Assessments!J:J,Assessments!G:G,$A310,Assessments!B:B,"&gt;="&amp;$B$4,Assessments!B:B,"&lt;="&amp;$B$5,Assessments!C:C,IF($E$4="",$B310,$E$4),Assessments!D:D,IF($E$5="",$C310,$E$5)),0))</f>
        <v/>
      </c>
      <c r="F310">
        <f>IF($D310=0,"",MAXIFS(Assessments!J:J,Assessments!G:G,$A310,Assessments!B:B,"&gt;="&amp;$B$4,Assessments!B:B,"&lt;="&amp;$B$5,Assessments!C:C,IF($E$4="",$B310,$E$4),Assessments!D:D,IF($E$5="",$C310,$E$5)))</f>
        <v/>
      </c>
      <c r="G310">
        <f>IF($D310=0,"",MINIFS(Assessments!J:J,Assessments!G:G,$A310,Assessments!B:B,"&gt;="&amp;$B$4,Assessments!B:B,"&lt;="&amp;$B$5,Assessments!C:C,IF($E$4="",$B310,$E$4),Assessments!D:D,IF($E$5="",$C310,$E$5)))</f>
        <v/>
      </c>
      <c r="H310">
        <f>IF($E310="","",RANK($E310,$E$8:$E$507,0))</f>
        <v/>
      </c>
      <c r="I310">
        <f>IF($E310="","",IF($E310&gt;=85,"Excellent",IF($E310&gt;=70,"Good",IF($E310&gt;=50,"Fair","Needs Support"))))</f>
        <v/>
      </c>
    </row>
    <row r="311">
      <c r="A311">
        <f>IF(Students!A305="","",Students!A305)</f>
        <v/>
      </c>
      <c r="B311">
        <f>IF($A311="","",Students!B305)</f>
        <v/>
      </c>
      <c r="C311">
        <f>IF($A311="","",Students!C305)</f>
        <v/>
      </c>
      <c r="D311">
        <f>IF($A311="","",COUNTIFS(Assessments!G:G,$A311,Assessments!B:B,"&gt;="&amp;$B$4,Assessments!B:B,"&lt;="&amp;$B$5,Assessments!C:C,IF($E$4="",$B311,$E$4),Assessments!D:D,IF($E$5="",$C311,$E$5)))</f>
        <v/>
      </c>
      <c r="E311">
        <f>IF($D311=0,"",ROUND(AVERAGEIFS(Assessments!J:J,Assessments!G:G,$A311,Assessments!B:B,"&gt;="&amp;$B$4,Assessments!B:B,"&lt;="&amp;$B$5,Assessments!C:C,IF($E$4="",$B311,$E$4),Assessments!D:D,IF($E$5="",$C311,$E$5)),0))</f>
        <v/>
      </c>
      <c r="F311">
        <f>IF($D311=0,"",MAXIFS(Assessments!J:J,Assessments!G:G,$A311,Assessments!B:B,"&gt;="&amp;$B$4,Assessments!B:B,"&lt;="&amp;$B$5,Assessments!C:C,IF($E$4="",$B311,$E$4),Assessments!D:D,IF($E$5="",$C311,$E$5)))</f>
        <v/>
      </c>
      <c r="G311">
        <f>IF($D311=0,"",MINIFS(Assessments!J:J,Assessments!G:G,$A311,Assessments!B:B,"&gt;="&amp;$B$4,Assessments!B:B,"&lt;="&amp;$B$5,Assessments!C:C,IF($E$4="",$B311,$E$4),Assessments!D:D,IF($E$5="",$C311,$E$5)))</f>
        <v/>
      </c>
      <c r="H311">
        <f>IF($E311="","",RANK($E311,$E$8:$E$507,0))</f>
        <v/>
      </c>
      <c r="I311">
        <f>IF($E311="","",IF($E311&gt;=85,"Excellent",IF($E311&gt;=70,"Good",IF($E311&gt;=50,"Fair","Needs Support"))))</f>
        <v/>
      </c>
    </row>
    <row r="312">
      <c r="A312">
        <f>IF(Students!A306="","",Students!A306)</f>
        <v/>
      </c>
      <c r="B312">
        <f>IF($A312="","",Students!B306)</f>
        <v/>
      </c>
      <c r="C312">
        <f>IF($A312="","",Students!C306)</f>
        <v/>
      </c>
      <c r="D312">
        <f>IF($A312="","",COUNTIFS(Assessments!G:G,$A312,Assessments!B:B,"&gt;="&amp;$B$4,Assessments!B:B,"&lt;="&amp;$B$5,Assessments!C:C,IF($E$4="",$B312,$E$4),Assessments!D:D,IF($E$5="",$C312,$E$5)))</f>
        <v/>
      </c>
      <c r="E312">
        <f>IF($D312=0,"",ROUND(AVERAGEIFS(Assessments!J:J,Assessments!G:G,$A312,Assessments!B:B,"&gt;="&amp;$B$4,Assessments!B:B,"&lt;="&amp;$B$5,Assessments!C:C,IF($E$4="",$B312,$E$4),Assessments!D:D,IF($E$5="",$C312,$E$5)),0))</f>
        <v/>
      </c>
      <c r="F312">
        <f>IF($D312=0,"",MAXIFS(Assessments!J:J,Assessments!G:G,$A312,Assessments!B:B,"&gt;="&amp;$B$4,Assessments!B:B,"&lt;="&amp;$B$5,Assessments!C:C,IF($E$4="",$B312,$E$4),Assessments!D:D,IF($E$5="",$C312,$E$5)))</f>
        <v/>
      </c>
      <c r="G312">
        <f>IF($D312=0,"",MINIFS(Assessments!J:J,Assessments!G:G,$A312,Assessments!B:B,"&gt;="&amp;$B$4,Assessments!B:B,"&lt;="&amp;$B$5,Assessments!C:C,IF($E$4="",$B312,$E$4),Assessments!D:D,IF($E$5="",$C312,$E$5)))</f>
        <v/>
      </c>
      <c r="H312">
        <f>IF($E312="","",RANK($E312,$E$8:$E$507,0))</f>
        <v/>
      </c>
      <c r="I312">
        <f>IF($E312="","",IF($E312&gt;=85,"Excellent",IF($E312&gt;=70,"Good",IF($E312&gt;=50,"Fair","Needs Support"))))</f>
        <v/>
      </c>
    </row>
    <row r="313">
      <c r="A313">
        <f>IF(Students!A307="","",Students!A307)</f>
        <v/>
      </c>
      <c r="B313">
        <f>IF($A313="","",Students!B307)</f>
        <v/>
      </c>
      <c r="C313">
        <f>IF($A313="","",Students!C307)</f>
        <v/>
      </c>
      <c r="D313">
        <f>IF($A313="","",COUNTIFS(Assessments!G:G,$A313,Assessments!B:B,"&gt;="&amp;$B$4,Assessments!B:B,"&lt;="&amp;$B$5,Assessments!C:C,IF($E$4="",$B313,$E$4),Assessments!D:D,IF($E$5="",$C313,$E$5)))</f>
        <v/>
      </c>
      <c r="E313">
        <f>IF($D313=0,"",ROUND(AVERAGEIFS(Assessments!J:J,Assessments!G:G,$A313,Assessments!B:B,"&gt;="&amp;$B$4,Assessments!B:B,"&lt;="&amp;$B$5,Assessments!C:C,IF($E$4="",$B313,$E$4),Assessments!D:D,IF($E$5="",$C313,$E$5)),0))</f>
        <v/>
      </c>
      <c r="F313">
        <f>IF($D313=0,"",MAXIFS(Assessments!J:J,Assessments!G:G,$A313,Assessments!B:B,"&gt;="&amp;$B$4,Assessments!B:B,"&lt;="&amp;$B$5,Assessments!C:C,IF($E$4="",$B313,$E$4),Assessments!D:D,IF($E$5="",$C313,$E$5)))</f>
        <v/>
      </c>
      <c r="G313">
        <f>IF($D313=0,"",MINIFS(Assessments!J:J,Assessments!G:G,$A313,Assessments!B:B,"&gt;="&amp;$B$4,Assessments!B:B,"&lt;="&amp;$B$5,Assessments!C:C,IF($E$4="",$B313,$E$4),Assessments!D:D,IF($E$5="",$C313,$E$5)))</f>
        <v/>
      </c>
      <c r="H313">
        <f>IF($E313="","",RANK($E313,$E$8:$E$507,0))</f>
        <v/>
      </c>
      <c r="I313">
        <f>IF($E313="","",IF($E313&gt;=85,"Excellent",IF($E313&gt;=70,"Good",IF($E313&gt;=50,"Fair","Needs Support"))))</f>
        <v/>
      </c>
    </row>
    <row r="314">
      <c r="A314">
        <f>IF(Students!A308="","",Students!A308)</f>
        <v/>
      </c>
      <c r="B314">
        <f>IF($A314="","",Students!B308)</f>
        <v/>
      </c>
      <c r="C314">
        <f>IF($A314="","",Students!C308)</f>
        <v/>
      </c>
      <c r="D314">
        <f>IF($A314="","",COUNTIFS(Assessments!G:G,$A314,Assessments!B:B,"&gt;="&amp;$B$4,Assessments!B:B,"&lt;="&amp;$B$5,Assessments!C:C,IF($E$4="",$B314,$E$4),Assessments!D:D,IF($E$5="",$C314,$E$5)))</f>
        <v/>
      </c>
      <c r="E314">
        <f>IF($D314=0,"",ROUND(AVERAGEIFS(Assessments!J:J,Assessments!G:G,$A314,Assessments!B:B,"&gt;="&amp;$B$4,Assessments!B:B,"&lt;="&amp;$B$5,Assessments!C:C,IF($E$4="",$B314,$E$4),Assessments!D:D,IF($E$5="",$C314,$E$5)),0))</f>
        <v/>
      </c>
      <c r="F314">
        <f>IF($D314=0,"",MAXIFS(Assessments!J:J,Assessments!G:G,$A314,Assessments!B:B,"&gt;="&amp;$B$4,Assessments!B:B,"&lt;="&amp;$B$5,Assessments!C:C,IF($E$4="",$B314,$E$4),Assessments!D:D,IF($E$5="",$C314,$E$5)))</f>
        <v/>
      </c>
      <c r="G314">
        <f>IF($D314=0,"",MINIFS(Assessments!J:J,Assessments!G:G,$A314,Assessments!B:B,"&gt;="&amp;$B$4,Assessments!B:B,"&lt;="&amp;$B$5,Assessments!C:C,IF($E$4="",$B314,$E$4),Assessments!D:D,IF($E$5="",$C314,$E$5)))</f>
        <v/>
      </c>
      <c r="H314">
        <f>IF($E314="","",RANK($E314,$E$8:$E$507,0))</f>
        <v/>
      </c>
      <c r="I314">
        <f>IF($E314="","",IF($E314&gt;=85,"Excellent",IF($E314&gt;=70,"Good",IF($E314&gt;=50,"Fair","Needs Support"))))</f>
        <v/>
      </c>
    </row>
    <row r="315">
      <c r="A315">
        <f>IF(Students!A309="","",Students!A309)</f>
        <v/>
      </c>
      <c r="B315">
        <f>IF($A315="","",Students!B309)</f>
        <v/>
      </c>
      <c r="C315">
        <f>IF($A315="","",Students!C309)</f>
        <v/>
      </c>
      <c r="D315">
        <f>IF($A315="","",COUNTIFS(Assessments!G:G,$A315,Assessments!B:B,"&gt;="&amp;$B$4,Assessments!B:B,"&lt;="&amp;$B$5,Assessments!C:C,IF($E$4="",$B315,$E$4),Assessments!D:D,IF($E$5="",$C315,$E$5)))</f>
        <v/>
      </c>
      <c r="E315">
        <f>IF($D315=0,"",ROUND(AVERAGEIFS(Assessments!J:J,Assessments!G:G,$A315,Assessments!B:B,"&gt;="&amp;$B$4,Assessments!B:B,"&lt;="&amp;$B$5,Assessments!C:C,IF($E$4="",$B315,$E$4),Assessments!D:D,IF($E$5="",$C315,$E$5)),0))</f>
        <v/>
      </c>
      <c r="F315">
        <f>IF($D315=0,"",MAXIFS(Assessments!J:J,Assessments!G:G,$A315,Assessments!B:B,"&gt;="&amp;$B$4,Assessments!B:B,"&lt;="&amp;$B$5,Assessments!C:C,IF($E$4="",$B315,$E$4),Assessments!D:D,IF($E$5="",$C315,$E$5)))</f>
        <v/>
      </c>
      <c r="G315">
        <f>IF($D315=0,"",MINIFS(Assessments!J:J,Assessments!G:G,$A315,Assessments!B:B,"&gt;="&amp;$B$4,Assessments!B:B,"&lt;="&amp;$B$5,Assessments!C:C,IF($E$4="",$B315,$E$4),Assessments!D:D,IF($E$5="",$C315,$E$5)))</f>
        <v/>
      </c>
      <c r="H315">
        <f>IF($E315="","",RANK($E315,$E$8:$E$507,0))</f>
        <v/>
      </c>
      <c r="I315">
        <f>IF($E315="","",IF($E315&gt;=85,"Excellent",IF($E315&gt;=70,"Good",IF($E315&gt;=50,"Fair","Needs Support"))))</f>
        <v/>
      </c>
    </row>
    <row r="316">
      <c r="A316">
        <f>IF(Students!A310="","",Students!A310)</f>
        <v/>
      </c>
      <c r="B316">
        <f>IF($A316="","",Students!B310)</f>
        <v/>
      </c>
      <c r="C316">
        <f>IF($A316="","",Students!C310)</f>
        <v/>
      </c>
      <c r="D316">
        <f>IF($A316="","",COUNTIFS(Assessments!G:G,$A316,Assessments!B:B,"&gt;="&amp;$B$4,Assessments!B:B,"&lt;="&amp;$B$5,Assessments!C:C,IF($E$4="",$B316,$E$4),Assessments!D:D,IF($E$5="",$C316,$E$5)))</f>
        <v/>
      </c>
      <c r="E316">
        <f>IF($D316=0,"",ROUND(AVERAGEIFS(Assessments!J:J,Assessments!G:G,$A316,Assessments!B:B,"&gt;="&amp;$B$4,Assessments!B:B,"&lt;="&amp;$B$5,Assessments!C:C,IF($E$4="",$B316,$E$4),Assessments!D:D,IF($E$5="",$C316,$E$5)),0))</f>
        <v/>
      </c>
      <c r="F316">
        <f>IF($D316=0,"",MAXIFS(Assessments!J:J,Assessments!G:G,$A316,Assessments!B:B,"&gt;="&amp;$B$4,Assessments!B:B,"&lt;="&amp;$B$5,Assessments!C:C,IF($E$4="",$B316,$E$4),Assessments!D:D,IF($E$5="",$C316,$E$5)))</f>
        <v/>
      </c>
      <c r="G316">
        <f>IF($D316=0,"",MINIFS(Assessments!J:J,Assessments!G:G,$A316,Assessments!B:B,"&gt;="&amp;$B$4,Assessments!B:B,"&lt;="&amp;$B$5,Assessments!C:C,IF($E$4="",$B316,$E$4),Assessments!D:D,IF($E$5="",$C316,$E$5)))</f>
        <v/>
      </c>
      <c r="H316">
        <f>IF($E316="","",RANK($E316,$E$8:$E$507,0))</f>
        <v/>
      </c>
      <c r="I316">
        <f>IF($E316="","",IF($E316&gt;=85,"Excellent",IF($E316&gt;=70,"Good",IF($E316&gt;=50,"Fair","Needs Support"))))</f>
        <v/>
      </c>
    </row>
    <row r="317">
      <c r="A317">
        <f>IF(Students!A311="","",Students!A311)</f>
        <v/>
      </c>
      <c r="B317">
        <f>IF($A317="","",Students!B311)</f>
        <v/>
      </c>
      <c r="C317">
        <f>IF($A317="","",Students!C311)</f>
        <v/>
      </c>
      <c r="D317">
        <f>IF($A317="","",COUNTIFS(Assessments!G:G,$A317,Assessments!B:B,"&gt;="&amp;$B$4,Assessments!B:B,"&lt;="&amp;$B$5,Assessments!C:C,IF($E$4="",$B317,$E$4),Assessments!D:D,IF($E$5="",$C317,$E$5)))</f>
        <v/>
      </c>
      <c r="E317">
        <f>IF($D317=0,"",ROUND(AVERAGEIFS(Assessments!J:J,Assessments!G:G,$A317,Assessments!B:B,"&gt;="&amp;$B$4,Assessments!B:B,"&lt;="&amp;$B$5,Assessments!C:C,IF($E$4="",$B317,$E$4),Assessments!D:D,IF($E$5="",$C317,$E$5)),0))</f>
        <v/>
      </c>
      <c r="F317">
        <f>IF($D317=0,"",MAXIFS(Assessments!J:J,Assessments!G:G,$A317,Assessments!B:B,"&gt;="&amp;$B$4,Assessments!B:B,"&lt;="&amp;$B$5,Assessments!C:C,IF($E$4="",$B317,$E$4),Assessments!D:D,IF($E$5="",$C317,$E$5)))</f>
        <v/>
      </c>
      <c r="G317">
        <f>IF($D317=0,"",MINIFS(Assessments!J:J,Assessments!G:G,$A317,Assessments!B:B,"&gt;="&amp;$B$4,Assessments!B:B,"&lt;="&amp;$B$5,Assessments!C:C,IF($E$4="",$B317,$E$4),Assessments!D:D,IF($E$5="",$C317,$E$5)))</f>
        <v/>
      </c>
      <c r="H317">
        <f>IF($E317="","",RANK($E317,$E$8:$E$507,0))</f>
        <v/>
      </c>
      <c r="I317">
        <f>IF($E317="","",IF($E317&gt;=85,"Excellent",IF($E317&gt;=70,"Good",IF($E317&gt;=50,"Fair","Needs Support"))))</f>
        <v/>
      </c>
    </row>
    <row r="318">
      <c r="A318">
        <f>IF(Students!A312="","",Students!A312)</f>
        <v/>
      </c>
      <c r="B318">
        <f>IF($A318="","",Students!B312)</f>
        <v/>
      </c>
      <c r="C318">
        <f>IF($A318="","",Students!C312)</f>
        <v/>
      </c>
      <c r="D318">
        <f>IF($A318="","",COUNTIFS(Assessments!G:G,$A318,Assessments!B:B,"&gt;="&amp;$B$4,Assessments!B:B,"&lt;="&amp;$B$5,Assessments!C:C,IF($E$4="",$B318,$E$4),Assessments!D:D,IF($E$5="",$C318,$E$5)))</f>
        <v/>
      </c>
      <c r="E318">
        <f>IF($D318=0,"",ROUND(AVERAGEIFS(Assessments!J:J,Assessments!G:G,$A318,Assessments!B:B,"&gt;="&amp;$B$4,Assessments!B:B,"&lt;="&amp;$B$5,Assessments!C:C,IF($E$4="",$B318,$E$4),Assessments!D:D,IF($E$5="",$C318,$E$5)),0))</f>
        <v/>
      </c>
      <c r="F318">
        <f>IF($D318=0,"",MAXIFS(Assessments!J:J,Assessments!G:G,$A318,Assessments!B:B,"&gt;="&amp;$B$4,Assessments!B:B,"&lt;="&amp;$B$5,Assessments!C:C,IF($E$4="",$B318,$E$4),Assessments!D:D,IF($E$5="",$C318,$E$5)))</f>
        <v/>
      </c>
      <c r="G318">
        <f>IF($D318=0,"",MINIFS(Assessments!J:J,Assessments!G:G,$A318,Assessments!B:B,"&gt;="&amp;$B$4,Assessments!B:B,"&lt;="&amp;$B$5,Assessments!C:C,IF($E$4="",$B318,$E$4),Assessments!D:D,IF($E$5="",$C318,$E$5)))</f>
        <v/>
      </c>
      <c r="H318">
        <f>IF($E318="","",RANK($E318,$E$8:$E$507,0))</f>
        <v/>
      </c>
      <c r="I318">
        <f>IF($E318="","",IF($E318&gt;=85,"Excellent",IF($E318&gt;=70,"Good",IF($E318&gt;=50,"Fair","Needs Support"))))</f>
        <v/>
      </c>
    </row>
    <row r="319">
      <c r="A319">
        <f>IF(Students!A313="","",Students!A313)</f>
        <v/>
      </c>
      <c r="B319">
        <f>IF($A319="","",Students!B313)</f>
        <v/>
      </c>
      <c r="C319">
        <f>IF($A319="","",Students!C313)</f>
        <v/>
      </c>
      <c r="D319">
        <f>IF($A319="","",COUNTIFS(Assessments!G:G,$A319,Assessments!B:B,"&gt;="&amp;$B$4,Assessments!B:B,"&lt;="&amp;$B$5,Assessments!C:C,IF($E$4="",$B319,$E$4),Assessments!D:D,IF($E$5="",$C319,$E$5)))</f>
        <v/>
      </c>
      <c r="E319">
        <f>IF($D319=0,"",ROUND(AVERAGEIFS(Assessments!J:J,Assessments!G:G,$A319,Assessments!B:B,"&gt;="&amp;$B$4,Assessments!B:B,"&lt;="&amp;$B$5,Assessments!C:C,IF($E$4="",$B319,$E$4),Assessments!D:D,IF($E$5="",$C319,$E$5)),0))</f>
        <v/>
      </c>
      <c r="F319">
        <f>IF($D319=0,"",MAXIFS(Assessments!J:J,Assessments!G:G,$A319,Assessments!B:B,"&gt;="&amp;$B$4,Assessments!B:B,"&lt;="&amp;$B$5,Assessments!C:C,IF($E$4="",$B319,$E$4),Assessments!D:D,IF($E$5="",$C319,$E$5)))</f>
        <v/>
      </c>
      <c r="G319">
        <f>IF($D319=0,"",MINIFS(Assessments!J:J,Assessments!G:G,$A319,Assessments!B:B,"&gt;="&amp;$B$4,Assessments!B:B,"&lt;="&amp;$B$5,Assessments!C:C,IF($E$4="",$B319,$E$4),Assessments!D:D,IF($E$5="",$C319,$E$5)))</f>
        <v/>
      </c>
      <c r="H319">
        <f>IF($E319="","",RANK($E319,$E$8:$E$507,0))</f>
        <v/>
      </c>
      <c r="I319">
        <f>IF($E319="","",IF($E319&gt;=85,"Excellent",IF($E319&gt;=70,"Good",IF($E319&gt;=50,"Fair","Needs Support"))))</f>
        <v/>
      </c>
    </row>
    <row r="320">
      <c r="A320">
        <f>IF(Students!A314="","",Students!A314)</f>
        <v/>
      </c>
      <c r="B320">
        <f>IF($A320="","",Students!B314)</f>
        <v/>
      </c>
      <c r="C320">
        <f>IF($A320="","",Students!C314)</f>
        <v/>
      </c>
      <c r="D320">
        <f>IF($A320="","",COUNTIFS(Assessments!G:G,$A320,Assessments!B:B,"&gt;="&amp;$B$4,Assessments!B:B,"&lt;="&amp;$B$5,Assessments!C:C,IF($E$4="",$B320,$E$4),Assessments!D:D,IF($E$5="",$C320,$E$5)))</f>
        <v/>
      </c>
      <c r="E320">
        <f>IF($D320=0,"",ROUND(AVERAGEIFS(Assessments!J:J,Assessments!G:G,$A320,Assessments!B:B,"&gt;="&amp;$B$4,Assessments!B:B,"&lt;="&amp;$B$5,Assessments!C:C,IF($E$4="",$B320,$E$4),Assessments!D:D,IF($E$5="",$C320,$E$5)),0))</f>
        <v/>
      </c>
      <c r="F320">
        <f>IF($D320=0,"",MAXIFS(Assessments!J:J,Assessments!G:G,$A320,Assessments!B:B,"&gt;="&amp;$B$4,Assessments!B:B,"&lt;="&amp;$B$5,Assessments!C:C,IF($E$4="",$B320,$E$4),Assessments!D:D,IF($E$5="",$C320,$E$5)))</f>
        <v/>
      </c>
      <c r="G320">
        <f>IF($D320=0,"",MINIFS(Assessments!J:J,Assessments!G:G,$A320,Assessments!B:B,"&gt;="&amp;$B$4,Assessments!B:B,"&lt;="&amp;$B$5,Assessments!C:C,IF($E$4="",$B320,$E$4),Assessments!D:D,IF($E$5="",$C320,$E$5)))</f>
        <v/>
      </c>
      <c r="H320">
        <f>IF($E320="","",RANK($E320,$E$8:$E$507,0))</f>
        <v/>
      </c>
      <c r="I320">
        <f>IF($E320="","",IF($E320&gt;=85,"Excellent",IF($E320&gt;=70,"Good",IF($E320&gt;=50,"Fair","Needs Support"))))</f>
        <v/>
      </c>
    </row>
    <row r="321">
      <c r="A321">
        <f>IF(Students!A315="","",Students!A315)</f>
        <v/>
      </c>
      <c r="B321">
        <f>IF($A321="","",Students!B315)</f>
        <v/>
      </c>
      <c r="C321">
        <f>IF($A321="","",Students!C315)</f>
        <v/>
      </c>
      <c r="D321">
        <f>IF($A321="","",COUNTIFS(Assessments!G:G,$A321,Assessments!B:B,"&gt;="&amp;$B$4,Assessments!B:B,"&lt;="&amp;$B$5,Assessments!C:C,IF($E$4="",$B321,$E$4),Assessments!D:D,IF($E$5="",$C321,$E$5)))</f>
        <v/>
      </c>
      <c r="E321">
        <f>IF($D321=0,"",ROUND(AVERAGEIFS(Assessments!J:J,Assessments!G:G,$A321,Assessments!B:B,"&gt;="&amp;$B$4,Assessments!B:B,"&lt;="&amp;$B$5,Assessments!C:C,IF($E$4="",$B321,$E$4),Assessments!D:D,IF($E$5="",$C321,$E$5)),0))</f>
        <v/>
      </c>
      <c r="F321">
        <f>IF($D321=0,"",MAXIFS(Assessments!J:J,Assessments!G:G,$A321,Assessments!B:B,"&gt;="&amp;$B$4,Assessments!B:B,"&lt;="&amp;$B$5,Assessments!C:C,IF($E$4="",$B321,$E$4),Assessments!D:D,IF($E$5="",$C321,$E$5)))</f>
        <v/>
      </c>
      <c r="G321">
        <f>IF($D321=0,"",MINIFS(Assessments!J:J,Assessments!G:G,$A321,Assessments!B:B,"&gt;="&amp;$B$4,Assessments!B:B,"&lt;="&amp;$B$5,Assessments!C:C,IF($E$4="",$B321,$E$4),Assessments!D:D,IF($E$5="",$C321,$E$5)))</f>
        <v/>
      </c>
      <c r="H321">
        <f>IF($E321="","",RANK($E321,$E$8:$E$507,0))</f>
        <v/>
      </c>
      <c r="I321">
        <f>IF($E321="","",IF($E321&gt;=85,"Excellent",IF($E321&gt;=70,"Good",IF($E321&gt;=50,"Fair","Needs Support"))))</f>
        <v/>
      </c>
    </row>
    <row r="322">
      <c r="A322">
        <f>IF(Students!A316="","",Students!A316)</f>
        <v/>
      </c>
      <c r="B322">
        <f>IF($A322="","",Students!B316)</f>
        <v/>
      </c>
      <c r="C322">
        <f>IF($A322="","",Students!C316)</f>
        <v/>
      </c>
      <c r="D322">
        <f>IF($A322="","",COUNTIFS(Assessments!G:G,$A322,Assessments!B:B,"&gt;="&amp;$B$4,Assessments!B:B,"&lt;="&amp;$B$5,Assessments!C:C,IF($E$4="",$B322,$E$4),Assessments!D:D,IF($E$5="",$C322,$E$5)))</f>
        <v/>
      </c>
      <c r="E322">
        <f>IF($D322=0,"",ROUND(AVERAGEIFS(Assessments!J:J,Assessments!G:G,$A322,Assessments!B:B,"&gt;="&amp;$B$4,Assessments!B:B,"&lt;="&amp;$B$5,Assessments!C:C,IF($E$4="",$B322,$E$4),Assessments!D:D,IF($E$5="",$C322,$E$5)),0))</f>
        <v/>
      </c>
      <c r="F322">
        <f>IF($D322=0,"",MAXIFS(Assessments!J:J,Assessments!G:G,$A322,Assessments!B:B,"&gt;="&amp;$B$4,Assessments!B:B,"&lt;="&amp;$B$5,Assessments!C:C,IF($E$4="",$B322,$E$4),Assessments!D:D,IF($E$5="",$C322,$E$5)))</f>
        <v/>
      </c>
      <c r="G322">
        <f>IF($D322=0,"",MINIFS(Assessments!J:J,Assessments!G:G,$A322,Assessments!B:B,"&gt;="&amp;$B$4,Assessments!B:B,"&lt;="&amp;$B$5,Assessments!C:C,IF($E$4="",$B322,$E$4),Assessments!D:D,IF($E$5="",$C322,$E$5)))</f>
        <v/>
      </c>
      <c r="H322">
        <f>IF($E322="","",RANK($E322,$E$8:$E$507,0))</f>
        <v/>
      </c>
      <c r="I322">
        <f>IF($E322="","",IF($E322&gt;=85,"Excellent",IF($E322&gt;=70,"Good",IF($E322&gt;=50,"Fair","Needs Support"))))</f>
        <v/>
      </c>
    </row>
    <row r="323">
      <c r="A323">
        <f>IF(Students!A317="","",Students!A317)</f>
        <v/>
      </c>
      <c r="B323">
        <f>IF($A323="","",Students!B317)</f>
        <v/>
      </c>
      <c r="C323">
        <f>IF($A323="","",Students!C317)</f>
        <v/>
      </c>
      <c r="D323">
        <f>IF($A323="","",COUNTIFS(Assessments!G:G,$A323,Assessments!B:B,"&gt;="&amp;$B$4,Assessments!B:B,"&lt;="&amp;$B$5,Assessments!C:C,IF($E$4="",$B323,$E$4),Assessments!D:D,IF($E$5="",$C323,$E$5)))</f>
        <v/>
      </c>
      <c r="E323">
        <f>IF($D323=0,"",ROUND(AVERAGEIFS(Assessments!J:J,Assessments!G:G,$A323,Assessments!B:B,"&gt;="&amp;$B$4,Assessments!B:B,"&lt;="&amp;$B$5,Assessments!C:C,IF($E$4="",$B323,$E$4),Assessments!D:D,IF($E$5="",$C323,$E$5)),0))</f>
        <v/>
      </c>
      <c r="F323">
        <f>IF($D323=0,"",MAXIFS(Assessments!J:J,Assessments!G:G,$A323,Assessments!B:B,"&gt;="&amp;$B$4,Assessments!B:B,"&lt;="&amp;$B$5,Assessments!C:C,IF($E$4="",$B323,$E$4),Assessments!D:D,IF($E$5="",$C323,$E$5)))</f>
        <v/>
      </c>
      <c r="G323">
        <f>IF($D323=0,"",MINIFS(Assessments!J:J,Assessments!G:G,$A323,Assessments!B:B,"&gt;="&amp;$B$4,Assessments!B:B,"&lt;="&amp;$B$5,Assessments!C:C,IF($E$4="",$B323,$E$4),Assessments!D:D,IF($E$5="",$C323,$E$5)))</f>
        <v/>
      </c>
      <c r="H323">
        <f>IF($E323="","",RANK($E323,$E$8:$E$507,0))</f>
        <v/>
      </c>
      <c r="I323">
        <f>IF($E323="","",IF($E323&gt;=85,"Excellent",IF($E323&gt;=70,"Good",IF($E323&gt;=50,"Fair","Needs Support"))))</f>
        <v/>
      </c>
    </row>
    <row r="324">
      <c r="A324">
        <f>IF(Students!A318="","",Students!A318)</f>
        <v/>
      </c>
      <c r="B324">
        <f>IF($A324="","",Students!B318)</f>
        <v/>
      </c>
      <c r="C324">
        <f>IF($A324="","",Students!C318)</f>
        <v/>
      </c>
      <c r="D324">
        <f>IF($A324="","",COUNTIFS(Assessments!G:G,$A324,Assessments!B:B,"&gt;="&amp;$B$4,Assessments!B:B,"&lt;="&amp;$B$5,Assessments!C:C,IF($E$4="",$B324,$E$4),Assessments!D:D,IF($E$5="",$C324,$E$5)))</f>
        <v/>
      </c>
      <c r="E324">
        <f>IF($D324=0,"",ROUND(AVERAGEIFS(Assessments!J:J,Assessments!G:G,$A324,Assessments!B:B,"&gt;="&amp;$B$4,Assessments!B:B,"&lt;="&amp;$B$5,Assessments!C:C,IF($E$4="",$B324,$E$4),Assessments!D:D,IF($E$5="",$C324,$E$5)),0))</f>
        <v/>
      </c>
      <c r="F324">
        <f>IF($D324=0,"",MAXIFS(Assessments!J:J,Assessments!G:G,$A324,Assessments!B:B,"&gt;="&amp;$B$4,Assessments!B:B,"&lt;="&amp;$B$5,Assessments!C:C,IF($E$4="",$B324,$E$4),Assessments!D:D,IF($E$5="",$C324,$E$5)))</f>
        <v/>
      </c>
      <c r="G324">
        <f>IF($D324=0,"",MINIFS(Assessments!J:J,Assessments!G:G,$A324,Assessments!B:B,"&gt;="&amp;$B$4,Assessments!B:B,"&lt;="&amp;$B$5,Assessments!C:C,IF($E$4="",$B324,$E$4),Assessments!D:D,IF($E$5="",$C324,$E$5)))</f>
        <v/>
      </c>
      <c r="H324">
        <f>IF($E324="","",RANK($E324,$E$8:$E$507,0))</f>
        <v/>
      </c>
      <c r="I324">
        <f>IF($E324="","",IF($E324&gt;=85,"Excellent",IF($E324&gt;=70,"Good",IF($E324&gt;=50,"Fair","Needs Support"))))</f>
        <v/>
      </c>
    </row>
    <row r="325">
      <c r="A325">
        <f>IF(Students!A319="","",Students!A319)</f>
        <v/>
      </c>
      <c r="B325">
        <f>IF($A325="","",Students!B319)</f>
        <v/>
      </c>
      <c r="C325">
        <f>IF($A325="","",Students!C319)</f>
        <v/>
      </c>
      <c r="D325">
        <f>IF($A325="","",COUNTIFS(Assessments!G:G,$A325,Assessments!B:B,"&gt;="&amp;$B$4,Assessments!B:B,"&lt;="&amp;$B$5,Assessments!C:C,IF($E$4="",$B325,$E$4),Assessments!D:D,IF($E$5="",$C325,$E$5)))</f>
        <v/>
      </c>
      <c r="E325">
        <f>IF($D325=0,"",ROUND(AVERAGEIFS(Assessments!J:J,Assessments!G:G,$A325,Assessments!B:B,"&gt;="&amp;$B$4,Assessments!B:B,"&lt;="&amp;$B$5,Assessments!C:C,IF($E$4="",$B325,$E$4),Assessments!D:D,IF($E$5="",$C325,$E$5)),0))</f>
        <v/>
      </c>
      <c r="F325">
        <f>IF($D325=0,"",MAXIFS(Assessments!J:J,Assessments!G:G,$A325,Assessments!B:B,"&gt;="&amp;$B$4,Assessments!B:B,"&lt;="&amp;$B$5,Assessments!C:C,IF($E$4="",$B325,$E$4),Assessments!D:D,IF($E$5="",$C325,$E$5)))</f>
        <v/>
      </c>
      <c r="G325">
        <f>IF($D325=0,"",MINIFS(Assessments!J:J,Assessments!G:G,$A325,Assessments!B:B,"&gt;="&amp;$B$4,Assessments!B:B,"&lt;="&amp;$B$5,Assessments!C:C,IF($E$4="",$B325,$E$4),Assessments!D:D,IF($E$5="",$C325,$E$5)))</f>
        <v/>
      </c>
      <c r="H325">
        <f>IF($E325="","",RANK($E325,$E$8:$E$507,0))</f>
        <v/>
      </c>
      <c r="I325">
        <f>IF($E325="","",IF($E325&gt;=85,"Excellent",IF($E325&gt;=70,"Good",IF($E325&gt;=50,"Fair","Needs Support"))))</f>
        <v/>
      </c>
    </row>
    <row r="326">
      <c r="A326">
        <f>IF(Students!A320="","",Students!A320)</f>
        <v/>
      </c>
      <c r="B326">
        <f>IF($A326="","",Students!B320)</f>
        <v/>
      </c>
      <c r="C326">
        <f>IF($A326="","",Students!C320)</f>
        <v/>
      </c>
      <c r="D326">
        <f>IF($A326="","",COUNTIFS(Assessments!G:G,$A326,Assessments!B:B,"&gt;="&amp;$B$4,Assessments!B:B,"&lt;="&amp;$B$5,Assessments!C:C,IF($E$4="",$B326,$E$4),Assessments!D:D,IF($E$5="",$C326,$E$5)))</f>
        <v/>
      </c>
      <c r="E326">
        <f>IF($D326=0,"",ROUND(AVERAGEIFS(Assessments!J:J,Assessments!G:G,$A326,Assessments!B:B,"&gt;="&amp;$B$4,Assessments!B:B,"&lt;="&amp;$B$5,Assessments!C:C,IF($E$4="",$B326,$E$4),Assessments!D:D,IF($E$5="",$C326,$E$5)),0))</f>
        <v/>
      </c>
      <c r="F326">
        <f>IF($D326=0,"",MAXIFS(Assessments!J:J,Assessments!G:G,$A326,Assessments!B:B,"&gt;="&amp;$B$4,Assessments!B:B,"&lt;="&amp;$B$5,Assessments!C:C,IF($E$4="",$B326,$E$4),Assessments!D:D,IF($E$5="",$C326,$E$5)))</f>
        <v/>
      </c>
      <c r="G326">
        <f>IF($D326=0,"",MINIFS(Assessments!J:J,Assessments!G:G,$A326,Assessments!B:B,"&gt;="&amp;$B$4,Assessments!B:B,"&lt;="&amp;$B$5,Assessments!C:C,IF($E$4="",$B326,$E$4),Assessments!D:D,IF($E$5="",$C326,$E$5)))</f>
        <v/>
      </c>
      <c r="H326">
        <f>IF($E326="","",RANK($E326,$E$8:$E$507,0))</f>
        <v/>
      </c>
      <c r="I326">
        <f>IF($E326="","",IF($E326&gt;=85,"Excellent",IF($E326&gt;=70,"Good",IF($E326&gt;=50,"Fair","Needs Support"))))</f>
        <v/>
      </c>
    </row>
    <row r="327">
      <c r="A327">
        <f>IF(Students!A321="","",Students!A321)</f>
        <v/>
      </c>
      <c r="B327">
        <f>IF($A327="","",Students!B321)</f>
        <v/>
      </c>
      <c r="C327">
        <f>IF($A327="","",Students!C321)</f>
        <v/>
      </c>
      <c r="D327">
        <f>IF($A327="","",COUNTIFS(Assessments!G:G,$A327,Assessments!B:B,"&gt;="&amp;$B$4,Assessments!B:B,"&lt;="&amp;$B$5,Assessments!C:C,IF($E$4="",$B327,$E$4),Assessments!D:D,IF($E$5="",$C327,$E$5)))</f>
        <v/>
      </c>
      <c r="E327">
        <f>IF($D327=0,"",ROUND(AVERAGEIFS(Assessments!J:J,Assessments!G:G,$A327,Assessments!B:B,"&gt;="&amp;$B$4,Assessments!B:B,"&lt;="&amp;$B$5,Assessments!C:C,IF($E$4="",$B327,$E$4),Assessments!D:D,IF($E$5="",$C327,$E$5)),0))</f>
        <v/>
      </c>
      <c r="F327">
        <f>IF($D327=0,"",MAXIFS(Assessments!J:J,Assessments!G:G,$A327,Assessments!B:B,"&gt;="&amp;$B$4,Assessments!B:B,"&lt;="&amp;$B$5,Assessments!C:C,IF($E$4="",$B327,$E$4),Assessments!D:D,IF($E$5="",$C327,$E$5)))</f>
        <v/>
      </c>
      <c r="G327">
        <f>IF($D327=0,"",MINIFS(Assessments!J:J,Assessments!G:G,$A327,Assessments!B:B,"&gt;="&amp;$B$4,Assessments!B:B,"&lt;="&amp;$B$5,Assessments!C:C,IF($E$4="",$B327,$E$4),Assessments!D:D,IF($E$5="",$C327,$E$5)))</f>
        <v/>
      </c>
      <c r="H327">
        <f>IF($E327="","",RANK($E327,$E$8:$E$507,0))</f>
        <v/>
      </c>
      <c r="I327">
        <f>IF($E327="","",IF($E327&gt;=85,"Excellent",IF($E327&gt;=70,"Good",IF($E327&gt;=50,"Fair","Needs Support"))))</f>
        <v/>
      </c>
    </row>
    <row r="328">
      <c r="A328">
        <f>IF(Students!A322="","",Students!A322)</f>
        <v/>
      </c>
      <c r="B328">
        <f>IF($A328="","",Students!B322)</f>
        <v/>
      </c>
      <c r="C328">
        <f>IF($A328="","",Students!C322)</f>
        <v/>
      </c>
      <c r="D328">
        <f>IF($A328="","",COUNTIFS(Assessments!G:G,$A328,Assessments!B:B,"&gt;="&amp;$B$4,Assessments!B:B,"&lt;="&amp;$B$5,Assessments!C:C,IF($E$4="",$B328,$E$4),Assessments!D:D,IF($E$5="",$C328,$E$5)))</f>
        <v/>
      </c>
      <c r="E328">
        <f>IF($D328=0,"",ROUND(AVERAGEIFS(Assessments!J:J,Assessments!G:G,$A328,Assessments!B:B,"&gt;="&amp;$B$4,Assessments!B:B,"&lt;="&amp;$B$5,Assessments!C:C,IF($E$4="",$B328,$E$4),Assessments!D:D,IF($E$5="",$C328,$E$5)),0))</f>
        <v/>
      </c>
      <c r="F328">
        <f>IF($D328=0,"",MAXIFS(Assessments!J:J,Assessments!G:G,$A328,Assessments!B:B,"&gt;="&amp;$B$4,Assessments!B:B,"&lt;="&amp;$B$5,Assessments!C:C,IF($E$4="",$B328,$E$4),Assessments!D:D,IF($E$5="",$C328,$E$5)))</f>
        <v/>
      </c>
      <c r="G328">
        <f>IF($D328=0,"",MINIFS(Assessments!J:J,Assessments!G:G,$A328,Assessments!B:B,"&gt;="&amp;$B$4,Assessments!B:B,"&lt;="&amp;$B$5,Assessments!C:C,IF($E$4="",$B328,$E$4),Assessments!D:D,IF($E$5="",$C328,$E$5)))</f>
        <v/>
      </c>
      <c r="H328">
        <f>IF($E328="","",RANK($E328,$E$8:$E$507,0))</f>
        <v/>
      </c>
      <c r="I328">
        <f>IF($E328="","",IF($E328&gt;=85,"Excellent",IF($E328&gt;=70,"Good",IF($E328&gt;=50,"Fair","Needs Support"))))</f>
        <v/>
      </c>
    </row>
    <row r="329">
      <c r="A329">
        <f>IF(Students!A323="","",Students!A323)</f>
        <v/>
      </c>
      <c r="B329">
        <f>IF($A329="","",Students!B323)</f>
        <v/>
      </c>
      <c r="C329">
        <f>IF($A329="","",Students!C323)</f>
        <v/>
      </c>
      <c r="D329">
        <f>IF($A329="","",COUNTIFS(Assessments!G:G,$A329,Assessments!B:B,"&gt;="&amp;$B$4,Assessments!B:B,"&lt;="&amp;$B$5,Assessments!C:C,IF($E$4="",$B329,$E$4),Assessments!D:D,IF($E$5="",$C329,$E$5)))</f>
        <v/>
      </c>
      <c r="E329">
        <f>IF($D329=0,"",ROUND(AVERAGEIFS(Assessments!J:J,Assessments!G:G,$A329,Assessments!B:B,"&gt;="&amp;$B$4,Assessments!B:B,"&lt;="&amp;$B$5,Assessments!C:C,IF($E$4="",$B329,$E$4),Assessments!D:D,IF($E$5="",$C329,$E$5)),0))</f>
        <v/>
      </c>
      <c r="F329">
        <f>IF($D329=0,"",MAXIFS(Assessments!J:J,Assessments!G:G,$A329,Assessments!B:B,"&gt;="&amp;$B$4,Assessments!B:B,"&lt;="&amp;$B$5,Assessments!C:C,IF($E$4="",$B329,$E$4),Assessments!D:D,IF($E$5="",$C329,$E$5)))</f>
        <v/>
      </c>
      <c r="G329">
        <f>IF($D329=0,"",MINIFS(Assessments!J:J,Assessments!G:G,$A329,Assessments!B:B,"&gt;="&amp;$B$4,Assessments!B:B,"&lt;="&amp;$B$5,Assessments!C:C,IF($E$4="",$B329,$E$4),Assessments!D:D,IF($E$5="",$C329,$E$5)))</f>
        <v/>
      </c>
      <c r="H329">
        <f>IF($E329="","",RANK($E329,$E$8:$E$507,0))</f>
        <v/>
      </c>
      <c r="I329">
        <f>IF($E329="","",IF($E329&gt;=85,"Excellent",IF($E329&gt;=70,"Good",IF($E329&gt;=50,"Fair","Needs Support"))))</f>
        <v/>
      </c>
    </row>
    <row r="330">
      <c r="A330">
        <f>IF(Students!A324="","",Students!A324)</f>
        <v/>
      </c>
      <c r="B330">
        <f>IF($A330="","",Students!B324)</f>
        <v/>
      </c>
      <c r="C330">
        <f>IF($A330="","",Students!C324)</f>
        <v/>
      </c>
      <c r="D330">
        <f>IF($A330="","",COUNTIFS(Assessments!G:G,$A330,Assessments!B:B,"&gt;="&amp;$B$4,Assessments!B:B,"&lt;="&amp;$B$5,Assessments!C:C,IF($E$4="",$B330,$E$4),Assessments!D:D,IF($E$5="",$C330,$E$5)))</f>
        <v/>
      </c>
      <c r="E330">
        <f>IF($D330=0,"",ROUND(AVERAGEIFS(Assessments!J:J,Assessments!G:G,$A330,Assessments!B:B,"&gt;="&amp;$B$4,Assessments!B:B,"&lt;="&amp;$B$5,Assessments!C:C,IF($E$4="",$B330,$E$4),Assessments!D:D,IF($E$5="",$C330,$E$5)),0))</f>
        <v/>
      </c>
      <c r="F330">
        <f>IF($D330=0,"",MAXIFS(Assessments!J:J,Assessments!G:G,$A330,Assessments!B:B,"&gt;="&amp;$B$4,Assessments!B:B,"&lt;="&amp;$B$5,Assessments!C:C,IF($E$4="",$B330,$E$4),Assessments!D:D,IF($E$5="",$C330,$E$5)))</f>
        <v/>
      </c>
      <c r="G330">
        <f>IF($D330=0,"",MINIFS(Assessments!J:J,Assessments!G:G,$A330,Assessments!B:B,"&gt;="&amp;$B$4,Assessments!B:B,"&lt;="&amp;$B$5,Assessments!C:C,IF($E$4="",$B330,$E$4),Assessments!D:D,IF($E$5="",$C330,$E$5)))</f>
        <v/>
      </c>
      <c r="H330">
        <f>IF($E330="","",RANK($E330,$E$8:$E$507,0))</f>
        <v/>
      </c>
      <c r="I330">
        <f>IF($E330="","",IF($E330&gt;=85,"Excellent",IF($E330&gt;=70,"Good",IF($E330&gt;=50,"Fair","Needs Support"))))</f>
        <v/>
      </c>
    </row>
    <row r="331">
      <c r="A331">
        <f>IF(Students!A325="","",Students!A325)</f>
        <v/>
      </c>
      <c r="B331">
        <f>IF($A331="","",Students!B325)</f>
        <v/>
      </c>
      <c r="C331">
        <f>IF($A331="","",Students!C325)</f>
        <v/>
      </c>
      <c r="D331">
        <f>IF($A331="","",COUNTIFS(Assessments!G:G,$A331,Assessments!B:B,"&gt;="&amp;$B$4,Assessments!B:B,"&lt;="&amp;$B$5,Assessments!C:C,IF($E$4="",$B331,$E$4),Assessments!D:D,IF($E$5="",$C331,$E$5)))</f>
        <v/>
      </c>
      <c r="E331">
        <f>IF($D331=0,"",ROUND(AVERAGEIFS(Assessments!J:J,Assessments!G:G,$A331,Assessments!B:B,"&gt;="&amp;$B$4,Assessments!B:B,"&lt;="&amp;$B$5,Assessments!C:C,IF($E$4="",$B331,$E$4),Assessments!D:D,IF($E$5="",$C331,$E$5)),0))</f>
        <v/>
      </c>
      <c r="F331">
        <f>IF($D331=0,"",MAXIFS(Assessments!J:J,Assessments!G:G,$A331,Assessments!B:B,"&gt;="&amp;$B$4,Assessments!B:B,"&lt;="&amp;$B$5,Assessments!C:C,IF($E$4="",$B331,$E$4),Assessments!D:D,IF($E$5="",$C331,$E$5)))</f>
        <v/>
      </c>
      <c r="G331">
        <f>IF($D331=0,"",MINIFS(Assessments!J:J,Assessments!G:G,$A331,Assessments!B:B,"&gt;="&amp;$B$4,Assessments!B:B,"&lt;="&amp;$B$5,Assessments!C:C,IF($E$4="",$B331,$E$4),Assessments!D:D,IF($E$5="",$C331,$E$5)))</f>
        <v/>
      </c>
      <c r="H331">
        <f>IF($E331="","",RANK($E331,$E$8:$E$507,0))</f>
        <v/>
      </c>
      <c r="I331">
        <f>IF($E331="","",IF($E331&gt;=85,"Excellent",IF($E331&gt;=70,"Good",IF($E331&gt;=50,"Fair","Needs Support"))))</f>
        <v/>
      </c>
    </row>
    <row r="332">
      <c r="A332">
        <f>IF(Students!A326="","",Students!A326)</f>
        <v/>
      </c>
      <c r="B332">
        <f>IF($A332="","",Students!B326)</f>
        <v/>
      </c>
      <c r="C332">
        <f>IF($A332="","",Students!C326)</f>
        <v/>
      </c>
      <c r="D332">
        <f>IF($A332="","",COUNTIFS(Assessments!G:G,$A332,Assessments!B:B,"&gt;="&amp;$B$4,Assessments!B:B,"&lt;="&amp;$B$5,Assessments!C:C,IF($E$4="",$B332,$E$4),Assessments!D:D,IF($E$5="",$C332,$E$5)))</f>
        <v/>
      </c>
      <c r="E332">
        <f>IF($D332=0,"",ROUND(AVERAGEIFS(Assessments!J:J,Assessments!G:G,$A332,Assessments!B:B,"&gt;="&amp;$B$4,Assessments!B:B,"&lt;="&amp;$B$5,Assessments!C:C,IF($E$4="",$B332,$E$4),Assessments!D:D,IF($E$5="",$C332,$E$5)),0))</f>
        <v/>
      </c>
      <c r="F332">
        <f>IF($D332=0,"",MAXIFS(Assessments!J:J,Assessments!G:G,$A332,Assessments!B:B,"&gt;="&amp;$B$4,Assessments!B:B,"&lt;="&amp;$B$5,Assessments!C:C,IF($E$4="",$B332,$E$4),Assessments!D:D,IF($E$5="",$C332,$E$5)))</f>
        <v/>
      </c>
      <c r="G332">
        <f>IF($D332=0,"",MINIFS(Assessments!J:J,Assessments!G:G,$A332,Assessments!B:B,"&gt;="&amp;$B$4,Assessments!B:B,"&lt;="&amp;$B$5,Assessments!C:C,IF($E$4="",$B332,$E$4),Assessments!D:D,IF($E$5="",$C332,$E$5)))</f>
        <v/>
      </c>
      <c r="H332">
        <f>IF($E332="","",RANK($E332,$E$8:$E$507,0))</f>
        <v/>
      </c>
      <c r="I332">
        <f>IF($E332="","",IF($E332&gt;=85,"Excellent",IF($E332&gt;=70,"Good",IF($E332&gt;=50,"Fair","Needs Support"))))</f>
        <v/>
      </c>
    </row>
    <row r="333">
      <c r="A333">
        <f>IF(Students!A327="","",Students!A327)</f>
        <v/>
      </c>
      <c r="B333">
        <f>IF($A333="","",Students!B327)</f>
        <v/>
      </c>
      <c r="C333">
        <f>IF($A333="","",Students!C327)</f>
        <v/>
      </c>
      <c r="D333">
        <f>IF($A333="","",COUNTIFS(Assessments!G:G,$A333,Assessments!B:B,"&gt;="&amp;$B$4,Assessments!B:B,"&lt;="&amp;$B$5,Assessments!C:C,IF($E$4="",$B333,$E$4),Assessments!D:D,IF($E$5="",$C333,$E$5)))</f>
        <v/>
      </c>
      <c r="E333">
        <f>IF($D333=0,"",ROUND(AVERAGEIFS(Assessments!J:J,Assessments!G:G,$A333,Assessments!B:B,"&gt;="&amp;$B$4,Assessments!B:B,"&lt;="&amp;$B$5,Assessments!C:C,IF($E$4="",$B333,$E$4),Assessments!D:D,IF($E$5="",$C333,$E$5)),0))</f>
        <v/>
      </c>
      <c r="F333">
        <f>IF($D333=0,"",MAXIFS(Assessments!J:J,Assessments!G:G,$A333,Assessments!B:B,"&gt;="&amp;$B$4,Assessments!B:B,"&lt;="&amp;$B$5,Assessments!C:C,IF($E$4="",$B333,$E$4),Assessments!D:D,IF($E$5="",$C333,$E$5)))</f>
        <v/>
      </c>
      <c r="G333">
        <f>IF($D333=0,"",MINIFS(Assessments!J:J,Assessments!G:G,$A333,Assessments!B:B,"&gt;="&amp;$B$4,Assessments!B:B,"&lt;="&amp;$B$5,Assessments!C:C,IF($E$4="",$B333,$E$4),Assessments!D:D,IF($E$5="",$C333,$E$5)))</f>
        <v/>
      </c>
      <c r="H333">
        <f>IF($E333="","",RANK($E333,$E$8:$E$507,0))</f>
        <v/>
      </c>
      <c r="I333">
        <f>IF($E333="","",IF($E333&gt;=85,"Excellent",IF($E333&gt;=70,"Good",IF($E333&gt;=50,"Fair","Needs Support"))))</f>
        <v/>
      </c>
    </row>
    <row r="334">
      <c r="A334">
        <f>IF(Students!A328="","",Students!A328)</f>
        <v/>
      </c>
      <c r="B334">
        <f>IF($A334="","",Students!B328)</f>
        <v/>
      </c>
      <c r="C334">
        <f>IF($A334="","",Students!C328)</f>
        <v/>
      </c>
      <c r="D334">
        <f>IF($A334="","",COUNTIFS(Assessments!G:G,$A334,Assessments!B:B,"&gt;="&amp;$B$4,Assessments!B:B,"&lt;="&amp;$B$5,Assessments!C:C,IF($E$4="",$B334,$E$4),Assessments!D:D,IF($E$5="",$C334,$E$5)))</f>
        <v/>
      </c>
      <c r="E334">
        <f>IF($D334=0,"",ROUND(AVERAGEIFS(Assessments!J:J,Assessments!G:G,$A334,Assessments!B:B,"&gt;="&amp;$B$4,Assessments!B:B,"&lt;="&amp;$B$5,Assessments!C:C,IF($E$4="",$B334,$E$4),Assessments!D:D,IF($E$5="",$C334,$E$5)),0))</f>
        <v/>
      </c>
      <c r="F334">
        <f>IF($D334=0,"",MAXIFS(Assessments!J:J,Assessments!G:G,$A334,Assessments!B:B,"&gt;="&amp;$B$4,Assessments!B:B,"&lt;="&amp;$B$5,Assessments!C:C,IF($E$4="",$B334,$E$4),Assessments!D:D,IF($E$5="",$C334,$E$5)))</f>
        <v/>
      </c>
      <c r="G334">
        <f>IF($D334=0,"",MINIFS(Assessments!J:J,Assessments!G:G,$A334,Assessments!B:B,"&gt;="&amp;$B$4,Assessments!B:B,"&lt;="&amp;$B$5,Assessments!C:C,IF($E$4="",$B334,$E$4),Assessments!D:D,IF($E$5="",$C334,$E$5)))</f>
        <v/>
      </c>
      <c r="H334">
        <f>IF($E334="","",RANK($E334,$E$8:$E$507,0))</f>
        <v/>
      </c>
      <c r="I334">
        <f>IF($E334="","",IF($E334&gt;=85,"Excellent",IF($E334&gt;=70,"Good",IF($E334&gt;=50,"Fair","Needs Support"))))</f>
        <v/>
      </c>
    </row>
    <row r="335">
      <c r="A335">
        <f>IF(Students!A329="","",Students!A329)</f>
        <v/>
      </c>
      <c r="B335">
        <f>IF($A335="","",Students!B329)</f>
        <v/>
      </c>
      <c r="C335">
        <f>IF($A335="","",Students!C329)</f>
        <v/>
      </c>
      <c r="D335">
        <f>IF($A335="","",COUNTIFS(Assessments!G:G,$A335,Assessments!B:B,"&gt;="&amp;$B$4,Assessments!B:B,"&lt;="&amp;$B$5,Assessments!C:C,IF($E$4="",$B335,$E$4),Assessments!D:D,IF($E$5="",$C335,$E$5)))</f>
        <v/>
      </c>
      <c r="E335">
        <f>IF($D335=0,"",ROUND(AVERAGEIFS(Assessments!J:J,Assessments!G:G,$A335,Assessments!B:B,"&gt;="&amp;$B$4,Assessments!B:B,"&lt;="&amp;$B$5,Assessments!C:C,IF($E$4="",$B335,$E$4),Assessments!D:D,IF($E$5="",$C335,$E$5)),0))</f>
        <v/>
      </c>
      <c r="F335">
        <f>IF($D335=0,"",MAXIFS(Assessments!J:J,Assessments!G:G,$A335,Assessments!B:B,"&gt;="&amp;$B$4,Assessments!B:B,"&lt;="&amp;$B$5,Assessments!C:C,IF($E$4="",$B335,$E$4),Assessments!D:D,IF($E$5="",$C335,$E$5)))</f>
        <v/>
      </c>
      <c r="G335">
        <f>IF($D335=0,"",MINIFS(Assessments!J:J,Assessments!G:G,$A335,Assessments!B:B,"&gt;="&amp;$B$4,Assessments!B:B,"&lt;="&amp;$B$5,Assessments!C:C,IF($E$4="",$B335,$E$4),Assessments!D:D,IF($E$5="",$C335,$E$5)))</f>
        <v/>
      </c>
      <c r="H335">
        <f>IF($E335="","",RANK($E335,$E$8:$E$507,0))</f>
        <v/>
      </c>
      <c r="I335">
        <f>IF($E335="","",IF($E335&gt;=85,"Excellent",IF($E335&gt;=70,"Good",IF($E335&gt;=50,"Fair","Needs Support"))))</f>
        <v/>
      </c>
    </row>
    <row r="336">
      <c r="A336">
        <f>IF(Students!A330="","",Students!A330)</f>
        <v/>
      </c>
      <c r="B336">
        <f>IF($A336="","",Students!B330)</f>
        <v/>
      </c>
      <c r="C336">
        <f>IF($A336="","",Students!C330)</f>
        <v/>
      </c>
      <c r="D336">
        <f>IF($A336="","",COUNTIFS(Assessments!G:G,$A336,Assessments!B:B,"&gt;="&amp;$B$4,Assessments!B:B,"&lt;="&amp;$B$5,Assessments!C:C,IF($E$4="",$B336,$E$4),Assessments!D:D,IF($E$5="",$C336,$E$5)))</f>
        <v/>
      </c>
      <c r="E336">
        <f>IF($D336=0,"",ROUND(AVERAGEIFS(Assessments!J:J,Assessments!G:G,$A336,Assessments!B:B,"&gt;="&amp;$B$4,Assessments!B:B,"&lt;="&amp;$B$5,Assessments!C:C,IF($E$4="",$B336,$E$4),Assessments!D:D,IF($E$5="",$C336,$E$5)),0))</f>
        <v/>
      </c>
      <c r="F336">
        <f>IF($D336=0,"",MAXIFS(Assessments!J:J,Assessments!G:G,$A336,Assessments!B:B,"&gt;="&amp;$B$4,Assessments!B:B,"&lt;="&amp;$B$5,Assessments!C:C,IF($E$4="",$B336,$E$4),Assessments!D:D,IF($E$5="",$C336,$E$5)))</f>
        <v/>
      </c>
      <c r="G336">
        <f>IF($D336=0,"",MINIFS(Assessments!J:J,Assessments!G:G,$A336,Assessments!B:B,"&gt;="&amp;$B$4,Assessments!B:B,"&lt;="&amp;$B$5,Assessments!C:C,IF($E$4="",$B336,$E$4),Assessments!D:D,IF($E$5="",$C336,$E$5)))</f>
        <v/>
      </c>
      <c r="H336">
        <f>IF($E336="","",RANK($E336,$E$8:$E$507,0))</f>
        <v/>
      </c>
      <c r="I336">
        <f>IF($E336="","",IF($E336&gt;=85,"Excellent",IF($E336&gt;=70,"Good",IF($E336&gt;=50,"Fair","Needs Support"))))</f>
        <v/>
      </c>
    </row>
    <row r="337">
      <c r="A337">
        <f>IF(Students!A331="","",Students!A331)</f>
        <v/>
      </c>
      <c r="B337">
        <f>IF($A337="","",Students!B331)</f>
        <v/>
      </c>
      <c r="C337">
        <f>IF($A337="","",Students!C331)</f>
        <v/>
      </c>
      <c r="D337">
        <f>IF($A337="","",COUNTIFS(Assessments!G:G,$A337,Assessments!B:B,"&gt;="&amp;$B$4,Assessments!B:B,"&lt;="&amp;$B$5,Assessments!C:C,IF($E$4="",$B337,$E$4),Assessments!D:D,IF($E$5="",$C337,$E$5)))</f>
        <v/>
      </c>
      <c r="E337">
        <f>IF($D337=0,"",ROUND(AVERAGEIFS(Assessments!J:J,Assessments!G:G,$A337,Assessments!B:B,"&gt;="&amp;$B$4,Assessments!B:B,"&lt;="&amp;$B$5,Assessments!C:C,IF($E$4="",$B337,$E$4),Assessments!D:D,IF($E$5="",$C337,$E$5)),0))</f>
        <v/>
      </c>
      <c r="F337">
        <f>IF($D337=0,"",MAXIFS(Assessments!J:J,Assessments!G:G,$A337,Assessments!B:B,"&gt;="&amp;$B$4,Assessments!B:B,"&lt;="&amp;$B$5,Assessments!C:C,IF($E$4="",$B337,$E$4),Assessments!D:D,IF($E$5="",$C337,$E$5)))</f>
        <v/>
      </c>
      <c r="G337">
        <f>IF($D337=0,"",MINIFS(Assessments!J:J,Assessments!G:G,$A337,Assessments!B:B,"&gt;="&amp;$B$4,Assessments!B:B,"&lt;="&amp;$B$5,Assessments!C:C,IF($E$4="",$B337,$E$4),Assessments!D:D,IF($E$5="",$C337,$E$5)))</f>
        <v/>
      </c>
      <c r="H337">
        <f>IF($E337="","",RANK($E337,$E$8:$E$507,0))</f>
        <v/>
      </c>
      <c r="I337">
        <f>IF($E337="","",IF($E337&gt;=85,"Excellent",IF($E337&gt;=70,"Good",IF($E337&gt;=50,"Fair","Needs Support"))))</f>
        <v/>
      </c>
    </row>
    <row r="338">
      <c r="A338">
        <f>IF(Students!A332="","",Students!A332)</f>
        <v/>
      </c>
      <c r="B338">
        <f>IF($A338="","",Students!B332)</f>
        <v/>
      </c>
      <c r="C338">
        <f>IF($A338="","",Students!C332)</f>
        <v/>
      </c>
      <c r="D338">
        <f>IF($A338="","",COUNTIFS(Assessments!G:G,$A338,Assessments!B:B,"&gt;="&amp;$B$4,Assessments!B:B,"&lt;="&amp;$B$5,Assessments!C:C,IF($E$4="",$B338,$E$4),Assessments!D:D,IF($E$5="",$C338,$E$5)))</f>
        <v/>
      </c>
      <c r="E338">
        <f>IF($D338=0,"",ROUND(AVERAGEIFS(Assessments!J:J,Assessments!G:G,$A338,Assessments!B:B,"&gt;="&amp;$B$4,Assessments!B:B,"&lt;="&amp;$B$5,Assessments!C:C,IF($E$4="",$B338,$E$4),Assessments!D:D,IF($E$5="",$C338,$E$5)),0))</f>
        <v/>
      </c>
      <c r="F338">
        <f>IF($D338=0,"",MAXIFS(Assessments!J:J,Assessments!G:G,$A338,Assessments!B:B,"&gt;="&amp;$B$4,Assessments!B:B,"&lt;="&amp;$B$5,Assessments!C:C,IF($E$4="",$B338,$E$4),Assessments!D:D,IF($E$5="",$C338,$E$5)))</f>
        <v/>
      </c>
      <c r="G338">
        <f>IF($D338=0,"",MINIFS(Assessments!J:J,Assessments!G:G,$A338,Assessments!B:B,"&gt;="&amp;$B$4,Assessments!B:B,"&lt;="&amp;$B$5,Assessments!C:C,IF($E$4="",$B338,$E$4),Assessments!D:D,IF($E$5="",$C338,$E$5)))</f>
        <v/>
      </c>
      <c r="H338">
        <f>IF($E338="","",RANK($E338,$E$8:$E$507,0))</f>
        <v/>
      </c>
      <c r="I338">
        <f>IF($E338="","",IF($E338&gt;=85,"Excellent",IF($E338&gt;=70,"Good",IF($E338&gt;=50,"Fair","Needs Support"))))</f>
        <v/>
      </c>
    </row>
    <row r="339">
      <c r="A339">
        <f>IF(Students!A333="","",Students!A333)</f>
        <v/>
      </c>
      <c r="B339">
        <f>IF($A339="","",Students!B333)</f>
        <v/>
      </c>
      <c r="C339">
        <f>IF($A339="","",Students!C333)</f>
        <v/>
      </c>
      <c r="D339">
        <f>IF($A339="","",COUNTIFS(Assessments!G:G,$A339,Assessments!B:B,"&gt;="&amp;$B$4,Assessments!B:B,"&lt;="&amp;$B$5,Assessments!C:C,IF($E$4="",$B339,$E$4),Assessments!D:D,IF($E$5="",$C339,$E$5)))</f>
        <v/>
      </c>
      <c r="E339">
        <f>IF($D339=0,"",ROUND(AVERAGEIFS(Assessments!J:J,Assessments!G:G,$A339,Assessments!B:B,"&gt;="&amp;$B$4,Assessments!B:B,"&lt;="&amp;$B$5,Assessments!C:C,IF($E$4="",$B339,$E$4),Assessments!D:D,IF($E$5="",$C339,$E$5)),0))</f>
        <v/>
      </c>
      <c r="F339">
        <f>IF($D339=0,"",MAXIFS(Assessments!J:J,Assessments!G:G,$A339,Assessments!B:B,"&gt;="&amp;$B$4,Assessments!B:B,"&lt;="&amp;$B$5,Assessments!C:C,IF($E$4="",$B339,$E$4),Assessments!D:D,IF($E$5="",$C339,$E$5)))</f>
        <v/>
      </c>
      <c r="G339">
        <f>IF($D339=0,"",MINIFS(Assessments!J:J,Assessments!G:G,$A339,Assessments!B:B,"&gt;="&amp;$B$4,Assessments!B:B,"&lt;="&amp;$B$5,Assessments!C:C,IF($E$4="",$B339,$E$4),Assessments!D:D,IF($E$5="",$C339,$E$5)))</f>
        <v/>
      </c>
      <c r="H339">
        <f>IF($E339="","",RANK($E339,$E$8:$E$507,0))</f>
        <v/>
      </c>
      <c r="I339">
        <f>IF($E339="","",IF($E339&gt;=85,"Excellent",IF($E339&gt;=70,"Good",IF($E339&gt;=50,"Fair","Needs Support"))))</f>
        <v/>
      </c>
    </row>
    <row r="340">
      <c r="A340">
        <f>IF(Students!A334="","",Students!A334)</f>
        <v/>
      </c>
      <c r="B340">
        <f>IF($A340="","",Students!B334)</f>
        <v/>
      </c>
      <c r="C340">
        <f>IF($A340="","",Students!C334)</f>
        <v/>
      </c>
      <c r="D340">
        <f>IF($A340="","",COUNTIFS(Assessments!G:G,$A340,Assessments!B:B,"&gt;="&amp;$B$4,Assessments!B:B,"&lt;="&amp;$B$5,Assessments!C:C,IF($E$4="",$B340,$E$4),Assessments!D:D,IF($E$5="",$C340,$E$5)))</f>
        <v/>
      </c>
      <c r="E340">
        <f>IF($D340=0,"",ROUND(AVERAGEIFS(Assessments!J:J,Assessments!G:G,$A340,Assessments!B:B,"&gt;="&amp;$B$4,Assessments!B:B,"&lt;="&amp;$B$5,Assessments!C:C,IF($E$4="",$B340,$E$4),Assessments!D:D,IF($E$5="",$C340,$E$5)),0))</f>
        <v/>
      </c>
      <c r="F340">
        <f>IF($D340=0,"",MAXIFS(Assessments!J:J,Assessments!G:G,$A340,Assessments!B:B,"&gt;="&amp;$B$4,Assessments!B:B,"&lt;="&amp;$B$5,Assessments!C:C,IF($E$4="",$B340,$E$4),Assessments!D:D,IF($E$5="",$C340,$E$5)))</f>
        <v/>
      </c>
      <c r="G340">
        <f>IF($D340=0,"",MINIFS(Assessments!J:J,Assessments!G:G,$A340,Assessments!B:B,"&gt;="&amp;$B$4,Assessments!B:B,"&lt;="&amp;$B$5,Assessments!C:C,IF($E$4="",$B340,$E$4),Assessments!D:D,IF($E$5="",$C340,$E$5)))</f>
        <v/>
      </c>
      <c r="H340">
        <f>IF($E340="","",RANK($E340,$E$8:$E$507,0))</f>
        <v/>
      </c>
      <c r="I340">
        <f>IF($E340="","",IF($E340&gt;=85,"Excellent",IF($E340&gt;=70,"Good",IF($E340&gt;=50,"Fair","Needs Support"))))</f>
        <v/>
      </c>
    </row>
    <row r="341">
      <c r="A341">
        <f>IF(Students!A335="","",Students!A335)</f>
        <v/>
      </c>
      <c r="B341">
        <f>IF($A341="","",Students!B335)</f>
        <v/>
      </c>
      <c r="C341">
        <f>IF($A341="","",Students!C335)</f>
        <v/>
      </c>
      <c r="D341">
        <f>IF($A341="","",COUNTIFS(Assessments!G:G,$A341,Assessments!B:B,"&gt;="&amp;$B$4,Assessments!B:B,"&lt;="&amp;$B$5,Assessments!C:C,IF($E$4="",$B341,$E$4),Assessments!D:D,IF($E$5="",$C341,$E$5)))</f>
        <v/>
      </c>
      <c r="E341">
        <f>IF($D341=0,"",ROUND(AVERAGEIFS(Assessments!J:J,Assessments!G:G,$A341,Assessments!B:B,"&gt;="&amp;$B$4,Assessments!B:B,"&lt;="&amp;$B$5,Assessments!C:C,IF($E$4="",$B341,$E$4),Assessments!D:D,IF($E$5="",$C341,$E$5)),0))</f>
        <v/>
      </c>
      <c r="F341">
        <f>IF($D341=0,"",MAXIFS(Assessments!J:J,Assessments!G:G,$A341,Assessments!B:B,"&gt;="&amp;$B$4,Assessments!B:B,"&lt;="&amp;$B$5,Assessments!C:C,IF($E$4="",$B341,$E$4),Assessments!D:D,IF($E$5="",$C341,$E$5)))</f>
        <v/>
      </c>
      <c r="G341">
        <f>IF($D341=0,"",MINIFS(Assessments!J:J,Assessments!G:G,$A341,Assessments!B:B,"&gt;="&amp;$B$4,Assessments!B:B,"&lt;="&amp;$B$5,Assessments!C:C,IF($E$4="",$B341,$E$4),Assessments!D:D,IF($E$5="",$C341,$E$5)))</f>
        <v/>
      </c>
      <c r="H341">
        <f>IF($E341="","",RANK($E341,$E$8:$E$507,0))</f>
        <v/>
      </c>
      <c r="I341">
        <f>IF($E341="","",IF($E341&gt;=85,"Excellent",IF($E341&gt;=70,"Good",IF($E341&gt;=50,"Fair","Needs Support"))))</f>
        <v/>
      </c>
    </row>
    <row r="342">
      <c r="A342">
        <f>IF(Students!A336="","",Students!A336)</f>
        <v/>
      </c>
      <c r="B342">
        <f>IF($A342="","",Students!B336)</f>
        <v/>
      </c>
      <c r="C342">
        <f>IF($A342="","",Students!C336)</f>
        <v/>
      </c>
      <c r="D342">
        <f>IF($A342="","",COUNTIFS(Assessments!G:G,$A342,Assessments!B:B,"&gt;="&amp;$B$4,Assessments!B:B,"&lt;="&amp;$B$5,Assessments!C:C,IF($E$4="",$B342,$E$4),Assessments!D:D,IF($E$5="",$C342,$E$5)))</f>
        <v/>
      </c>
      <c r="E342">
        <f>IF($D342=0,"",ROUND(AVERAGEIFS(Assessments!J:J,Assessments!G:G,$A342,Assessments!B:B,"&gt;="&amp;$B$4,Assessments!B:B,"&lt;="&amp;$B$5,Assessments!C:C,IF($E$4="",$B342,$E$4),Assessments!D:D,IF($E$5="",$C342,$E$5)),0))</f>
        <v/>
      </c>
      <c r="F342">
        <f>IF($D342=0,"",MAXIFS(Assessments!J:J,Assessments!G:G,$A342,Assessments!B:B,"&gt;="&amp;$B$4,Assessments!B:B,"&lt;="&amp;$B$5,Assessments!C:C,IF($E$4="",$B342,$E$4),Assessments!D:D,IF($E$5="",$C342,$E$5)))</f>
        <v/>
      </c>
      <c r="G342">
        <f>IF($D342=0,"",MINIFS(Assessments!J:J,Assessments!G:G,$A342,Assessments!B:B,"&gt;="&amp;$B$4,Assessments!B:B,"&lt;="&amp;$B$5,Assessments!C:C,IF($E$4="",$B342,$E$4),Assessments!D:D,IF($E$5="",$C342,$E$5)))</f>
        <v/>
      </c>
      <c r="H342">
        <f>IF($E342="","",RANK($E342,$E$8:$E$507,0))</f>
        <v/>
      </c>
      <c r="I342">
        <f>IF($E342="","",IF($E342&gt;=85,"Excellent",IF($E342&gt;=70,"Good",IF($E342&gt;=50,"Fair","Needs Support"))))</f>
        <v/>
      </c>
    </row>
    <row r="343">
      <c r="A343">
        <f>IF(Students!A337="","",Students!A337)</f>
        <v/>
      </c>
      <c r="B343">
        <f>IF($A343="","",Students!B337)</f>
        <v/>
      </c>
      <c r="C343">
        <f>IF($A343="","",Students!C337)</f>
        <v/>
      </c>
      <c r="D343">
        <f>IF($A343="","",COUNTIFS(Assessments!G:G,$A343,Assessments!B:B,"&gt;="&amp;$B$4,Assessments!B:B,"&lt;="&amp;$B$5,Assessments!C:C,IF($E$4="",$B343,$E$4),Assessments!D:D,IF($E$5="",$C343,$E$5)))</f>
        <v/>
      </c>
      <c r="E343">
        <f>IF($D343=0,"",ROUND(AVERAGEIFS(Assessments!J:J,Assessments!G:G,$A343,Assessments!B:B,"&gt;="&amp;$B$4,Assessments!B:B,"&lt;="&amp;$B$5,Assessments!C:C,IF($E$4="",$B343,$E$4),Assessments!D:D,IF($E$5="",$C343,$E$5)),0))</f>
        <v/>
      </c>
      <c r="F343">
        <f>IF($D343=0,"",MAXIFS(Assessments!J:J,Assessments!G:G,$A343,Assessments!B:B,"&gt;="&amp;$B$4,Assessments!B:B,"&lt;="&amp;$B$5,Assessments!C:C,IF($E$4="",$B343,$E$4),Assessments!D:D,IF($E$5="",$C343,$E$5)))</f>
        <v/>
      </c>
      <c r="G343">
        <f>IF($D343=0,"",MINIFS(Assessments!J:J,Assessments!G:G,$A343,Assessments!B:B,"&gt;="&amp;$B$4,Assessments!B:B,"&lt;="&amp;$B$5,Assessments!C:C,IF($E$4="",$B343,$E$4),Assessments!D:D,IF($E$5="",$C343,$E$5)))</f>
        <v/>
      </c>
      <c r="H343">
        <f>IF($E343="","",RANK($E343,$E$8:$E$507,0))</f>
        <v/>
      </c>
      <c r="I343">
        <f>IF($E343="","",IF($E343&gt;=85,"Excellent",IF($E343&gt;=70,"Good",IF($E343&gt;=50,"Fair","Needs Support"))))</f>
        <v/>
      </c>
    </row>
    <row r="344">
      <c r="A344">
        <f>IF(Students!A338="","",Students!A338)</f>
        <v/>
      </c>
      <c r="B344">
        <f>IF($A344="","",Students!B338)</f>
        <v/>
      </c>
      <c r="C344">
        <f>IF($A344="","",Students!C338)</f>
        <v/>
      </c>
      <c r="D344">
        <f>IF($A344="","",COUNTIFS(Assessments!G:G,$A344,Assessments!B:B,"&gt;="&amp;$B$4,Assessments!B:B,"&lt;="&amp;$B$5,Assessments!C:C,IF($E$4="",$B344,$E$4),Assessments!D:D,IF($E$5="",$C344,$E$5)))</f>
        <v/>
      </c>
      <c r="E344">
        <f>IF($D344=0,"",ROUND(AVERAGEIFS(Assessments!J:J,Assessments!G:G,$A344,Assessments!B:B,"&gt;="&amp;$B$4,Assessments!B:B,"&lt;="&amp;$B$5,Assessments!C:C,IF($E$4="",$B344,$E$4),Assessments!D:D,IF($E$5="",$C344,$E$5)),0))</f>
        <v/>
      </c>
      <c r="F344">
        <f>IF($D344=0,"",MAXIFS(Assessments!J:J,Assessments!G:G,$A344,Assessments!B:B,"&gt;="&amp;$B$4,Assessments!B:B,"&lt;="&amp;$B$5,Assessments!C:C,IF($E$4="",$B344,$E$4),Assessments!D:D,IF($E$5="",$C344,$E$5)))</f>
        <v/>
      </c>
      <c r="G344">
        <f>IF($D344=0,"",MINIFS(Assessments!J:J,Assessments!G:G,$A344,Assessments!B:B,"&gt;="&amp;$B$4,Assessments!B:B,"&lt;="&amp;$B$5,Assessments!C:C,IF($E$4="",$B344,$E$4),Assessments!D:D,IF($E$5="",$C344,$E$5)))</f>
        <v/>
      </c>
      <c r="H344">
        <f>IF($E344="","",RANK($E344,$E$8:$E$507,0))</f>
        <v/>
      </c>
      <c r="I344">
        <f>IF($E344="","",IF($E344&gt;=85,"Excellent",IF($E344&gt;=70,"Good",IF($E344&gt;=50,"Fair","Needs Support"))))</f>
        <v/>
      </c>
    </row>
    <row r="345">
      <c r="A345">
        <f>IF(Students!A339="","",Students!A339)</f>
        <v/>
      </c>
      <c r="B345">
        <f>IF($A345="","",Students!B339)</f>
        <v/>
      </c>
      <c r="C345">
        <f>IF($A345="","",Students!C339)</f>
        <v/>
      </c>
      <c r="D345">
        <f>IF($A345="","",COUNTIFS(Assessments!G:G,$A345,Assessments!B:B,"&gt;="&amp;$B$4,Assessments!B:B,"&lt;="&amp;$B$5,Assessments!C:C,IF($E$4="",$B345,$E$4),Assessments!D:D,IF($E$5="",$C345,$E$5)))</f>
        <v/>
      </c>
      <c r="E345">
        <f>IF($D345=0,"",ROUND(AVERAGEIFS(Assessments!J:J,Assessments!G:G,$A345,Assessments!B:B,"&gt;="&amp;$B$4,Assessments!B:B,"&lt;="&amp;$B$5,Assessments!C:C,IF($E$4="",$B345,$E$4),Assessments!D:D,IF($E$5="",$C345,$E$5)),0))</f>
        <v/>
      </c>
      <c r="F345">
        <f>IF($D345=0,"",MAXIFS(Assessments!J:J,Assessments!G:G,$A345,Assessments!B:B,"&gt;="&amp;$B$4,Assessments!B:B,"&lt;="&amp;$B$5,Assessments!C:C,IF($E$4="",$B345,$E$4),Assessments!D:D,IF($E$5="",$C345,$E$5)))</f>
        <v/>
      </c>
      <c r="G345">
        <f>IF($D345=0,"",MINIFS(Assessments!J:J,Assessments!G:G,$A345,Assessments!B:B,"&gt;="&amp;$B$4,Assessments!B:B,"&lt;="&amp;$B$5,Assessments!C:C,IF($E$4="",$B345,$E$4),Assessments!D:D,IF($E$5="",$C345,$E$5)))</f>
        <v/>
      </c>
      <c r="H345">
        <f>IF($E345="","",RANK($E345,$E$8:$E$507,0))</f>
        <v/>
      </c>
      <c r="I345">
        <f>IF($E345="","",IF($E345&gt;=85,"Excellent",IF($E345&gt;=70,"Good",IF($E345&gt;=50,"Fair","Needs Support"))))</f>
        <v/>
      </c>
    </row>
    <row r="346">
      <c r="A346">
        <f>IF(Students!A340="","",Students!A340)</f>
        <v/>
      </c>
      <c r="B346">
        <f>IF($A346="","",Students!B340)</f>
        <v/>
      </c>
      <c r="C346">
        <f>IF($A346="","",Students!C340)</f>
        <v/>
      </c>
      <c r="D346">
        <f>IF($A346="","",COUNTIFS(Assessments!G:G,$A346,Assessments!B:B,"&gt;="&amp;$B$4,Assessments!B:B,"&lt;="&amp;$B$5,Assessments!C:C,IF($E$4="",$B346,$E$4),Assessments!D:D,IF($E$5="",$C346,$E$5)))</f>
        <v/>
      </c>
      <c r="E346">
        <f>IF($D346=0,"",ROUND(AVERAGEIFS(Assessments!J:J,Assessments!G:G,$A346,Assessments!B:B,"&gt;="&amp;$B$4,Assessments!B:B,"&lt;="&amp;$B$5,Assessments!C:C,IF($E$4="",$B346,$E$4),Assessments!D:D,IF($E$5="",$C346,$E$5)),0))</f>
        <v/>
      </c>
      <c r="F346">
        <f>IF($D346=0,"",MAXIFS(Assessments!J:J,Assessments!G:G,$A346,Assessments!B:B,"&gt;="&amp;$B$4,Assessments!B:B,"&lt;="&amp;$B$5,Assessments!C:C,IF($E$4="",$B346,$E$4),Assessments!D:D,IF($E$5="",$C346,$E$5)))</f>
        <v/>
      </c>
      <c r="G346">
        <f>IF($D346=0,"",MINIFS(Assessments!J:J,Assessments!G:G,$A346,Assessments!B:B,"&gt;="&amp;$B$4,Assessments!B:B,"&lt;="&amp;$B$5,Assessments!C:C,IF($E$4="",$B346,$E$4),Assessments!D:D,IF($E$5="",$C346,$E$5)))</f>
        <v/>
      </c>
      <c r="H346">
        <f>IF($E346="","",RANK($E346,$E$8:$E$507,0))</f>
        <v/>
      </c>
      <c r="I346">
        <f>IF($E346="","",IF($E346&gt;=85,"Excellent",IF($E346&gt;=70,"Good",IF($E346&gt;=50,"Fair","Needs Support"))))</f>
        <v/>
      </c>
    </row>
    <row r="347">
      <c r="A347">
        <f>IF(Students!A341="","",Students!A341)</f>
        <v/>
      </c>
      <c r="B347">
        <f>IF($A347="","",Students!B341)</f>
        <v/>
      </c>
      <c r="C347">
        <f>IF($A347="","",Students!C341)</f>
        <v/>
      </c>
      <c r="D347">
        <f>IF($A347="","",COUNTIFS(Assessments!G:G,$A347,Assessments!B:B,"&gt;="&amp;$B$4,Assessments!B:B,"&lt;="&amp;$B$5,Assessments!C:C,IF($E$4="",$B347,$E$4),Assessments!D:D,IF($E$5="",$C347,$E$5)))</f>
        <v/>
      </c>
      <c r="E347">
        <f>IF($D347=0,"",ROUND(AVERAGEIFS(Assessments!J:J,Assessments!G:G,$A347,Assessments!B:B,"&gt;="&amp;$B$4,Assessments!B:B,"&lt;="&amp;$B$5,Assessments!C:C,IF($E$4="",$B347,$E$4),Assessments!D:D,IF($E$5="",$C347,$E$5)),0))</f>
        <v/>
      </c>
      <c r="F347">
        <f>IF($D347=0,"",MAXIFS(Assessments!J:J,Assessments!G:G,$A347,Assessments!B:B,"&gt;="&amp;$B$4,Assessments!B:B,"&lt;="&amp;$B$5,Assessments!C:C,IF($E$4="",$B347,$E$4),Assessments!D:D,IF($E$5="",$C347,$E$5)))</f>
        <v/>
      </c>
      <c r="G347">
        <f>IF($D347=0,"",MINIFS(Assessments!J:J,Assessments!G:G,$A347,Assessments!B:B,"&gt;="&amp;$B$4,Assessments!B:B,"&lt;="&amp;$B$5,Assessments!C:C,IF($E$4="",$B347,$E$4),Assessments!D:D,IF($E$5="",$C347,$E$5)))</f>
        <v/>
      </c>
      <c r="H347">
        <f>IF($E347="","",RANK($E347,$E$8:$E$507,0))</f>
        <v/>
      </c>
      <c r="I347">
        <f>IF($E347="","",IF($E347&gt;=85,"Excellent",IF($E347&gt;=70,"Good",IF($E347&gt;=50,"Fair","Needs Support"))))</f>
        <v/>
      </c>
    </row>
    <row r="348">
      <c r="A348">
        <f>IF(Students!A342="","",Students!A342)</f>
        <v/>
      </c>
      <c r="B348">
        <f>IF($A348="","",Students!B342)</f>
        <v/>
      </c>
      <c r="C348">
        <f>IF($A348="","",Students!C342)</f>
        <v/>
      </c>
      <c r="D348">
        <f>IF($A348="","",COUNTIFS(Assessments!G:G,$A348,Assessments!B:B,"&gt;="&amp;$B$4,Assessments!B:B,"&lt;="&amp;$B$5,Assessments!C:C,IF($E$4="",$B348,$E$4),Assessments!D:D,IF($E$5="",$C348,$E$5)))</f>
        <v/>
      </c>
      <c r="E348">
        <f>IF($D348=0,"",ROUND(AVERAGEIFS(Assessments!J:J,Assessments!G:G,$A348,Assessments!B:B,"&gt;="&amp;$B$4,Assessments!B:B,"&lt;="&amp;$B$5,Assessments!C:C,IF($E$4="",$B348,$E$4),Assessments!D:D,IF($E$5="",$C348,$E$5)),0))</f>
        <v/>
      </c>
      <c r="F348">
        <f>IF($D348=0,"",MAXIFS(Assessments!J:J,Assessments!G:G,$A348,Assessments!B:B,"&gt;="&amp;$B$4,Assessments!B:B,"&lt;="&amp;$B$5,Assessments!C:C,IF($E$4="",$B348,$E$4),Assessments!D:D,IF($E$5="",$C348,$E$5)))</f>
        <v/>
      </c>
      <c r="G348">
        <f>IF($D348=0,"",MINIFS(Assessments!J:J,Assessments!G:G,$A348,Assessments!B:B,"&gt;="&amp;$B$4,Assessments!B:B,"&lt;="&amp;$B$5,Assessments!C:C,IF($E$4="",$B348,$E$4),Assessments!D:D,IF($E$5="",$C348,$E$5)))</f>
        <v/>
      </c>
      <c r="H348">
        <f>IF($E348="","",RANK($E348,$E$8:$E$507,0))</f>
        <v/>
      </c>
      <c r="I348">
        <f>IF($E348="","",IF($E348&gt;=85,"Excellent",IF($E348&gt;=70,"Good",IF($E348&gt;=50,"Fair","Needs Support"))))</f>
        <v/>
      </c>
    </row>
    <row r="349">
      <c r="A349">
        <f>IF(Students!A343="","",Students!A343)</f>
        <v/>
      </c>
      <c r="B349">
        <f>IF($A349="","",Students!B343)</f>
        <v/>
      </c>
      <c r="C349">
        <f>IF($A349="","",Students!C343)</f>
        <v/>
      </c>
      <c r="D349">
        <f>IF($A349="","",COUNTIFS(Assessments!G:G,$A349,Assessments!B:B,"&gt;="&amp;$B$4,Assessments!B:B,"&lt;="&amp;$B$5,Assessments!C:C,IF($E$4="",$B349,$E$4),Assessments!D:D,IF($E$5="",$C349,$E$5)))</f>
        <v/>
      </c>
      <c r="E349">
        <f>IF($D349=0,"",ROUND(AVERAGEIFS(Assessments!J:J,Assessments!G:G,$A349,Assessments!B:B,"&gt;="&amp;$B$4,Assessments!B:B,"&lt;="&amp;$B$5,Assessments!C:C,IF($E$4="",$B349,$E$4),Assessments!D:D,IF($E$5="",$C349,$E$5)),0))</f>
        <v/>
      </c>
      <c r="F349">
        <f>IF($D349=0,"",MAXIFS(Assessments!J:J,Assessments!G:G,$A349,Assessments!B:B,"&gt;="&amp;$B$4,Assessments!B:B,"&lt;="&amp;$B$5,Assessments!C:C,IF($E$4="",$B349,$E$4),Assessments!D:D,IF($E$5="",$C349,$E$5)))</f>
        <v/>
      </c>
      <c r="G349">
        <f>IF($D349=0,"",MINIFS(Assessments!J:J,Assessments!G:G,$A349,Assessments!B:B,"&gt;="&amp;$B$4,Assessments!B:B,"&lt;="&amp;$B$5,Assessments!C:C,IF($E$4="",$B349,$E$4),Assessments!D:D,IF($E$5="",$C349,$E$5)))</f>
        <v/>
      </c>
      <c r="H349">
        <f>IF($E349="","",RANK($E349,$E$8:$E$507,0))</f>
        <v/>
      </c>
      <c r="I349">
        <f>IF($E349="","",IF($E349&gt;=85,"Excellent",IF($E349&gt;=70,"Good",IF($E349&gt;=50,"Fair","Needs Support"))))</f>
        <v/>
      </c>
    </row>
    <row r="350">
      <c r="A350">
        <f>IF(Students!A344="","",Students!A344)</f>
        <v/>
      </c>
      <c r="B350">
        <f>IF($A350="","",Students!B344)</f>
        <v/>
      </c>
      <c r="C350">
        <f>IF($A350="","",Students!C344)</f>
        <v/>
      </c>
      <c r="D350">
        <f>IF($A350="","",COUNTIFS(Assessments!G:G,$A350,Assessments!B:B,"&gt;="&amp;$B$4,Assessments!B:B,"&lt;="&amp;$B$5,Assessments!C:C,IF($E$4="",$B350,$E$4),Assessments!D:D,IF($E$5="",$C350,$E$5)))</f>
        <v/>
      </c>
      <c r="E350">
        <f>IF($D350=0,"",ROUND(AVERAGEIFS(Assessments!J:J,Assessments!G:G,$A350,Assessments!B:B,"&gt;="&amp;$B$4,Assessments!B:B,"&lt;="&amp;$B$5,Assessments!C:C,IF($E$4="",$B350,$E$4),Assessments!D:D,IF($E$5="",$C350,$E$5)),0))</f>
        <v/>
      </c>
      <c r="F350">
        <f>IF($D350=0,"",MAXIFS(Assessments!J:J,Assessments!G:G,$A350,Assessments!B:B,"&gt;="&amp;$B$4,Assessments!B:B,"&lt;="&amp;$B$5,Assessments!C:C,IF($E$4="",$B350,$E$4),Assessments!D:D,IF($E$5="",$C350,$E$5)))</f>
        <v/>
      </c>
      <c r="G350">
        <f>IF($D350=0,"",MINIFS(Assessments!J:J,Assessments!G:G,$A350,Assessments!B:B,"&gt;="&amp;$B$4,Assessments!B:B,"&lt;="&amp;$B$5,Assessments!C:C,IF($E$4="",$B350,$E$4),Assessments!D:D,IF($E$5="",$C350,$E$5)))</f>
        <v/>
      </c>
      <c r="H350">
        <f>IF($E350="","",RANK($E350,$E$8:$E$507,0))</f>
        <v/>
      </c>
      <c r="I350">
        <f>IF($E350="","",IF($E350&gt;=85,"Excellent",IF($E350&gt;=70,"Good",IF($E350&gt;=50,"Fair","Needs Support"))))</f>
        <v/>
      </c>
    </row>
    <row r="351">
      <c r="A351">
        <f>IF(Students!A345="","",Students!A345)</f>
        <v/>
      </c>
      <c r="B351">
        <f>IF($A351="","",Students!B345)</f>
        <v/>
      </c>
      <c r="C351">
        <f>IF($A351="","",Students!C345)</f>
        <v/>
      </c>
      <c r="D351">
        <f>IF($A351="","",COUNTIFS(Assessments!G:G,$A351,Assessments!B:B,"&gt;="&amp;$B$4,Assessments!B:B,"&lt;="&amp;$B$5,Assessments!C:C,IF($E$4="",$B351,$E$4),Assessments!D:D,IF($E$5="",$C351,$E$5)))</f>
        <v/>
      </c>
      <c r="E351">
        <f>IF($D351=0,"",ROUND(AVERAGEIFS(Assessments!J:J,Assessments!G:G,$A351,Assessments!B:B,"&gt;="&amp;$B$4,Assessments!B:B,"&lt;="&amp;$B$5,Assessments!C:C,IF($E$4="",$B351,$E$4),Assessments!D:D,IF($E$5="",$C351,$E$5)),0))</f>
        <v/>
      </c>
      <c r="F351">
        <f>IF($D351=0,"",MAXIFS(Assessments!J:J,Assessments!G:G,$A351,Assessments!B:B,"&gt;="&amp;$B$4,Assessments!B:B,"&lt;="&amp;$B$5,Assessments!C:C,IF($E$4="",$B351,$E$4),Assessments!D:D,IF($E$5="",$C351,$E$5)))</f>
        <v/>
      </c>
      <c r="G351">
        <f>IF($D351=0,"",MINIFS(Assessments!J:J,Assessments!G:G,$A351,Assessments!B:B,"&gt;="&amp;$B$4,Assessments!B:B,"&lt;="&amp;$B$5,Assessments!C:C,IF($E$4="",$B351,$E$4),Assessments!D:D,IF($E$5="",$C351,$E$5)))</f>
        <v/>
      </c>
      <c r="H351">
        <f>IF($E351="","",RANK($E351,$E$8:$E$507,0))</f>
        <v/>
      </c>
      <c r="I351">
        <f>IF($E351="","",IF($E351&gt;=85,"Excellent",IF($E351&gt;=70,"Good",IF($E351&gt;=50,"Fair","Needs Support"))))</f>
        <v/>
      </c>
    </row>
    <row r="352">
      <c r="A352">
        <f>IF(Students!A346="","",Students!A346)</f>
        <v/>
      </c>
      <c r="B352">
        <f>IF($A352="","",Students!B346)</f>
        <v/>
      </c>
      <c r="C352">
        <f>IF($A352="","",Students!C346)</f>
        <v/>
      </c>
      <c r="D352">
        <f>IF($A352="","",COUNTIFS(Assessments!G:G,$A352,Assessments!B:B,"&gt;="&amp;$B$4,Assessments!B:B,"&lt;="&amp;$B$5,Assessments!C:C,IF($E$4="",$B352,$E$4),Assessments!D:D,IF($E$5="",$C352,$E$5)))</f>
        <v/>
      </c>
      <c r="E352">
        <f>IF($D352=0,"",ROUND(AVERAGEIFS(Assessments!J:J,Assessments!G:G,$A352,Assessments!B:B,"&gt;="&amp;$B$4,Assessments!B:B,"&lt;="&amp;$B$5,Assessments!C:C,IF($E$4="",$B352,$E$4),Assessments!D:D,IF($E$5="",$C352,$E$5)),0))</f>
        <v/>
      </c>
      <c r="F352">
        <f>IF($D352=0,"",MAXIFS(Assessments!J:J,Assessments!G:G,$A352,Assessments!B:B,"&gt;="&amp;$B$4,Assessments!B:B,"&lt;="&amp;$B$5,Assessments!C:C,IF($E$4="",$B352,$E$4),Assessments!D:D,IF($E$5="",$C352,$E$5)))</f>
        <v/>
      </c>
      <c r="G352">
        <f>IF($D352=0,"",MINIFS(Assessments!J:J,Assessments!G:G,$A352,Assessments!B:B,"&gt;="&amp;$B$4,Assessments!B:B,"&lt;="&amp;$B$5,Assessments!C:C,IF($E$4="",$B352,$E$4),Assessments!D:D,IF($E$5="",$C352,$E$5)))</f>
        <v/>
      </c>
      <c r="H352">
        <f>IF($E352="","",RANK($E352,$E$8:$E$507,0))</f>
        <v/>
      </c>
      <c r="I352">
        <f>IF($E352="","",IF($E352&gt;=85,"Excellent",IF($E352&gt;=70,"Good",IF($E352&gt;=50,"Fair","Needs Support"))))</f>
        <v/>
      </c>
    </row>
    <row r="353">
      <c r="A353">
        <f>IF(Students!A347="","",Students!A347)</f>
        <v/>
      </c>
      <c r="B353">
        <f>IF($A353="","",Students!B347)</f>
        <v/>
      </c>
      <c r="C353">
        <f>IF($A353="","",Students!C347)</f>
        <v/>
      </c>
      <c r="D353">
        <f>IF($A353="","",COUNTIFS(Assessments!G:G,$A353,Assessments!B:B,"&gt;="&amp;$B$4,Assessments!B:B,"&lt;="&amp;$B$5,Assessments!C:C,IF($E$4="",$B353,$E$4),Assessments!D:D,IF($E$5="",$C353,$E$5)))</f>
        <v/>
      </c>
      <c r="E353">
        <f>IF($D353=0,"",ROUND(AVERAGEIFS(Assessments!J:J,Assessments!G:G,$A353,Assessments!B:B,"&gt;="&amp;$B$4,Assessments!B:B,"&lt;="&amp;$B$5,Assessments!C:C,IF($E$4="",$B353,$E$4),Assessments!D:D,IF($E$5="",$C353,$E$5)),0))</f>
        <v/>
      </c>
      <c r="F353">
        <f>IF($D353=0,"",MAXIFS(Assessments!J:J,Assessments!G:G,$A353,Assessments!B:B,"&gt;="&amp;$B$4,Assessments!B:B,"&lt;="&amp;$B$5,Assessments!C:C,IF($E$4="",$B353,$E$4),Assessments!D:D,IF($E$5="",$C353,$E$5)))</f>
        <v/>
      </c>
      <c r="G353">
        <f>IF($D353=0,"",MINIFS(Assessments!J:J,Assessments!G:G,$A353,Assessments!B:B,"&gt;="&amp;$B$4,Assessments!B:B,"&lt;="&amp;$B$5,Assessments!C:C,IF($E$4="",$B353,$E$4),Assessments!D:D,IF($E$5="",$C353,$E$5)))</f>
        <v/>
      </c>
      <c r="H353">
        <f>IF($E353="","",RANK($E353,$E$8:$E$507,0))</f>
        <v/>
      </c>
      <c r="I353">
        <f>IF($E353="","",IF($E353&gt;=85,"Excellent",IF($E353&gt;=70,"Good",IF($E353&gt;=50,"Fair","Needs Support"))))</f>
        <v/>
      </c>
    </row>
    <row r="354">
      <c r="A354">
        <f>IF(Students!A348="","",Students!A348)</f>
        <v/>
      </c>
      <c r="B354">
        <f>IF($A354="","",Students!B348)</f>
        <v/>
      </c>
      <c r="C354">
        <f>IF($A354="","",Students!C348)</f>
        <v/>
      </c>
      <c r="D354">
        <f>IF($A354="","",COUNTIFS(Assessments!G:G,$A354,Assessments!B:B,"&gt;="&amp;$B$4,Assessments!B:B,"&lt;="&amp;$B$5,Assessments!C:C,IF($E$4="",$B354,$E$4),Assessments!D:D,IF($E$5="",$C354,$E$5)))</f>
        <v/>
      </c>
      <c r="E354">
        <f>IF($D354=0,"",ROUND(AVERAGEIFS(Assessments!J:J,Assessments!G:G,$A354,Assessments!B:B,"&gt;="&amp;$B$4,Assessments!B:B,"&lt;="&amp;$B$5,Assessments!C:C,IF($E$4="",$B354,$E$4),Assessments!D:D,IF($E$5="",$C354,$E$5)),0))</f>
        <v/>
      </c>
      <c r="F354">
        <f>IF($D354=0,"",MAXIFS(Assessments!J:J,Assessments!G:G,$A354,Assessments!B:B,"&gt;="&amp;$B$4,Assessments!B:B,"&lt;="&amp;$B$5,Assessments!C:C,IF($E$4="",$B354,$E$4),Assessments!D:D,IF($E$5="",$C354,$E$5)))</f>
        <v/>
      </c>
      <c r="G354">
        <f>IF($D354=0,"",MINIFS(Assessments!J:J,Assessments!G:G,$A354,Assessments!B:B,"&gt;="&amp;$B$4,Assessments!B:B,"&lt;="&amp;$B$5,Assessments!C:C,IF($E$4="",$B354,$E$4),Assessments!D:D,IF($E$5="",$C354,$E$5)))</f>
        <v/>
      </c>
      <c r="H354">
        <f>IF($E354="","",RANK($E354,$E$8:$E$507,0))</f>
        <v/>
      </c>
      <c r="I354">
        <f>IF($E354="","",IF($E354&gt;=85,"Excellent",IF($E354&gt;=70,"Good",IF($E354&gt;=50,"Fair","Needs Support"))))</f>
        <v/>
      </c>
    </row>
    <row r="355">
      <c r="A355">
        <f>IF(Students!A349="","",Students!A349)</f>
        <v/>
      </c>
      <c r="B355">
        <f>IF($A355="","",Students!B349)</f>
        <v/>
      </c>
      <c r="C355">
        <f>IF($A355="","",Students!C349)</f>
        <v/>
      </c>
      <c r="D355">
        <f>IF($A355="","",COUNTIFS(Assessments!G:G,$A355,Assessments!B:B,"&gt;="&amp;$B$4,Assessments!B:B,"&lt;="&amp;$B$5,Assessments!C:C,IF($E$4="",$B355,$E$4),Assessments!D:D,IF($E$5="",$C355,$E$5)))</f>
        <v/>
      </c>
      <c r="E355">
        <f>IF($D355=0,"",ROUND(AVERAGEIFS(Assessments!J:J,Assessments!G:G,$A355,Assessments!B:B,"&gt;="&amp;$B$4,Assessments!B:B,"&lt;="&amp;$B$5,Assessments!C:C,IF($E$4="",$B355,$E$4),Assessments!D:D,IF($E$5="",$C355,$E$5)),0))</f>
        <v/>
      </c>
      <c r="F355">
        <f>IF($D355=0,"",MAXIFS(Assessments!J:J,Assessments!G:G,$A355,Assessments!B:B,"&gt;="&amp;$B$4,Assessments!B:B,"&lt;="&amp;$B$5,Assessments!C:C,IF($E$4="",$B355,$E$4),Assessments!D:D,IF($E$5="",$C355,$E$5)))</f>
        <v/>
      </c>
      <c r="G355">
        <f>IF($D355=0,"",MINIFS(Assessments!J:J,Assessments!G:G,$A355,Assessments!B:B,"&gt;="&amp;$B$4,Assessments!B:B,"&lt;="&amp;$B$5,Assessments!C:C,IF($E$4="",$B355,$E$4),Assessments!D:D,IF($E$5="",$C355,$E$5)))</f>
        <v/>
      </c>
      <c r="H355">
        <f>IF($E355="","",RANK($E355,$E$8:$E$507,0))</f>
        <v/>
      </c>
      <c r="I355">
        <f>IF($E355="","",IF($E355&gt;=85,"Excellent",IF($E355&gt;=70,"Good",IF($E355&gt;=50,"Fair","Needs Support"))))</f>
        <v/>
      </c>
    </row>
    <row r="356">
      <c r="A356">
        <f>IF(Students!A350="","",Students!A350)</f>
        <v/>
      </c>
      <c r="B356">
        <f>IF($A356="","",Students!B350)</f>
        <v/>
      </c>
      <c r="C356">
        <f>IF($A356="","",Students!C350)</f>
        <v/>
      </c>
      <c r="D356">
        <f>IF($A356="","",COUNTIFS(Assessments!G:G,$A356,Assessments!B:B,"&gt;="&amp;$B$4,Assessments!B:B,"&lt;="&amp;$B$5,Assessments!C:C,IF($E$4="",$B356,$E$4),Assessments!D:D,IF($E$5="",$C356,$E$5)))</f>
        <v/>
      </c>
      <c r="E356">
        <f>IF($D356=0,"",ROUND(AVERAGEIFS(Assessments!J:J,Assessments!G:G,$A356,Assessments!B:B,"&gt;="&amp;$B$4,Assessments!B:B,"&lt;="&amp;$B$5,Assessments!C:C,IF($E$4="",$B356,$E$4),Assessments!D:D,IF($E$5="",$C356,$E$5)),0))</f>
        <v/>
      </c>
      <c r="F356">
        <f>IF($D356=0,"",MAXIFS(Assessments!J:J,Assessments!G:G,$A356,Assessments!B:B,"&gt;="&amp;$B$4,Assessments!B:B,"&lt;="&amp;$B$5,Assessments!C:C,IF($E$4="",$B356,$E$4),Assessments!D:D,IF($E$5="",$C356,$E$5)))</f>
        <v/>
      </c>
      <c r="G356">
        <f>IF($D356=0,"",MINIFS(Assessments!J:J,Assessments!G:G,$A356,Assessments!B:B,"&gt;="&amp;$B$4,Assessments!B:B,"&lt;="&amp;$B$5,Assessments!C:C,IF($E$4="",$B356,$E$4),Assessments!D:D,IF($E$5="",$C356,$E$5)))</f>
        <v/>
      </c>
      <c r="H356">
        <f>IF($E356="","",RANK($E356,$E$8:$E$507,0))</f>
        <v/>
      </c>
      <c r="I356">
        <f>IF($E356="","",IF($E356&gt;=85,"Excellent",IF($E356&gt;=70,"Good",IF($E356&gt;=50,"Fair","Needs Support"))))</f>
        <v/>
      </c>
    </row>
    <row r="357">
      <c r="A357">
        <f>IF(Students!A351="","",Students!A351)</f>
        <v/>
      </c>
      <c r="B357">
        <f>IF($A357="","",Students!B351)</f>
        <v/>
      </c>
      <c r="C357">
        <f>IF($A357="","",Students!C351)</f>
        <v/>
      </c>
      <c r="D357">
        <f>IF($A357="","",COUNTIFS(Assessments!G:G,$A357,Assessments!B:B,"&gt;="&amp;$B$4,Assessments!B:B,"&lt;="&amp;$B$5,Assessments!C:C,IF($E$4="",$B357,$E$4),Assessments!D:D,IF($E$5="",$C357,$E$5)))</f>
        <v/>
      </c>
      <c r="E357">
        <f>IF($D357=0,"",ROUND(AVERAGEIFS(Assessments!J:J,Assessments!G:G,$A357,Assessments!B:B,"&gt;="&amp;$B$4,Assessments!B:B,"&lt;="&amp;$B$5,Assessments!C:C,IF($E$4="",$B357,$E$4),Assessments!D:D,IF($E$5="",$C357,$E$5)),0))</f>
        <v/>
      </c>
      <c r="F357">
        <f>IF($D357=0,"",MAXIFS(Assessments!J:J,Assessments!G:G,$A357,Assessments!B:B,"&gt;="&amp;$B$4,Assessments!B:B,"&lt;="&amp;$B$5,Assessments!C:C,IF($E$4="",$B357,$E$4),Assessments!D:D,IF($E$5="",$C357,$E$5)))</f>
        <v/>
      </c>
      <c r="G357">
        <f>IF($D357=0,"",MINIFS(Assessments!J:J,Assessments!G:G,$A357,Assessments!B:B,"&gt;="&amp;$B$4,Assessments!B:B,"&lt;="&amp;$B$5,Assessments!C:C,IF($E$4="",$B357,$E$4),Assessments!D:D,IF($E$5="",$C357,$E$5)))</f>
        <v/>
      </c>
      <c r="H357">
        <f>IF($E357="","",RANK($E357,$E$8:$E$507,0))</f>
        <v/>
      </c>
      <c r="I357">
        <f>IF($E357="","",IF($E357&gt;=85,"Excellent",IF($E357&gt;=70,"Good",IF($E357&gt;=50,"Fair","Needs Support"))))</f>
        <v/>
      </c>
    </row>
    <row r="358">
      <c r="A358">
        <f>IF(Students!A352="","",Students!A352)</f>
        <v/>
      </c>
      <c r="B358">
        <f>IF($A358="","",Students!B352)</f>
        <v/>
      </c>
      <c r="C358">
        <f>IF($A358="","",Students!C352)</f>
        <v/>
      </c>
      <c r="D358">
        <f>IF($A358="","",COUNTIFS(Assessments!G:G,$A358,Assessments!B:B,"&gt;="&amp;$B$4,Assessments!B:B,"&lt;="&amp;$B$5,Assessments!C:C,IF($E$4="",$B358,$E$4),Assessments!D:D,IF($E$5="",$C358,$E$5)))</f>
        <v/>
      </c>
      <c r="E358">
        <f>IF($D358=0,"",ROUND(AVERAGEIFS(Assessments!J:J,Assessments!G:G,$A358,Assessments!B:B,"&gt;="&amp;$B$4,Assessments!B:B,"&lt;="&amp;$B$5,Assessments!C:C,IF($E$4="",$B358,$E$4),Assessments!D:D,IF($E$5="",$C358,$E$5)),0))</f>
        <v/>
      </c>
      <c r="F358">
        <f>IF($D358=0,"",MAXIFS(Assessments!J:J,Assessments!G:G,$A358,Assessments!B:B,"&gt;="&amp;$B$4,Assessments!B:B,"&lt;="&amp;$B$5,Assessments!C:C,IF($E$4="",$B358,$E$4),Assessments!D:D,IF($E$5="",$C358,$E$5)))</f>
        <v/>
      </c>
      <c r="G358">
        <f>IF($D358=0,"",MINIFS(Assessments!J:J,Assessments!G:G,$A358,Assessments!B:B,"&gt;="&amp;$B$4,Assessments!B:B,"&lt;="&amp;$B$5,Assessments!C:C,IF($E$4="",$B358,$E$4),Assessments!D:D,IF($E$5="",$C358,$E$5)))</f>
        <v/>
      </c>
      <c r="H358">
        <f>IF($E358="","",RANK($E358,$E$8:$E$507,0))</f>
        <v/>
      </c>
      <c r="I358">
        <f>IF($E358="","",IF($E358&gt;=85,"Excellent",IF($E358&gt;=70,"Good",IF($E358&gt;=50,"Fair","Needs Support"))))</f>
        <v/>
      </c>
    </row>
    <row r="359">
      <c r="A359">
        <f>IF(Students!A353="","",Students!A353)</f>
        <v/>
      </c>
      <c r="B359">
        <f>IF($A359="","",Students!B353)</f>
        <v/>
      </c>
      <c r="C359">
        <f>IF($A359="","",Students!C353)</f>
        <v/>
      </c>
      <c r="D359">
        <f>IF($A359="","",COUNTIFS(Assessments!G:G,$A359,Assessments!B:B,"&gt;="&amp;$B$4,Assessments!B:B,"&lt;="&amp;$B$5,Assessments!C:C,IF($E$4="",$B359,$E$4),Assessments!D:D,IF($E$5="",$C359,$E$5)))</f>
        <v/>
      </c>
      <c r="E359">
        <f>IF($D359=0,"",ROUND(AVERAGEIFS(Assessments!J:J,Assessments!G:G,$A359,Assessments!B:B,"&gt;="&amp;$B$4,Assessments!B:B,"&lt;="&amp;$B$5,Assessments!C:C,IF($E$4="",$B359,$E$4),Assessments!D:D,IF($E$5="",$C359,$E$5)),0))</f>
        <v/>
      </c>
      <c r="F359">
        <f>IF($D359=0,"",MAXIFS(Assessments!J:J,Assessments!G:G,$A359,Assessments!B:B,"&gt;="&amp;$B$4,Assessments!B:B,"&lt;="&amp;$B$5,Assessments!C:C,IF($E$4="",$B359,$E$4),Assessments!D:D,IF($E$5="",$C359,$E$5)))</f>
        <v/>
      </c>
      <c r="G359">
        <f>IF($D359=0,"",MINIFS(Assessments!J:J,Assessments!G:G,$A359,Assessments!B:B,"&gt;="&amp;$B$4,Assessments!B:B,"&lt;="&amp;$B$5,Assessments!C:C,IF($E$4="",$B359,$E$4),Assessments!D:D,IF($E$5="",$C359,$E$5)))</f>
        <v/>
      </c>
      <c r="H359">
        <f>IF($E359="","",RANK($E359,$E$8:$E$507,0))</f>
        <v/>
      </c>
      <c r="I359">
        <f>IF($E359="","",IF($E359&gt;=85,"Excellent",IF($E359&gt;=70,"Good",IF($E359&gt;=50,"Fair","Needs Support"))))</f>
        <v/>
      </c>
    </row>
    <row r="360">
      <c r="A360">
        <f>IF(Students!A354="","",Students!A354)</f>
        <v/>
      </c>
      <c r="B360">
        <f>IF($A360="","",Students!B354)</f>
        <v/>
      </c>
      <c r="C360">
        <f>IF($A360="","",Students!C354)</f>
        <v/>
      </c>
      <c r="D360">
        <f>IF($A360="","",COUNTIFS(Assessments!G:G,$A360,Assessments!B:B,"&gt;="&amp;$B$4,Assessments!B:B,"&lt;="&amp;$B$5,Assessments!C:C,IF($E$4="",$B360,$E$4),Assessments!D:D,IF($E$5="",$C360,$E$5)))</f>
        <v/>
      </c>
      <c r="E360">
        <f>IF($D360=0,"",ROUND(AVERAGEIFS(Assessments!J:J,Assessments!G:G,$A360,Assessments!B:B,"&gt;="&amp;$B$4,Assessments!B:B,"&lt;="&amp;$B$5,Assessments!C:C,IF($E$4="",$B360,$E$4),Assessments!D:D,IF($E$5="",$C360,$E$5)),0))</f>
        <v/>
      </c>
      <c r="F360">
        <f>IF($D360=0,"",MAXIFS(Assessments!J:J,Assessments!G:G,$A360,Assessments!B:B,"&gt;="&amp;$B$4,Assessments!B:B,"&lt;="&amp;$B$5,Assessments!C:C,IF($E$4="",$B360,$E$4),Assessments!D:D,IF($E$5="",$C360,$E$5)))</f>
        <v/>
      </c>
      <c r="G360">
        <f>IF($D360=0,"",MINIFS(Assessments!J:J,Assessments!G:G,$A360,Assessments!B:B,"&gt;="&amp;$B$4,Assessments!B:B,"&lt;="&amp;$B$5,Assessments!C:C,IF($E$4="",$B360,$E$4),Assessments!D:D,IF($E$5="",$C360,$E$5)))</f>
        <v/>
      </c>
      <c r="H360">
        <f>IF($E360="","",RANK($E360,$E$8:$E$507,0))</f>
        <v/>
      </c>
      <c r="I360">
        <f>IF($E360="","",IF($E360&gt;=85,"Excellent",IF($E360&gt;=70,"Good",IF($E360&gt;=50,"Fair","Needs Support"))))</f>
        <v/>
      </c>
    </row>
    <row r="361">
      <c r="A361">
        <f>IF(Students!A355="","",Students!A355)</f>
        <v/>
      </c>
      <c r="B361">
        <f>IF($A361="","",Students!B355)</f>
        <v/>
      </c>
      <c r="C361">
        <f>IF($A361="","",Students!C355)</f>
        <v/>
      </c>
      <c r="D361">
        <f>IF($A361="","",COUNTIFS(Assessments!G:G,$A361,Assessments!B:B,"&gt;="&amp;$B$4,Assessments!B:B,"&lt;="&amp;$B$5,Assessments!C:C,IF($E$4="",$B361,$E$4),Assessments!D:D,IF($E$5="",$C361,$E$5)))</f>
        <v/>
      </c>
      <c r="E361">
        <f>IF($D361=0,"",ROUND(AVERAGEIFS(Assessments!J:J,Assessments!G:G,$A361,Assessments!B:B,"&gt;="&amp;$B$4,Assessments!B:B,"&lt;="&amp;$B$5,Assessments!C:C,IF($E$4="",$B361,$E$4),Assessments!D:D,IF($E$5="",$C361,$E$5)),0))</f>
        <v/>
      </c>
      <c r="F361">
        <f>IF($D361=0,"",MAXIFS(Assessments!J:J,Assessments!G:G,$A361,Assessments!B:B,"&gt;="&amp;$B$4,Assessments!B:B,"&lt;="&amp;$B$5,Assessments!C:C,IF($E$4="",$B361,$E$4),Assessments!D:D,IF($E$5="",$C361,$E$5)))</f>
        <v/>
      </c>
      <c r="G361">
        <f>IF($D361=0,"",MINIFS(Assessments!J:J,Assessments!G:G,$A361,Assessments!B:B,"&gt;="&amp;$B$4,Assessments!B:B,"&lt;="&amp;$B$5,Assessments!C:C,IF($E$4="",$B361,$E$4),Assessments!D:D,IF($E$5="",$C361,$E$5)))</f>
        <v/>
      </c>
      <c r="H361">
        <f>IF($E361="","",RANK($E361,$E$8:$E$507,0))</f>
        <v/>
      </c>
      <c r="I361">
        <f>IF($E361="","",IF($E361&gt;=85,"Excellent",IF($E361&gt;=70,"Good",IF($E361&gt;=50,"Fair","Needs Support"))))</f>
        <v/>
      </c>
    </row>
    <row r="362">
      <c r="A362">
        <f>IF(Students!A356="","",Students!A356)</f>
        <v/>
      </c>
      <c r="B362">
        <f>IF($A362="","",Students!B356)</f>
        <v/>
      </c>
      <c r="C362">
        <f>IF($A362="","",Students!C356)</f>
        <v/>
      </c>
      <c r="D362">
        <f>IF($A362="","",COUNTIFS(Assessments!G:G,$A362,Assessments!B:B,"&gt;="&amp;$B$4,Assessments!B:B,"&lt;="&amp;$B$5,Assessments!C:C,IF($E$4="",$B362,$E$4),Assessments!D:D,IF($E$5="",$C362,$E$5)))</f>
        <v/>
      </c>
      <c r="E362">
        <f>IF($D362=0,"",ROUND(AVERAGEIFS(Assessments!J:J,Assessments!G:G,$A362,Assessments!B:B,"&gt;="&amp;$B$4,Assessments!B:B,"&lt;="&amp;$B$5,Assessments!C:C,IF($E$4="",$B362,$E$4),Assessments!D:D,IF($E$5="",$C362,$E$5)),0))</f>
        <v/>
      </c>
      <c r="F362">
        <f>IF($D362=0,"",MAXIFS(Assessments!J:J,Assessments!G:G,$A362,Assessments!B:B,"&gt;="&amp;$B$4,Assessments!B:B,"&lt;="&amp;$B$5,Assessments!C:C,IF($E$4="",$B362,$E$4),Assessments!D:D,IF($E$5="",$C362,$E$5)))</f>
        <v/>
      </c>
      <c r="G362">
        <f>IF($D362=0,"",MINIFS(Assessments!J:J,Assessments!G:G,$A362,Assessments!B:B,"&gt;="&amp;$B$4,Assessments!B:B,"&lt;="&amp;$B$5,Assessments!C:C,IF($E$4="",$B362,$E$4),Assessments!D:D,IF($E$5="",$C362,$E$5)))</f>
        <v/>
      </c>
      <c r="H362">
        <f>IF($E362="","",RANK($E362,$E$8:$E$507,0))</f>
        <v/>
      </c>
      <c r="I362">
        <f>IF($E362="","",IF($E362&gt;=85,"Excellent",IF($E362&gt;=70,"Good",IF($E362&gt;=50,"Fair","Needs Support"))))</f>
        <v/>
      </c>
    </row>
    <row r="363">
      <c r="A363">
        <f>IF(Students!A357="","",Students!A357)</f>
        <v/>
      </c>
      <c r="B363">
        <f>IF($A363="","",Students!B357)</f>
        <v/>
      </c>
      <c r="C363">
        <f>IF($A363="","",Students!C357)</f>
        <v/>
      </c>
      <c r="D363">
        <f>IF($A363="","",COUNTIFS(Assessments!G:G,$A363,Assessments!B:B,"&gt;="&amp;$B$4,Assessments!B:B,"&lt;="&amp;$B$5,Assessments!C:C,IF($E$4="",$B363,$E$4),Assessments!D:D,IF($E$5="",$C363,$E$5)))</f>
        <v/>
      </c>
      <c r="E363">
        <f>IF($D363=0,"",ROUND(AVERAGEIFS(Assessments!J:J,Assessments!G:G,$A363,Assessments!B:B,"&gt;="&amp;$B$4,Assessments!B:B,"&lt;="&amp;$B$5,Assessments!C:C,IF($E$4="",$B363,$E$4),Assessments!D:D,IF($E$5="",$C363,$E$5)),0))</f>
        <v/>
      </c>
      <c r="F363">
        <f>IF($D363=0,"",MAXIFS(Assessments!J:J,Assessments!G:G,$A363,Assessments!B:B,"&gt;="&amp;$B$4,Assessments!B:B,"&lt;="&amp;$B$5,Assessments!C:C,IF($E$4="",$B363,$E$4),Assessments!D:D,IF($E$5="",$C363,$E$5)))</f>
        <v/>
      </c>
      <c r="G363">
        <f>IF($D363=0,"",MINIFS(Assessments!J:J,Assessments!G:G,$A363,Assessments!B:B,"&gt;="&amp;$B$4,Assessments!B:B,"&lt;="&amp;$B$5,Assessments!C:C,IF($E$4="",$B363,$E$4),Assessments!D:D,IF($E$5="",$C363,$E$5)))</f>
        <v/>
      </c>
      <c r="H363">
        <f>IF($E363="","",RANK($E363,$E$8:$E$507,0))</f>
        <v/>
      </c>
      <c r="I363">
        <f>IF($E363="","",IF($E363&gt;=85,"Excellent",IF($E363&gt;=70,"Good",IF($E363&gt;=50,"Fair","Needs Support"))))</f>
        <v/>
      </c>
    </row>
    <row r="364">
      <c r="A364">
        <f>IF(Students!A358="","",Students!A358)</f>
        <v/>
      </c>
      <c r="B364">
        <f>IF($A364="","",Students!B358)</f>
        <v/>
      </c>
      <c r="C364">
        <f>IF($A364="","",Students!C358)</f>
        <v/>
      </c>
      <c r="D364">
        <f>IF($A364="","",COUNTIFS(Assessments!G:G,$A364,Assessments!B:B,"&gt;="&amp;$B$4,Assessments!B:B,"&lt;="&amp;$B$5,Assessments!C:C,IF($E$4="",$B364,$E$4),Assessments!D:D,IF($E$5="",$C364,$E$5)))</f>
        <v/>
      </c>
      <c r="E364">
        <f>IF($D364=0,"",ROUND(AVERAGEIFS(Assessments!J:J,Assessments!G:G,$A364,Assessments!B:B,"&gt;="&amp;$B$4,Assessments!B:B,"&lt;="&amp;$B$5,Assessments!C:C,IF($E$4="",$B364,$E$4),Assessments!D:D,IF($E$5="",$C364,$E$5)),0))</f>
        <v/>
      </c>
      <c r="F364">
        <f>IF($D364=0,"",MAXIFS(Assessments!J:J,Assessments!G:G,$A364,Assessments!B:B,"&gt;="&amp;$B$4,Assessments!B:B,"&lt;="&amp;$B$5,Assessments!C:C,IF($E$4="",$B364,$E$4),Assessments!D:D,IF($E$5="",$C364,$E$5)))</f>
        <v/>
      </c>
      <c r="G364">
        <f>IF($D364=0,"",MINIFS(Assessments!J:J,Assessments!G:G,$A364,Assessments!B:B,"&gt;="&amp;$B$4,Assessments!B:B,"&lt;="&amp;$B$5,Assessments!C:C,IF($E$4="",$B364,$E$4),Assessments!D:D,IF($E$5="",$C364,$E$5)))</f>
        <v/>
      </c>
      <c r="H364">
        <f>IF($E364="","",RANK($E364,$E$8:$E$507,0))</f>
        <v/>
      </c>
      <c r="I364">
        <f>IF($E364="","",IF($E364&gt;=85,"Excellent",IF($E364&gt;=70,"Good",IF($E364&gt;=50,"Fair","Needs Support"))))</f>
        <v/>
      </c>
    </row>
    <row r="365">
      <c r="A365">
        <f>IF(Students!A359="","",Students!A359)</f>
        <v/>
      </c>
      <c r="B365">
        <f>IF($A365="","",Students!B359)</f>
        <v/>
      </c>
      <c r="C365">
        <f>IF($A365="","",Students!C359)</f>
        <v/>
      </c>
      <c r="D365">
        <f>IF($A365="","",COUNTIFS(Assessments!G:G,$A365,Assessments!B:B,"&gt;="&amp;$B$4,Assessments!B:B,"&lt;="&amp;$B$5,Assessments!C:C,IF($E$4="",$B365,$E$4),Assessments!D:D,IF($E$5="",$C365,$E$5)))</f>
        <v/>
      </c>
      <c r="E365">
        <f>IF($D365=0,"",ROUND(AVERAGEIFS(Assessments!J:J,Assessments!G:G,$A365,Assessments!B:B,"&gt;="&amp;$B$4,Assessments!B:B,"&lt;="&amp;$B$5,Assessments!C:C,IF($E$4="",$B365,$E$4),Assessments!D:D,IF($E$5="",$C365,$E$5)),0))</f>
        <v/>
      </c>
      <c r="F365">
        <f>IF($D365=0,"",MAXIFS(Assessments!J:J,Assessments!G:G,$A365,Assessments!B:B,"&gt;="&amp;$B$4,Assessments!B:B,"&lt;="&amp;$B$5,Assessments!C:C,IF($E$4="",$B365,$E$4),Assessments!D:D,IF($E$5="",$C365,$E$5)))</f>
        <v/>
      </c>
      <c r="G365">
        <f>IF($D365=0,"",MINIFS(Assessments!J:J,Assessments!G:G,$A365,Assessments!B:B,"&gt;="&amp;$B$4,Assessments!B:B,"&lt;="&amp;$B$5,Assessments!C:C,IF($E$4="",$B365,$E$4),Assessments!D:D,IF($E$5="",$C365,$E$5)))</f>
        <v/>
      </c>
      <c r="H365">
        <f>IF($E365="","",RANK($E365,$E$8:$E$507,0))</f>
        <v/>
      </c>
      <c r="I365">
        <f>IF($E365="","",IF($E365&gt;=85,"Excellent",IF($E365&gt;=70,"Good",IF($E365&gt;=50,"Fair","Needs Support"))))</f>
        <v/>
      </c>
    </row>
    <row r="366">
      <c r="A366">
        <f>IF(Students!A360="","",Students!A360)</f>
        <v/>
      </c>
      <c r="B366">
        <f>IF($A366="","",Students!B360)</f>
        <v/>
      </c>
      <c r="C366">
        <f>IF($A366="","",Students!C360)</f>
        <v/>
      </c>
      <c r="D366">
        <f>IF($A366="","",COUNTIFS(Assessments!G:G,$A366,Assessments!B:B,"&gt;="&amp;$B$4,Assessments!B:B,"&lt;="&amp;$B$5,Assessments!C:C,IF($E$4="",$B366,$E$4),Assessments!D:D,IF($E$5="",$C366,$E$5)))</f>
        <v/>
      </c>
      <c r="E366">
        <f>IF($D366=0,"",ROUND(AVERAGEIFS(Assessments!J:J,Assessments!G:G,$A366,Assessments!B:B,"&gt;="&amp;$B$4,Assessments!B:B,"&lt;="&amp;$B$5,Assessments!C:C,IF($E$4="",$B366,$E$4),Assessments!D:D,IF($E$5="",$C366,$E$5)),0))</f>
        <v/>
      </c>
      <c r="F366">
        <f>IF($D366=0,"",MAXIFS(Assessments!J:J,Assessments!G:G,$A366,Assessments!B:B,"&gt;="&amp;$B$4,Assessments!B:B,"&lt;="&amp;$B$5,Assessments!C:C,IF($E$4="",$B366,$E$4),Assessments!D:D,IF($E$5="",$C366,$E$5)))</f>
        <v/>
      </c>
      <c r="G366">
        <f>IF($D366=0,"",MINIFS(Assessments!J:J,Assessments!G:G,$A366,Assessments!B:B,"&gt;="&amp;$B$4,Assessments!B:B,"&lt;="&amp;$B$5,Assessments!C:C,IF($E$4="",$B366,$E$4),Assessments!D:D,IF($E$5="",$C366,$E$5)))</f>
        <v/>
      </c>
      <c r="H366">
        <f>IF($E366="","",RANK($E366,$E$8:$E$507,0))</f>
        <v/>
      </c>
      <c r="I366">
        <f>IF($E366="","",IF($E366&gt;=85,"Excellent",IF($E366&gt;=70,"Good",IF($E366&gt;=50,"Fair","Needs Support"))))</f>
        <v/>
      </c>
    </row>
    <row r="367">
      <c r="A367">
        <f>IF(Students!A361="","",Students!A361)</f>
        <v/>
      </c>
      <c r="B367">
        <f>IF($A367="","",Students!B361)</f>
        <v/>
      </c>
      <c r="C367">
        <f>IF($A367="","",Students!C361)</f>
        <v/>
      </c>
      <c r="D367">
        <f>IF($A367="","",COUNTIFS(Assessments!G:G,$A367,Assessments!B:B,"&gt;="&amp;$B$4,Assessments!B:B,"&lt;="&amp;$B$5,Assessments!C:C,IF($E$4="",$B367,$E$4),Assessments!D:D,IF($E$5="",$C367,$E$5)))</f>
        <v/>
      </c>
      <c r="E367">
        <f>IF($D367=0,"",ROUND(AVERAGEIFS(Assessments!J:J,Assessments!G:G,$A367,Assessments!B:B,"&gt;="&amp;$B$4,Assessments!B:B,"&lt;="&amp;$B$5,Assessments!C:C,IF($E$4="",$B367,$E$4),Assessments!D:D,IF($E$5="",$C367,$E$5)),0))</f>
        <v/>
      </c>
      <c r="F367">
        <f>IF($D367=0,"",MAXIFS(Assessments!J:J,Assessments!G:G,$A367,Assessments!B:B,"&gt;="&amp;$B$4,Assessments!B:B,"&lt;="&amp;$B$5,Assessments!C:C,IF($E$4="",$B367,$E$4),Assessments!D:D,IF($E$5="",$C367,$E$5)))</f>
        <v/>
      </c>
      <c r="G367">
        <f>IF($D367=0,"",MINIFS(Assessments!J:J,Assessments!G:G,$A367,Assessments!B:B,"&gt;="&amp;$B$4,Assessments!B:B,"&lt;="&amp;$B$5,Assessments!C:C,IF($E$4="",$B367,$E$4),Assessments!D:D,IF($E$5="",$C367,$E$5)))</f>
        <v/>
      </c>
      <c r="H367">
        <f>IF($E367="","",RANK($E367,$E$8:$E$507,0))</f>
        <v/>
      </c>
      <c r="I367">
        <f>IF($E367="","",IF($E367&gt;=85,"Excellent",IF($E367&gt;=70,"Good",IF($E367&gt;=50,"Fair","Needs Support"))))</f>
        <v/>
      </c>
    </row>
    <row r="368">
      <c r="A368">
        <f>IF(Students!A362="","",Students!A362)</f>
        <v/>
      </c>
      <c r="B368">
        <f>IF($A368="","",Students!B362)</f>
        <v/>
      </c>
      <c r="C368">
        <f>IF($A368="","",Students!C362)</f>
        <v/>
      </c>
      <c r="D368">
        <f>IF($A368="","",COUNTIFS(Assessments!G:G,$A368,Assessments!B:B,"&gt;="&amp;$B$4,Assessments!B:B,"&lt;="&amp;$B$5,Assessments!C:C,IF($E$4="",$B368,$E$4),Assessments!D:D,IF($E$5="",$C368,$E$5)))</f>
        <v/>
      </c>
      <c r="E368">
        <f>IF($D368=0,"",ROUND(AVERAGEIFS(Assessments!J:J,Assessments!G:G,$A368,Assessments!B:B,"&gt;="&amp;$B$4,Assessments!B:B,"&lt;="&amp;$B$5,Assessments!C:C,IF($E$4="",$B368,$E$4),Assessments!D:D,IF($E$5="",$C368,$E$5)),0))</f>
        <v/>
      </c>
      <c r="F368">
        <f>IF($D368=0,"",MAXIFS(Assessments!J:J,Assessments!G:G,$A368,Assessments!B:B,"&gt;="&amp;$B$4,Assessments!B:B,"&lt;="&amp;$B$5,Assessments!C:C,IF($E$4="",$B368,$E$4),Assessments!D:D,IF($E$5="",$C368,$E$5)))</f>
        <v/>
      </c>
      <c r="G368">
        <f>IF($D368=0,"",MINIFS(Assessments!J:J,Assessments!G:G,$A368,Assessments!B:B,"&gt;="&amp;$B$4,Assessments!B:B,"&lt;="&amp;$B$5,Assessments!C:C,IF($E$4="",$B368,$E$4),Assessments!D:D,IF($E$5="",$C368,$E$5)))</f>
        <v/>
      </c>
      <c r="H368">
        <f>IF($E368="","",RANK($E368,$E$8:$E$507,0))</f>
        <v/>
      </c>
      <c r="I368">
        <f>IF($E368="","",IF($E368&gt;=85,"Excellent",IF($E368&gt;=70,"Good",IF($E368&gt;=50,"Fair","Needs Support"))))</f>
        <v/>
      </c>
    </row>
    <row r="369">
      <c r="A369">
        <f>IF(Students!A363="","",Students!A363)</f>
        <v/>
      </c>
      <c r="B369">
        <f>IF($A369="","",Students!B363)</f>
        <v/>
      </c>
      <c r="C369">
        <f>IF($A369="","",Students!C363)</f>
        <v/>
      </c>
      <c r="D369">
        <f>IF($A369="","",COUNTIFS(Assessments!G:G,$A369,Assessments!B:B,"&gt;="&amp;$B$4,Assessments!B:B,"&lt;="&amp;$B$5,Assessments!C:C,IF($E$4="",$B369,$E$4),Assessments!D:D,IF($E$5="",$C369,$E$5)))</f>
        <v/>
      </c>
      <c r="E369">
        <f>IF($D369=0,"",ROUND(AVERAGEIFS(Assessments!J:J,Assessments!G:G,$A369,Assessments!B:B,"&gt;="&amp;$B$4,Assessments!B:B,"&lt;="&amp;$B$5,Assessments!C:C,IF($E$4="",$B369,$E$4),Assessments!D:D,IF($E$5="",$C369,$E$5)),0))</f>
        <v/>
      </c>
      <c r="F369">
        <f>IF($D369=0,"",MAXIFS(Assessments!J:J,Assessments!G:G,$A369,Assessments!B:B,"&gt;="&amp;$B$4,Assessments!B:B,"&lt;="&amp;$B$5,Assessments!C:C,IF($E$4="",$B369,$E$4),Assessments!D:D,IF($E$5="",$C369,$E$5)))</f>
        <v/>
      </c>
      <c r="G369">
        <f>IF($D369=0,"",MINIFS(Assessments!J:J,Assessments!G:G,$A369,Assessments!B:B,"&gt;="&amp;$B$4,Assessments!B:B,"&lt;="&amp;$B$5,Assessments!C:C,IF($E$4="",$B369,$E$4),Assessments!D:D,IF($E$5="",$C369,$E$5)))</f>
        <v/>
      </c>
      <c r="H369">
        <f>IF($E369="","",RANK($E369,$E$8:$E$507,0))</f>
        <v/>
      </c>
      <c r="I369">
        <f>IF($E369="","",IF($E369&gt;=85,"Excellent",IF($E369&gt;=70,"Good",IF($E369&gt;=50,"Fair","Needs Support"))))</f>
        <v/>
      </c>
    </row>
    <row r="370">
      <c r="A370">
        <f>IF(Students!A364="","",Students!A364)</f>
        <v/>
      </c>
      <c r="B370">
        <f>IF($A370="","",Students!B364)</f>
        <v/>
      </c>
      <c r="C370">
        <f>IF($A370="","",Students!C364)</f>
        <v/>
      </c>
      <c r="D370">
        <f>IF($A370="","",COUNTIFS(Assessments!G:G,$A370,Assessments!B:B,"&gt;="&amp;$B$4,Assessments!B:B,"&lt;="&amp;$B$5,Assessments!C:C,IF($E$4="",$B370,$E$4),Assessments!D:D,IF($E$5="",$C370,$E$5)))</f>
        <v/>
      </c>
      <c r="E370">
        <f>IF($D370=0,"",ROUND(AVERAGEIFS(Assessments!J:J,Assessments!G:G,$A370,Assessments!B:B,"&gt;="&amp;$B$4,Assessments!B:B,"&lt;="&amp;$B$5,Assessments!C:C,IF($E$4="",$B370,$E$4),Assessments!D:D,IF($E$5="",$C370,$E$5)),0))</f>
        <v/>
      </c>
      <c r="F370">
        <f>IF($D370=0,"",MAXIFS(Assessments!J:J,Assessments!G:G,$A370,Assessments!B:B,"&gt;="&amp;$B$4,Assessments!B:B,"&lt;="&amp;$B$5,Assessments!C:C,IF($E$4="",$B370,$E$4),Assessments!D:D,IF($E$5="",$C370,$E$5)))</f>
        <v/>
      </c>
      <c r="G370">
        <f>IF($D370=0,"",MINIFS(Assessments!J:J,Assessments!G:G,$A370,Assessments!B:B,"&gt;="&amp;$B$4,Assessments!B:B,"&lt;="&amp;$B$5,Assessments!C:C,IF($E$4="",$B370,$E$4),Assessments!D:D,IF($E$5="",$C370,$E$5)))</f>
        <v/>
      </c>
      <c r="H370">
        <f>IF($E370="","",RANK($E370,$E$8:$E$507,0))</f>
        <v/>
      </c>
      <c r="I370">
        <f>IF($E370="","",IF($E370&gt;=85,"Excellent",IF($E370&gt;=70,"Good",IF($E370&gt;=50,"Fair","Needs Support"))))</f>
        <v/>
      </c>
    </row>
    <row r="371">
      <c r="A371">
        <f>IF(Students!A365="","",Students!A365)</f>
        <v/>
      </c>
      <c r="B371">
        <f>IF($A371="","",Students!B365)</f>
        <v/>
      </c>
      <c r="C371">
        <f>IF($A371="","",Students!C365)</f>
        <v/>
      </c>
      <c r="D371">
        <f>IF($A371="","",COUNTIFS(Assessments!G:G,$A371,Assessments!B:B,"&gt;="&amp;$B$4,Assessments!B:B,"&lt;="&amp;$B$5,Assessments!C:C,IF($E$4="",$B371,$E$4),Assessments!D:D,IF($E$5="",$C371,$E$5)))</f>
        <v/>
      </c>
      <c r="E371">
        <f>IF($D371=0,"",ROUND(AVERAGEIFS(Assessments!J:J,Assessments!G:G,$A371,Assessments!B:B,"&gt;="&amp;$B$4,Assessments!B:B,"&lt;="&amp;$B$5,Assessments!C:C,IF($E$4="",$B371,$E$4),Assessments!D:D,IF($E$5="",$C371,$E$5)),0))</f>
        <v/>
      </c>
      <c r="F371">
        <f>IF($D371=0,"",MAXIFS(Assessments!J:J,Assessments!G:G,$A371,Assessments!B:B,"&gt;="&amp;$B$4,Assessments!B:B,"&lt;="&amp;$B$5,Assessments!C:C,IF($E$4="",$B371,$E$4),Assessments!D:D,IF($E$5="",$C371,$E$5)))</f>
        <v/>
      </c>
      <c r="G371">
        <f>IF($D371=0,"",MINIFS(Assessments!J:J,Assessments!G:G,$A371,Assessments!B:B,"&gt;="&amp;$B$4,Assessments!B:B,"&lt;="&amp;$B$5,Assessments!C:C,IF($E$4="",$B371,$E$4),Assessments!D:D,IF($E$5="",$C371,$E$5)))</f>
        <v/>
      </c>
      <c r="H371">
        <f>IF($E371="","",RANK($E371,$E$8:$E$507,0))</f>
        <v/>
      </c>
      <c r="I371">
        <f>IF($E371="","",IF($E371&gt;=85,"Excellent",IF($E371&gt;=70,"Good",IF($E371&gt;=50,"Fair","Needs Support"))))</f>
        <v/>
      </c>
    </row>
    <row r="372">
      <c r="A372">
        <f>IF(Students!A366="","",Students!A366)</f>
        <v/>
      </c>
      <c r="B372">
        <f>IF($A372="","",Students!B366)</f>
        <v/>
      </c>
      <c r="C372">
        <f>IF($A372="","",Students!C366)</f>
        <v/>
      </c>
      <c r="D372">
        <f>IF($A372="","",COUNTIFS(Assessments!G:G,$A372,Assessments!B:B,"&gt;="&amp;$B$4,Assessments!B:B,"&lt;="&amp;$B$5,Assessments!C:C,IF($E$4="",$B372,$E$4),Assessments!D:D,IF($E$5="",$C372,$E$5)))</f>
        <v/>
      </c>
      <c r="E372">
        <f>IF($D372=0,"",ROUND(AVERAGEIFS(Assessments!J:J,Assessments!G:G,$A372,Assessments!B:B,"&gt;="&amp;$B$4,Assessments!B:B,"&lt;="&amp;$B$5,Assessments!C:C,IF($E$4="",$B372,$E$4),Assessments!D:D,IF($E$5="",$C372,$E$5)),0))</f>
        <v/>
      </c>
      <c r="F372">
        <f>IF($D372=0,"",MAXIFS(Assessments!J:J,Assessments!G:G,$A372,Assessments!B:B,"&gt;="&amp;$B$4,Assessments!B:B,"&lt;="&amp;$B$5,Assessments!C:C,IF($E$4="",$B372,$E$4),Assessments!D:D,IF($E$5="",$C372,$E$5)))</f>
        <v/>
      </c>
      <c r="G372">
        <f>IF($D372=0,"",MINIFS(Assessments!J:J,Assessments!G:G,$A372,Assessments!B:B,"&gt;="&amp;$B$4,Assessments!B:B,"&lt;="&amp;$B$5,Assessments!C:C,IF($E$4="",$B372,$E$4),Assessments!D:D,IF($E$5="",$C372,$E$5)))</f>
        <v/>
      </c>
      <c r="H372">
        <f>IF($E372="","",RANK($E372,$E$8:$E$507,0))</f>
        <v/>
      </c>
      <c r="I372">
        <f>IF($E372="","",IF($E372&gt;=85,"Excellent",IF($E372&gt;=70,"Good",IF($E372&gt;=50,"Fair","Needs Support"))))</f>
        <v/>
      </c>
    </row>
    <row r="373">
      <c r="A373">
        <f>IF(Students!A367="","",Students!A367)</f>
        <v/>
      </c>
      <c r="B373">
        <f>IF($A373="","",Students!B367)</f>
        <v/>
      </c>
      <c r="C373">
        <f>IF($A373="","",Students!C367)</f>
        <v/>
      </c>
      <c r="D373">
        <f>IF($A373="","",COUNTIFS(Assessments!G:G,$A373,Assessments!B:B,"&gt;="&amp;$B$4,Assessments!B:B,"&lt;="&amp;$B$5,Assessments!C:C,IF($E$4="",$B373,$E$4),Assessments!D:D,IF($E$5="",$C373,$E$5)))</f>
        <v/>
      </c>
      <c r="E373">
        <f>IF($D373=0,"",ROUND(AVERAGEIFS(Assessments!J:J,Assessments!G:G,$A373,Assessments!B:B,"&gt;="&amp;$B$4,Assessments!B:B,"&lt;="&amp;$B$5,Assessments!C:C,IF($E$4="",$B373,$E$4),Assessments!D:D,IF($E$5="",$C373,$E$5)),0))</f>
        <v/>
      </c>
      <c r="F373">
        <f>IF($D373=0,"",MAXIFS(Assessments!J:J,Assessments!G:G,$A373,Assessments!B:B,"&gt;="&amp;$B$4,Assessments!B:B,"&lt;="&amp;$B$5,Assessments!C:C,IF($E$4="",$B373,$E$4),Assessments!D:D,IF($E$5="",$C373,$E$5)))</f>
        <v/>
      </c>
      <c r="G373">
        <f>IF($D373=0,"",MINIFS(Assessments!J:J,Assessments!G:G,$A373,Assessments!B:B,"&gt;="&amp;$B$4,Assessments!B:B,"&lt;="&amp;$B$5,Assessments!C:C,IF($E$4="",$B373,$E$4),Assessments!D:D,IF($E$5="",$C373,$E$5)))</f>
        <v/>
      </c>
      <c r="H373">
        <f>IF($E373="","",RANK($E373,$E$8:$E$507,0))</f>
        <v/>
      </c>
      <c r="I373">
        <f>IF($E373="","",IF($E373&gt;=85,"Excellent",IF($E373&gt;=70,"Good",IF($E373&gt;=50,"Fair","Needs Support"))))</f>
        <v/>
      </c>
    </row>
    <row r="374">
      <c r="A374">
        <f>IF(Students!A368="","",Students!A368)</f>
        <v/>
      </c>
      <c r="B374">
        <f>IF($A374="","",Students!B368)</f>
        <v/>
      </c>
      <c r="C374">
        <f>IF($A374="","",Students!C368)</f>
        <v/>
      </c>
      <c r="D374">
        <f>IF($A374="","",COUNTIFS(Assessments!G:G,$A374,Assessments!B:B,"&gt;="&amp;$B$4,Assessments!B:B,"&lt;="&amp;$B$5,Assessments!C:C,IF($E$4="",$B374,$E$4),Assessments!D:D,IF($E$5="",$C374,$E$5)))</f>
        <v/>
      </c>
      <c r="E374">
        <f>IF($D374=0,"",ROUND(AVERAGEIFS(Assessments!J:J,Assessments!G:G,$A374,Assessments!B:B,"&gt;="&amp;$B$4,Assessments!B:B,"&lt;="&amp;$B$5,Assessments!C:C,IF($E$4="",$B374,$E$4),Assessments!D:D,IF($E$5="",$C374,$E$5)),0))</f>
        <v/>
      </c>
      <c r="F374">
        <f>IF($D374=0,"",MAXIFS(Assessments!J:J,Assessments!G:G,$A374,Assessments!B:B,"&gt;="&amp;$B$4,Assessments!B:B,"&lt;="&amp;$B$5,Assessments!C:C,IF($E$4="",$B374,$E$4),Assessments!D:D,IF($E$5="",$C374,$E$5)))</f>
        <v/>
      </c>
      <c r="G374">
        <f>IF($D374=0,"",MINIFS(Assessments!J:J,Assessments!G:G,$A374,Assessments!B:B,"&gt;="&amp;$B$4,Assessments!B:B,"&lt;="&amp;$B$5,Assessments!C:C,IF($E$4="",$B374,$E$4),Assessments!D:D,IF($E$5="",$C374,$E$5)))</f>
        <v/>
      </c>
      <c r="H374">
        <f>IF($E374="","",RANK($E374,$E$8:$E$507,0))</f>
        <v/>
      </c>
      <c r="I374">
        <f>IF($E374="","",IF($E374&gt;=85,"Excellent",IF($E374&gt;=70,"Good",IF($E374&gt;=50,"Fair","Needs Support"))))</f>
        <v/>
      </c>
    </row>
    <row r="375">
      <c r="A375">
        <f>IF(Students!A369="","",Students!A369)</f>
        <v/>
      </c>
      <c r="B375">
        <f>IF($A375="","",Students!B369)</f>
        <v/>
      </c>
      <c r="C375">
        <f>IF($A375="","",Students!C369)</f>
        <v/>
      </c>
      <c r="D375">
        <f>IF($A375="","",COUNTIFS(Assessments!G:G,$A375,Assessments!B:B,"&gt;="&amp;$B$4,Assessments!B:B,"&lt;="&amp;$B$5,Assessments!C:C,IF($E$4="",$B375,$E$4),Assessments!D:D,IF($E$5="",$C375,$E$5)))</f>
        <v/>
      </c>
      <c r="E375">
        <f>IF($D375=0,"",ROUND(AVERAGEIFS(Assessments!J:J,Assessments!G:G,$A375,Assessments!B:B,"&gt;="&amp;$B$4,Assessments!B:B,"&lt;="&amp;$B$5,Assessments!C:C,IF($E$4="",$B375,$E$4),Assessments!D:D,IF($E$5="",$C375,$E$5)),0))</f>
        <v/>
      </c>
      <c r="F375">
        <f>IF($D375=0,"",MAXIFS(Assessments!J:J,Assessments!G:G,$A375,Assessments!B:B,"&gt;="&amp;$B$4,Assessments!B:B,"&lt;="&amp;$B$5,Assessments!C:C,IF($E$4="",$B375,$E$4),Assessments!D:D,IF($E$5="",$C375,$E$5)))</f>
        <v/>
      </c>
      <c r="G375">
        <f>IF($D375=0,"",MINIFS(Assessments!J:J,Assessments!G:G,$A375,Assessments!B:B,"&gt;="&amp;$B$4,Assessments!B:B,"&lt;="&amp;$B$5,Assessments!C:C,IF($E$4="",$B375,$E$4),Assessments!D:D,IF($E$5="",$C375,$E$5)))</f>
        <v/>
      </c>
      <c r="H375">
        <f>IF($E375="","",RANK($E375,$E$8:$E$507,0))</f>
        <v/>
      </c>
      <c r="I375">
        <f>IF($E375="","",IF($E375&gt;=85,"Excellent",IF($E375&gt;=70,"Good",IF($E375&gt;=50,"Fair","Needs Support"))))</f>
        <v/>
      </c>
    </row>
    <row r="376">
      <c r="A376">
        <f>IF(Students!A370="","",Students!A370)</f>
        <v/>
      </c>
      <c r="B376">
        <f>IF($A376="","",Students!B370)</f>
        <v/>
      </c>
      <c r="C376">
        <f>IF($A376="","",Students!C370)</f>
        <v/>
      </c>
      <c r="D376">
        <f>IF($A376="","",COUNTIFS(Assessments!G:G,$A376,Assessments!B:B,"&gt;="&amp;$B$4,Assessments!B:B,"&lt;="&amp;$B$5,Assessments!C:C,IF($E$4="",$B376,$E$4),Assessments!D:D,IF($E$5="",$C376,$E$5)))</f>
        <v/>
      </c>
      <c r="E376">
        <f>IF($D376=0,"",ROUND(AVERAGEIFS(Assessments!J:J,Assessments!G:G,$A376,Assessments!B:B,"&gt;="&amp;$B$4,Assessments!B:B,"&lt;="&amp;$B$5,Assessments!C:C,IF($E$4="",$B376,$E$4),Assessments!D:D,IF($E$5="",$C376,$E$5)),0))</f>
        <v/>
      </c>
      <c r="F376">
        <f>IF($D376=0,"",MAXIFS(Assessments!J:J,Assessments!G:G,$A376,Assessments!B:B,"&gt;="&amp;$B$4,Assessments!B:B,"&lt;="&amp;$B$5,Assessments!C:C,IF($E$4="",$B376,$E$4),Assessments!D:D,IF($E$5="",$C376,$E$5)))</f>
        <v/>
      </c>
      <c r="G376">
        <f>IF($D376=0,"",MINIFS(Assessments!J:J,Assessments!G:G,$A376,Assessments!B:B,"&gt;="&amp;$B$4,Assessments!B:B,"&lt;="&amp;$B$5,Assessments!C:C,IF($E$4="",$B376,$E$4),Assessments!D:D,IF($E$5="",$C376,$E$5)))</f>
        <v/>
      </c>
      <c r="H376">
        <f>IF($E376="","",RANK($E376,$E$8:$E$507,0))</f>
        <v/>
      </c>
      <c r="I376">
        <f>IF($E376="","",IF($E376&gt;=85,"Excellent",IF($E376&gt;=70,"Good",IF($E376&gt;=50,"Fair","Needs Support"))))</f>
        <v/>
      </c>
    </row>
    <row r="377">
      <c r="A377">
        <f>IF(Students!A371="","",Students!A371)</f>
        <v/>
      </c>
      <c r="B377">
        <f>IF($A377="","",Students!B371)</f>
        <v/>
      </c>
      <c r="C377">
        <f>IF($A377="","",Students!C371)</f>
        <v/>
      </c>
      <c r="D377">
        <f>IF($A377="","",COUNTIFS(Assessments!G:G,$A377,Assessments!B:B,"&gt;="&amp;$B$4,Assessments!B:B,"&lt;="&amp;$B$5,Assessments!C:C,IF($E$4="",$B377,$E$4),Assessments!D:D,IF($E$5="",$C377,$E$5)))</f>
        <v/>
      </c>
      <c r="E377">
        <f>IF($D377=0,"",ROUND(AVERAGEIFS(Assessments!J:J,Assessments!G:G,$A377,Assessments!B:B,"&gt;="&amp;$B$4,Assessments!B:B,"&lt;="&amp;$B$5,Assessments!C:C,IF($E$4="",$B377,$E$4),Assessments!D:D,IF($E$5="",$C377,$E$5)),0))</f>
        <v/>
      </c>
      <c r="F377">
        <f>IF($D377=0,"",MAXIFS(Assessments!J:J,Assessments!G:G,$A377,Assessments!B:B,"&gt;="&amp;$B$4,Assessments!B:B,"&lt;="&amp;$B$5,Assessments!C:C,IF($E$4="",$B377,$E$4),Assessments!D:D,IF($E$5="",$C377,$E$5)))</f>
        <v/>
      </c>
      <c r="G377">
        <f>IF($D377=0,"",MINIFS(Assessments!J:J,Assessments!G:G,$A377,Assessments!B:B,"&gt;="&amp;$B$4,Assessments!B:B,"&lt;="&amp;$B$5,Assessments!C:C,IF($E$4="",$B377,$E$4),Assessments!D:D,IF($E$5="",$C377,$E$5)))</f>
        <v/>
      </c>
      <c r="H377">
        <f>IF($E377="","",RANK($E377,$E$8:$E$507,0))</f>
        <v/>
      </c>
      <c r="I377">
        <f>IF($E377="","",IF($E377&gt;=85,"Excellent",IF($E377&gt;=70,"Good",IF($E377&gt;=50,"Fair","Needs Support"))))</f>
        <v/>
      </c>
    </row>
    <row r="378">
      <c r="A378">
        <f>IF(Students!A372="","",Students!A372)</f>
        <v/>
      </c>
      <c r="B378">
        <f>IF($A378="","",Students!B372)</f>
        <v/>
      </c>
      <c r="C378">
        <f>IF($A378="","",Students!C372)</f>
        <v/>
      </c>
      <c r="D378">
        <f>IF($A378="","",COUNTIFS(Assessments!G:G,$A378,Assessments!B:B,"&gt;="&amp;$B$4,Assessments!B:B,"&lt;="&amp;$B$5,Assessments!C:C,IF($E$4="",$B378,$E$4),Assessments!D:D,IF($E$5="",$C378,$E$5)))</f>
        <v/>
      </c>
      <c r="E378">
        <f>IF($D378=0,"",ROUND(AVERAGEIFS(Assessments!J:J,Assessments!G:G,$A378,Assessments!B:B,"&gt;="&amp;$B$4,Assessments!B:B,"&lt;="&amp;$B$5,Assessments!C:C,IF($E$4="",$B378,$E$4),Assessments!D:D,IF($E$5="",$C378,$E$5)),0))</f>
        <v/>
      </c>
      <c r="F378">
        <f>IF($D378=0,"",MAXIFS(Assessments!J:J,Assessments!G:G,$A378,Assessments!B:B,"&gt;="&amp;$B$4,Assessments!B:B,"&lt;="&amp;$B$5,Assessments!C:C,IF($E$4="",$B378,$E$4),Assessments!D:D,IF($E$5="",$C378,$E$5)))</f>
        <v/>
      </c>
      <c r="G378">
        <f>IF($D378=0,"",MINIFS(Assessments!J:J,Assessments!G:G,$A378,Assessments!B:B,"&gt;="&amp;$B$4,Assessments!B:B,"&lt;="&amp;$B$5,Assessments!C:C,IF($E$4="",$B378,$E$4),Assessments!D:D,IF($E$5="",$C378,$E$5)))</f>
        <v/>
      </c>
      <c r="H378">
        <f>IF($E378="","",RANK($E378,$E$8:$E$507,0))</f>
        <v/>
      </c>
      <c r="I378">
        <f>IF($E378="","",IF($E378&gt;=85,"Excellent",IF($E378&gt;=70,"Good",IF($E378&gt;=50,"Fair","Needs Support"))))</f>
        <v/>
      </c>
    </row>
    <row r="379">
      <c r="A379">
        <f>IF(Students!A373="","",Students!A373)</f>
        <v/>
      </c>
      <c r="B379">
        <f>IF($A379="","",Students!B373)</f>
        <v/>
      </c>
      <c r="C379">
        <f>IF($A379="","",Students!C373)</f>
        <v/>
      </c>
      <c r="D379">
        <f>IF($A379="","",COUNTIFS(Assessments!G:G,$A379,Assessments!B:B,"&gt;="&amp;$B$4,Assessments!B:B,"&lt;="&amp;$B$5,Assessments!C:C,IF($E$4="",$B379,$E$4),Assessments!D:D,IF($E$5="",$C379,$E$5)))</f>
        <v/>
      </c>
      <c r="E379">
        <f>IF($D379=0,"",ROUND(AVERAGEIFS(Assessments!J:J,Assessments!G:G,$A379,Assessments!B:B,"&gt;="&amp;$B$4,Assessments!B:B,"&lt;="&amp;$B$5,Assessments!C:C,IF($E$4="",$B379,$E$4),Assessments!D:D,IF($E$5="",$C379,$E$5)),0))</f>
        <v/>
      </c>
      <c r="F379">
        <f>IF($D379=0,"",MAXIFS(Assessments!J:J,Assessments!G:G,$A379,Assessments!B:B,"&gt;="&amp;$B$4,Assessments!B:B,"&lt;="&amp;$B$5,Assessments!C:C,IF($E$4="",$B379,$E$4),Assessments!D:D,IF($E$5="",$C379,$E$5)))</f>
        <v/>
      </c>
      <c r="G379">
        <f>IF($D379=0,"",MINIFS(Assessments!J:J,Assessments!G:G,$A379,Assessments!B:B,"&gt;="&amp;$B$4,Assessments!B:B,"&lt;="&amp;$B$5,Assessments!C:C,IF($E$4="",$B379,$E$4),Assessments!D:D,IF($E$5="",$C379,$E$5)))</f>
        <v/>
      </c>
      <c r="H379">
        <f>IF($E379="","",RANK($E379,$E$8:$E$507,0))</f>
        <v/>
      </c>
      <c r="I379">
        <f>IF($E379="","",IF($E379&gt;=85,"Excellent",IF($E379&gt;=70,"Good",IF($E379&gt;=50,"Fair","Needs Support"))))</f>
        <v/>
      </c>
    </row>
    <row r="380">
      <c r="A380">
        <f>IF(Students!A374="","",Students!A374)</f>
        <v/>
      </c>
      <c r="B380">
        <f>IF($A380="","",Students!B374)</f>
        <v/>
      </c>
      <c r="C380">
        <f>IF($A380="","",Students!C374)</f>
        <v/>
      </c>
      <c r="D380">
        <f>IF($A380="","",COUNTIFS(Assessments!G:G,$A380,Assessments!B:B,"&gt;="&amp;$B$4,Assessments!B:B,"&lt;="&amp;$B$5,Assessments!C:C,IF($E$4="",$B380,$E$4),Assessments!D:D,IF($E$5="",$C380,$E$5)))</f>
        <v/>
      </c>
      <c r="E380">
        <f>IF($D380=0,"",ROUND(AVERAGEIFS(Assessments!J:J,Assessments!G:G,$A380,Assessments!B:B,"&gt;="&amp;$B$4,Assessments!B:B,"&lt;="&amp;$B$5,Assessments!C:C,IF($E$4="",$B380,$E$4),Assessments!D:D,IF($E$5="",$C380,$E$5)),0))</f>
        <v/>
      </c>
      <c r="F380">
        <f>IF($D380=0,"",MAXIFS(Assessments!J:J,Assessments!G:G,$A380,Assessments!B:B,"&gt;="&amp;$B$4,Assessments!B:B,"&lt;="&amp;$B$5,Assessments!C:C,IF($E$4="",$B380,$E$4),Assessments!D:D,IF($E$5="",$C380,$E$5)))</f>
        <v/>
      </c>
      <c r="G380">
        <f>IF($D380=0,"",MINIFS(Assessments!J:J,Assessments!G:G,$A380,Assessments!B:B,"&gt;="&amp;$B$4,Assessments!B:B,"&lt;="&amp;$B$5,Assessments!C:C,IF($E$4="",$B380,$E$4),Assessments!D:D,IF($E$5="",$C380,$E$5)))</f>
        <v/>
      </c>
      <c r="H380">
        <f>IF($E380="","",RANK($E380,$E$8:$E$507,0))</f>
        <v/>
      </c>
      <c r="I380">
        <f>IF($E380="","",IF($E380&gt;=85,"Excellent",IF($E380&gt;=70,"Good",IF($E380&gt;=50,"Fair","Needs Support"))))</f>
        <v/>
      </c>
    </row>
    <row r="381">
      <c r="A381">
        <f>IF(Students!A375="","",Students!A375)</f>
        <v/>
      </c>
      <c r="B381">
        <f>IF($A381="","",Students!B375)</f>
        <v/>
      </c>
      <c r="C381">
        <f>IF($A381="","",Students!C375)</f>
        <v/>
      </c>
      <c r="D381">
        <f>IF($A381="","",COUNTIFS(Assessments!G:G,$A381,Assessments!B:B,"&gt;="&amp;$B$4,Assessments!B:B,"&lt;="&amp;$B$5,Assessments!C:C,IF($E$4="",$B381,$E$4),Assessments!D:D,IF($E$5="",$C381,$E$5)))</f>
        <v/>
      </c>
      <c r="E381">
        <f>IF($D381=0,"",ROUND(AVERAGEIFS(Assessments!J:J,Assessments!G:G,$A381,Assessments!B:B,"&gt;="&amp;$B$4,Assessments!B:B,"&lt;="&amp;$B$5,Assessments!C:C,IF($E$4="",$B381,$E$4),Assessments!D:D,IF($E$5="",$C381,$E$5)),0))</f>
        <v/>
      </c>
      <c r="F381">
        <f>IF($D381=0,"",MAXIFS(Assessments!J:J,Assessments!G:G,$A381,Assessments!B:B,"&gt;="&amp;$B$4,Assessments!B:B,"&lt;="&amp;$B$5,Assessments!C:C,IF($E$4="",$B381,$E$4),Assessments!D:D,IF($E$5="",$C381,$E$5)))</f>
        <v/>
      </c>
      <c r="G381">
        <f>IF($D381=0,"",MINIFS(Assessments!J:J,Assessments!G:G,$A381,Assessments!B:B,"&gt;="&amp;$B$4,Assessments!B:B,"&lt;="&amp;$B$5,Assessments!C:C,IF($E$4="",$B381,$E$4),Assessments!D:D,IF($E$5="",$C381,$E$5)))</f>
        <v/>
      </c>
      <c r="H381">
        <f>IF($E381="","",RANK($E381,$E$8:$E$507,0))</f>
        <v/>
      </c>
      <c r="I381">
        <f>IF($E381="","",IF($E381&gt;=85,"Excellent",IF($E381&gt;=70,"Good",IF($E381&gt;=50,"Fair","Needs Support"))))</f>
        <v/>
      </c>
    </row>
    <row r="382">
      <c r="A382">
        <f>IF(Students!A376="","",Students!A376)</f>
        <v/>
      </c>
      <c r="B382">
        <f>IF($A382="","",Students!B376)</f>
        <v/>
      </c>
      <c r="C382">
        <f>IF($A382="","",Students!C376)</f>
        <v/>
      </c>
      <c r="D382">
        <f>IF($A382="","",COUNTIFS(Assessments!G:G,$A382,Assessments!B:B,"&gt;="&amp;$B$4,Assessments!B:B,"&lt;="&amp;$B$5,Assessments!C:C,IF($E$4="",$B382,$E$4),Assessments!D:D,IF($E$5="",$C382,$E$5)))</f>
        <v/>
      </c>
      <c r="E382">
        <f>IF($D382=0,"",ROUND(AVERAGEIFS(Assessments!J:J,Assessments!G:G,$A382,Assessments!B:B,"&gt;="&amp;$B$4,Assessments!B:B,"&lt;="&amp;$B$5,Assessments!C:C,IF($E$4="",$B382,$E$4),Assessments!D:D,IF($E$5="",$C382,$E$5)),0))</f>
        <v/>
      </c>
      <c r="F382">
        <f>IF($D382=0,"",MAXIFS(Assessments!J:J,Assessments!G:G,$A382,Assessments!B:B,"&gt;="&amp;$B$4,Assessments!B:B,"&lt;="&amp;$B$5,Assessments!C:C,IF($E$4="",$B382,$E$4),Assessments!D:D,IF($E$5="",$C382,$E$5)))</f>
        <v/>
      </c>
      <c r="G382">
        <f>IF($D382=0,"",MINIFS(Assessments!J:J,Assessments!G:G,$A382,Assessments!B:B,"&gt;="&amp;$B$4,Assessments!B:B,"&lt;="&amp;$B$5,Assessments!C:C,IF($E$4="",$B382,$E$4),Assessments!D:D,IF($E$5="",$C382,$E$5)))</f>
        <v/>
      </c>
      <c r="H382">
        <f>IF($E382="","",RANK($E382,$E$8:$E$507,0))</f>
        <v/>
      </c>
      <c r="I382">
        <f>IF($E382="","",IF($E382&gt;=85,"Excellent",IF($E382&gt;=70,"Good",IF($E382&gt;=50,"Fair","Needs Support"))))</f>
        <v/>
      </c>
    </row>
    <row r="383">
      <c r="A383">
        <f>IF(Students!A377="","",Students!A377)</f>
        <v/>
      </c>
      <c r="B383">
        <f>IF($A383="","",Students!B377)</f>
        <v/>
      </c>
      <c r="C383">
        <f>IF($A383="","",Students!C377)</f>
        <v/>
      </c>
      <c r="D383">
        <f>IF($A383="","",COUNTIFS(Assessments!G:G,$A383,Assessments!B:B,"&gt;="&amp;$B$4,Assessments!B:B,"&lt;="&amp;$B$5,Assessments!C:C,IF($E$4="",$B383,$E$4),Assessments!D:D,IF($E$5="",$C383,$E$5)))</f>
        <v/>
      </c>
      <c r="E383">
        <f>IF($D383=0,"",ROUND(AVERAGEIFS(Assessments!J:J,Assessments!G:G,$A383,Assessments!B:B,"&gt;="&amp;$B$4,Assessments!B:B,"&lt;="&amp;$B$5,Assessments!C:C,IF($E$4="",$B383,$E$4),Assessments!D:D,IF($E$5="",$C383,$E$5)),0))</f>
        <v/>
      </c>
      <c r="F383">
        <f>IF($D383=0,"",MAXIFS(Assessments!J:J,Assessments!G:G,$A383,Assessments!B:B,"&gt;="&amp;$B$4,Assessments!B:B,"&lt;="&amp;$B$5,Assessments!C:C,IF($E$4="",$B383,$E$4),Assessments!D:D,IF($E$5="",$C383,$E$5)))</f>
        <v/>
      </c>
      <c r="G383">
        <f>IF($D383=0,"",MINIFS(Assessments!J:J,Assessments!G:G,$A383,Assessments!B:B,"&gt;="&amp;$B$4,Assessments!B:B,"&lt;="&amp;$B$5,Assessments!C:C,IF($E$4="",$B383,$E$4),Assessments!D:D,IF($E$5="",$C383,$E$5)))</f>
        <v/>
      </c>
      <c r="H383">
        <f>IF($E383="","",RANK($E383,$E$8:$E$507,0))</f>
        <v/>
      </c>
      <c r="I383">
        <f>IF($E383="","",IF($E383&gt;=85,"Excellent",IF($E383&gt;=70,"Good",IF($E383&gt;=50,"Fair","Needs Support"))))</f>
        <v/>
      </c>
    </row>
    <row r="384">
      <c r="A384">
        <f>IF(Students!A378="","",Students!A378)</f>
        <v/>
      </c>
      <c r="B384">
        <f>IF($A384="","",Students!B378)</f>
        <v/>
      </c>
      <c r="C384">
        <f>IF($A384="","",Students!C378)</f>
        <v/>
      </c>
      <c r="D384">
        <f>IF($A384="","",COUNTIFS(Assessments!G:G,$A384,Assessments!B:B,"&gt;="&amp;$B$4,Assessments!B:B,"&lt;="&amp;$B$5,Assessments!C:C,IF($E$4="",$B384,$E$4),Assessments!D:D,IF($E$5="",$C384,$E$5)))</f>
        <v/>
      </c>
      <c r="E384">
        <f>IF($D384=0,"",ROUND(AVERAGEIFS(Assessments!J:J,Assessments!G:G,$A384,Assessments!B:B,"&gt;="&amp;$B$4,Assessments!B:B,"&lt;="&amp;$B$5,Assessments!C:C,IF($E$4="",$B384,$E$4),Assessments!D:D,IF($E$5="",$C384,$E$5)),0))</f>
        <v/>
      </c>
      <c r="F384">
        <f>IF($D384=0,"",MAXIFS(Assessments!J:J,Assessments!G:G,$A384,Assessments!B:B,"&gt;="&amp;$B$4,Assessments!B:B,"&lt;="&amp;$B$5,Assessments!C:C,IF($E$4="",$B384,$E$4),Assessments!D:D,IF($E$5="",$C384,$E$5)))</f>
        <v/>
      </c>
      <c r="G384">
        <f>IF($D384=0,"",MINIFS(Assessments!J:J,Assessments!G:G,$A384,Assessments!B:B,"&gt;="&amp;$B$4,Assessments!B:B,"&lt;="&amp;$B$5,Assessments!C:C,IF($E$4="",$B384,$E$4),Assessments!D:D,IF($E$5="",$C384,$E$5)))</f>
        <v/>
      </c>
      <c r="H384">
        <f>IF($E384="","",RANK($E384,$E$8:$E$507,0))</f>
        <v/>
      </c>
      <c r="I384">
        <f>IF($E384="","",IF($E384&gt;=85,"Excellent",IF($E384&gt;=70,"Good",IF($E384&gt;=50,"Fair","Needs Support"))))</f>
        <v/>
      </c>
    </row>
    <row r="385">
      <c r="A385">
        <f>IF(Students!A379="","",Students!A379)</f>
        <v/>
      </c>
      <c r="B385">
        <f>IF($A385="","",Students!B379)</f>
        <v/>
      </c>
      <c r="C385">
        <f>IF($A385="","",Students!C379)</f>
        <v/>
      </c>
      <c r="D385">
        <f>IF($A385="","",COUNTIFS(Assessments!G:G,$A385,Assessments!B:B,"&gt;="&amp;$B$4,Assessments!B:B,"&lt;="&amp;$B$5,Assessments!C:C,IF($E$4="",$B385,$E$4),Assessments!D:D,IF($E$5="",$C385,$E$5)))</f>
        <v/>
      </c>
      <c r="E385">
        <f>IF($D385=0,"",ROUND(AVERAGEIFS(Assessments!J:J,Assessments!G:G,$A385,Assessments!B:B,"&gt;="&amp;$B$4,Assessments!B:B,"&lt;="&amp;$B$5,Assessments!C:C,IF($E$4="",$B385,$E$4),Assessments!D:D,IF($E$5="",$C385,$E$5)),0))</f>
        <v/>
      </c>
      <c r="F385">
        <f>IF($D385=0,"",MAXIFS(Assessments!J:J,Assessments!G:G,$A385,Assessments!B:B,"&gt;="&amp;$B$4,Assessments!B:B,"&lt;="&amp;$B$5,Assessments!C:C,IF($E$4="",$B385,$E$4),Assessments!D:D,IF($E$5="",$C385,$E$5)))</f>
        <v/>
      </c>
      <c r="G385">
        <f>IF($D385=0,"",MINIFS(Assessments!J:J,Assessments!G:G,$A385,Assessments!B:B,"&gt;="&amp;$B$4,Assessments!B:B,"&lt;="&amp;$B$5,Assessments!C:C,IF($E$4="",$B385,$E$4),Assessments!D:D,IF($E$5="",$C385,$E$5)))</f>
        <v/>
      </c>
      <c r="H385">
        <f>IF($E385="","",RANK($E385,$E$8:$E$507,0))</f>
        <v/>
      </c>
      <c r="I385">
        <f>IF($E385="","",IF($E385&gt;=85,"Excellent",IF($E385&gt;=70,"Good",IF($E385&gt;=50,"Fair","Needs Support"))))</f>
        <v/>
      </c>
    </row>
    <row r="386">
      <c r="A386">
        <f>IF(Students!A380="","",Students!A380)</f>
        <v/>
      </c>
      <c r="B386">
        <f>IF($A386="","",Students!B380)</f>
        <v/>
      </c>
      <c r="C386">
        <f>IF($A386="","",Students!C380)</f>
        <v/>
      </c>
      <c r="D386">
        <f>IF($A386="","",COUNTIFS(Assessments!G:G,$A386,Assessments!B:B,"&gt;="&amp;$B$4,Assessments!B:B,"&lt;="&amp;$B$5,Assessments!C:C,IF($E$4="",$B386,$E$4),Assessments!D:D,IF($E$5="",$C386,$E$5)))</f>
        <v/>
      </c>
      <c r="E386">
        <f>IF($D386=0,"",ROUND(AVERAGEIFS(Assessments!J:J,Assessments!G:G,$A386,Assessments!B:B,"&gt;="&amp;$B$4,Assessments!B:B,"&lt;="&amp;$B$5,Assessments!C:C,IF($E$4="",$B386,$E$4),Assessments!D:D,IF($E$5="",$C386,$E$5)),0))</f>
        <v/>
      </c>
      <c r="F386">
        <f>IF($D386=0,"",MAXIFS(Assessments!J:J,Assessments!G:G,$A386,Assessments!B:B,"&gt;="&amp;$B$4,Assessments!B:B,"&lt;="&amp;$B$5,Assessments!C:C,IF($E$4="",$B386,$E$4),Assessments!D:D,IF($E$5="",$C386,$E$5)))</f>
        <v/>
      </c>
      <c r="G386">
        <f>IF($D386=0,"",MINIFS(Assessments!J:J,Assessments!G:G,$A386,Assessments!B:B,"&gt;="&amp;$B$4,Assessments!B:B,"&lt;="&amp;$B$5,Assessments!C:C,IF($E$4="",$B386,$E$4),Assessments!D:D,IF($E$5="",$C386,$E$5)))</f>
        <v/>
      </c>
      <c r="H386">
        <f>IF($E386="","",RANK($E386,$E$8:$E$507,0))</f>
        <v/>
      </c>
      <c r="I386">
        <f>IF($E386="","",IF($E386&gt;=85,"Excellent",IF($E386&gt;=70,"Good",IF($E386&gt;=50,"Fair","Needs Support"))))</f>
        <v/>
      </c>
    </row>
    <row r="387">
      <c r="A387">
        <f>IF(Students!A381="","",Students!A381)</f>
        <v/>
      </c>
      <c r="B387">
        <f>IF($A387="","",Students!B381)</f>
        <v/>
      </c>
      <c r="C387">
        <f>IF($A387="","",Students!C381)</f>
        <v/>
      </c>
      <c r="D387">
        <f>IF($A387="","",COUNTIFS(Assessments!G:G,$A387,Assessments!B:B,"&gt;="&amp;$B$4,Assessments!B:B,"&lt;="&amp;$B$5,Assessments!C:C,IF($E$4="",$B387,$E$4),Assessments!D:D,IF($E$5="",$C387,$E$5)))</f>
        <v/>
      </c>
      <c r="E387">
        <f>IF($D387=0,"",ROUND(AVERAGEIFS(Assessments!J:J,Assessments!G:G,$A387,Assessments!B:B,"&gt;="&amp;$B$4,Assessments!B:B,"&lt;="&amp;$B$5,Assessments!C:C,IF($E$4="",$B387,$E$4),Assessments!D:D,IF($E$5="",$C387,$E$5)),0))</f>
        <v/>
      </c>
      <c r="F387">
        <f>IF($D387=0,"",MAXIFS(Assessments!J:J,Assessments!G:G,$A387,Assessments!B:B,"&gt;="&amp;$B$4,Assessments!B:B,"&lt;="&amp;$B$5,Assessments!C:C,IF($E$4="",$B387,$E$4),Assessments!D:D,IF($E$5="",$C387,$E$5)))</f>
        <v/>
      </c>
      <c r="G387">
        <f>IF($D387=0,"",MINIFS(Assessments!J:J,Assessments!G:G,$A387,Assessments!B:B,"&gt;="&amp;$B$4,Assessments!B:B,"&lt;="&amp;$B$5,Assessments!C:C,IF($E$4="",$B387,$E$4),Assessments!D:D,IF($E$5="",$C387,$E$5)))</f>
        <v/>
      </c>
      <c r="H387">
        <f>IF($E387="","",RANK($E387,$E$8:$E$507,0))</f>
        <v/>
      </c>
      <c r="I387">
        <f>IF($E387="","",IF($E387&gt;=85,"Excellent",IF($E387&gt;=70,"Good",IF($E387&gt;=50,"Fair","Needs Support"))))</f>
        <v/>
      </c>
    </row>
    <row r="388">
      <c r="A388">
        <f>IF(Students!A382="","",Students!A382)</f>
        <v/>
      </c>
      <c r="B388">
        <f>IF($A388="","",Students!B382)</f>
        <v/>
      </c>
      <c r="C388">
        <f>IF($A388="","",Students!C382)</f>
        <v/>
      </c>
      <c r="D388">
        <f>IF($A388="","",COUNTIFS(Assessments!G:G,$A388,Assessments!B:B,"&gt;="&amp;$B$4,Assessments!B:B,"&lt;="&amp;$B$5,Assessments!C:C,IF($E$4="",$B388,$E$4),Assessments!D:D,IF($E$5="",$C388,$E$5)))</f>
        <v/>
      </c>
      <c r="E388">
        <f>IF($D388=0,"",ROUND(AVERAGEIFS(Assessments!J:J,Assessments!G:G,$A388,Assessments!B:B,"&gt;="&amp;$B$4,Assessments!B:B,"&lt;="&amp;$B$5,Assessments!C:C,IF($E$4="",$B388,$E$4),Assessments!D:D,IF($E$5="",$C388,$E$5)),0))</f>
        <v/>
      </c>
      <c r="F388">
        <f>IF($D388=0,"",MAXIFS(Assessments!J:J,Assessments!G:G,$A388,Assessments!B:B,"&gt;="&amp;$B$4,Assessments!B:B,"&lt;="&amp;$B$5,Assessments!C:C,IF($E$4="",$B388,$E$4),Assessments!D:D,IF($E$5="",$C388,$E$5)))</f>
        <v/>
      </c>
      <c r="G388">
        <f>IF($D388=0,"",MINIFS(Assessments!J:J,Assessments!G:G,$A388,Assessments!B:B,"&gt;="&amp;$B$4,Assessments!B:B,"&lt;="&amp;$B$5,Assessments!C:C,IF($E$4="",$B388,$E$4),Assessments!D:D,IF($E$5="",$C388,$E$5)))</f>
        <v/>
      </c>
      <c r="H388">
        <f>IF($E388="","",RANK($E388,$E$8:$E$507,0))</f>
        <v/>
      </c>
      <c r="I388">
        <f>IF($E388="","",IF($E388&gt;=85,"Excellent",IF($E388&gt;=70,"Good",IF($E388&gt;=50,"Fair","Needs Support"))))</f>
        <v/>
      </c>
    </row>
    <row r="389">
      <c r="A389">
        <f>IF(Students!A383="","",Students!A383)</f>
        <v/>
      </c>
      <c r="B389">
        <f>IF($A389="","",Students!B383)</f>
        <v/>
      </c>
      <c r="C389">
        <f>IF($A389="","",Students!C383)</f>
        <v/>
      </c>
      <c r="D389">
        <f>IF($A389="","",COUNTIFS(Assessments!G:G,$A389,Assessments!B:B,"&gt;="&amp;$B$4,Assessments!B:B,"&lt;="&amp;$B$5,Assessments!C:C,IF($E$4="",$B389,$E$4),Assessments!D:D,IF($E$5="",$C389,$E$5)))</f>
        <v/>
      </c>
      <c r="E389">
        <f>IF($D389=0,"",ROUND(AVERAGEIFS(Assessments!J:J,Assessments!G:G,$A389,Assessments!B:B,"&gt;="&amp;$B$4,Assessments!B:B,"&lt;="&amp;$B$5,Assessments!C:C,IF($E$4="",$B389,$E$4),Assessments!D:D,IF($E$5="",$C389,$E$5)),0))</f>
        <v/>
      </c>
      <c r="F389">
        <f>IF($D389=0,"",MAXIFS(Assessments!J:J,Assessments!G:G,$A389,Assessments!B:B,"&gt;="&amp;$B$4,Assessments!B:B,"&lt;="&amp;$B$5,Assessments!C:C,IF($E$4="",$B389,$E$4),Assessments!D:D,IF($E$5="",$C389,$E$5)))</f>
        <v/>
      </c>
      <c r="G389">
        <f>IF($D389=0,"",MINIFS(Assessments!J:J,Assessments!G:G,$A389,Assessments!B:B,"&gt;="&amp;$B$4,Assessments!B:B,"&lt;="&amp;$B$5,Assessments!C:C,IF($E$4="",$B389,$E$4),Assessments!D:D,IF($E$5="",$C389,$E$5)))</f>
        <v/>
      </c>
      <c r="H389">
        <f>IF($E389="","",RANK($E389,$E$8:$E$507,0))</f>
        <v/>
      </c>
      <c r="I389">
        <f>IF($E389="","",IF($E389&gt;=85,"Excellent",IF($E389&gt;=70,"Good",IF($E389&gt;=50,"Fair","Needs Support"))))</f>
        <v/>
      </c>
    </row>
    <row r="390">
      <c r="A390">
        <f>IF(Students!A384="","",Students!A384)</f>
        <v/>
      </c>
      <c r="B390">
        <f>IF($A390="","",Students!B384)</f>
        <v/>
      </c>
      <c r="C390">
        <f>IF($A390="","",Students!C384)</f>
        <v/>
      </c>
      <c r="D390">
        <f>IF($A390="","",COUNTIFS(Assessments!G:G,$A390,Assessments!B:B,"&gt;="&amp;$B$4,Assessments!B:B,"&lt;="&amp;$B$5,Assessments!C:C,IF($E$4="",$B390,$E$4),Assessments!D:D,IF($E$5="",$C390,$E$5)))</f>
        <v/>
      </c>
      <c r="E390">
        <f>IF($D390=0,"",ROUND(AVERAGEIFS(Assessments!J:J,Assessments!G:G,$A390,Assessments!B:B,"&gt;="&amp;$B$4,Assessments!B:B,"&lt;="&amp;$B$5,Assessments!C:C,IF($E$4="",$B390,$E$4),Assessments!D:D,IF($E$5="",$C390,$E$5)),0))</f>
        <v/>
      </c>
      <c r="F390">
        <f>IF($D390=0,"",MAXIFS(Assessments!J:J,Assessments!G:G,$A390,Assessments!B:B,"&gt;="&amp;$B$4,Assessments!B:B,"&lt;="&amp;$B$5,Assessments!C:C,IF($E$4="",$B390,$E$4),Assessments!D:D,IF($E$5="",$C390,$E$5)))</f>
        <v/>
      </c>
      <c r="G390">
        <f>IF($D390=0,"",MINIFS(Assessments!J:J,Assessments!G:G,$A390,Assessments!B:B,"&gt;="&amp;$B$4,Assessments!B:B,"&lt;="&amp;$B$5,Assessments!C:C,IF($E$4="",$B390,$E$4),Assessments!D:D,IF($E$5="",$C390,$E$5)))</f>
        <v/>
      </c>
      <c r="H390">
        <f>IF($E390="","",RANK($E390,$E$8:$E$507,0))</f>
        <v/>
      </c>
      <c r="I390">
        <f>IF($E390="","",IF($E390&gt;=85,"Excellent",IF($E390&gt;=70,"Good",IF($E390&gt;=50,"Fair","Needs Support"))))</f>
        <v/>
      </c>
    </row>
    <row r="391">
      <c r="A391">
        <f>IF(Students!A385="","",Students!A385)</f>
        <v/>
      </c>
      <c r="B391">
        <f>IF($A391="","",Students!B385)</f>
        <v/>
      </c>
      <c r="C391">
        <f>IF($A391="","",Students!C385)</f>
        <v/>
      </c>
      <c r="D391">
        <f>IF($A391="","",COUNTIFS(Assessments!G:G,$A391,Assessments!B:B,"&gt;="&amp;$B$4,Assessments!B:B,"&lt;="&amp;$B$5,Assessments!C:C,IF($E$4="",$B391,$E$4),Assessments!D:D,IF($E$5="",$C391,$E$5)))</f>
        <v/>
      </c>
      <c r="E391">
        <f>IF($D391=0,"",ROUND(AVERAGEIFS(Assessments!J:J,Assessments!G:G,$A391,Assessments!B:B,"&gt;="&amp;$B$4,Assessments!B:B,"&lt;="&amp;$B$5,Assessments!C:C,IF($E$4="",$B391,$E$4),Assessments!D:D,IF($E$5="",$C391,$E$5)),0))</f>
        <v/>
      </c>
      <c r="F391">
        <f>IF($D391=0,"",MAXIFS(Assessments!J:J,Assessments!G:G,$A391,Assessments!B:B,"&gt;="&amp;$B$4,Assessments!B:B,"&lt;="&amp;$B$5,Assessments!C:C,IF($E$4="",$B391,$E$4),Assessments!D:D,IF($E$5="",$C391,$E$5)))</f>
        <v/>
      </c>
      <c r="G391">
        <f>IF($D391=0,"",MINIFS(Assessments!J:J,Assessments!G:G,$A391,Assessments!B:B,"&gt;="&amp;$B$4,Assessments!B:B,"&lt;="&amp;$B$5,Assessments!C:C,IF($E$4="",$B391,$E$4),Assessments!D:D,IF($E$5="",$C391,$E$5)))</f>
        <v/>
      </c>
      <c r="H391">
        <f>IF($E391="","",RANK($E391,$E$8:$E$507,0))</f>
        <v/>
      </c>
      <c r="I391">
        <f>IF($E391="","",IF($E391&gt;=85,"Excellent",IF($E391&gt;=70,"Good",IF($E391&gt;=50,"Fair","Needs Support"))))</f>
        <v/>
      </c>
    </row>
    <row r="392">
      <c r="A392">
        <f>IF(Students!A386="","",Students!A386)</f>
        <v/>
      </c>
      <c r="B392">
        <f>IF($A392="","",Students!B386)</f>
        <v/>
      </c>
      <c r="C392">
        <f>IF($A392="","",Students!C386)</f>
        <v/>
      </c>
      <c r="D392">
        <f>IF($A392="","",COUNTIFS(Assessments!G:G,$A392,Assessments!B:B,"&gt;="&amp;$B$4,Assessments!B:B,"&lt;="&amp;$B$5,Assessments!C:C,IF($E$4="",$B392,$E$4),Assessments!D:D,IF($E$5="",$C392,$E$5)))</f>
        <v/>
      </c>
      <c r="E392">
        <f>IF($D392=0,"",ROUND(AVERAGEIFS(Assessments!J:J,Assessments!G:G,$A392,Assessments!B:B,"&gt;="&amp;$B$4,Assessments!B:B,"&lt;="&amp;$B$5,Assessments!C:C,IF($E$4="",$B392,$E$4),Assessments!D:D,IF($E$5="",$C392,$E$5)),0))</f>
        <v/>
      </c>
      <c r="F392">
        <f>IF($D392=0,"",MAXIFS(Assessments!J:J,Assessments!G:G,$A392,Assessments!B:B,"&gt;="&amp;$B$4,Assessments!B:B,"&lt;="&amp;$B$5,Assessments!C:C,IF($E$4="",$B392,$E$4),Assessments!D:D,IF($E$5="",$C392,$E$5)))</f>
        <v/>
      </c>
      <c r="G392">
        <f>IF($D392=0,"",MINIFS(Assessments!J:J,Assessments!G:G,$A392,Assessments!B:B,"&gt;="&amp;$B$4,Assessments!B:B,"&lt;="&amp;$B$5,Assessments!C:C,IF($E$4="",$B392,$E$4),Assessments!D:D,IF($E$5="",$C392,$E$5)))</f>
        <v/>
      </c>
      <c r="H392">
        <f>IF($E392="","",RANK($E392,$E$8:$E$507,0))</f>
        <v/>
      </c>
      <c r="I392">
        <f>IF($E392="","",IF($E392&gt;=85,"Excellent",IF($E392&gt;=70,"Good",IF($E392&gt;=50,"Fair","Needs Support"))))</f>
        <v/>
      </c>
    </row>
    <row r="393">
      <c r="A393">
        <f>IF(Students!A387="","",Students!A387)</f>
        <v/>
      </c>
      <c r="B393">
        <f>IF($A393="","",Students!B387)</f>
        <v/>
      </c>
      <c r="C393">
        <f>IF($A393="","",Students!C387)</f>
        <v/>
      </c>
      <c r="D393">
        <f>IF($A393="","",COUNTIFS(Assessments!G:G,$A393,Assessments!B:B,"&gt;="&amp;$B$4,Assessments!B:B,"&lt;="&amp;$B$5,Assessments!C:C,IF($E$4="",$B393,$E$4),Assessments!D:D,IF($E$5="",$C393,$E$5)))</f>
        <v/>
      </c>
      <c r="E393">
        <f>IF($D393=0,"",ROUND(AVERAGEIFS(Assessments!J:J,Assessments!G:G,$A393,Assessments!B:B,"&gt;="&amp;$B$4,Assessments!B:B,"&lt;="&amp;$B$5,Assessments!C:C,IF($E$4="",$B393,$E$4),Assessments!D:D,IF($E$5="",$C393,$E$5)),0))</f>
        <v/>
      </c>
      <c r="F393">
        <f>IF($D393=0,"",MAXIFS(Assessments!J:J,Assessments!G:G,$A393,Assessments!B:B,"&gt;="&amp;$B$4,Assessments!B:B,"&lt;="&amp;$B$5,Assessments!C:C,IF($E$4="",$B393,$E$4),Assessments!D:D,IF($E$5="",$C393,$E$5)))</f>
        <v/>
      </c>
      <c r="G393">
        <f>IF($D393=0,"",MINIFS(Assessments!J:J,Assessments!G:G,$A393,Assessments!B:B,"&gt;="&amp;$B$4,Assessments!B:B,"&lt;="&amp;$B$5,Assessments!C:C,IF($E$4="",$B393,$E$4),Assessments!D:D,IF($E$5="",$C393,$E$5)))</f>
        <v/>
      </c>
      <c r="H393">
        <f>IF($E393="","",RANK($E393,$E$8:$E$507,0))</f>
        <v/>
      </c>
      <c r="I393">
        <f>IF($E393="","",IF($E393&gt;=85,"Excellent",IF($E393&gt;=70,"Good",IF($E393&gt;=50,"Fair","Needs Support"))))</f>
        <v/>
      </c>
    </row>
    <row r="394">
      <c r="A394">
        <f>IF(Students!A388="","",Students!A388)</f>
        <v/>
      </c>
      <c r="B394">
        <f>IF($A394="","",Students!B388)</f>
        <v/>
      </c>
      <c r="C394">
        <f>IF($A394="","",Students!C388)</f>
        <v/>
      </c>
      <c r="D394">
        <f>IF($A394="","",COUNTIFS(Assessments!G:G,$A394,Assessments!B:B,"&gt;="&amp;$B$4,Assessments!B:B,"&lt;="&amp;$B$5,Assessments!C:C,IF($E$4="",$B394,$E$4),Assessments!D:D,IF($E$5="",$C394,$E$5)))</f>
        <v/>
      </c>
      <c r="E394">
        <f>IF($D394=0,"",ROUND(AVERAGEIFS(Assessments!J:J,Assessments!G:G,$A394,Assessments!B:B,"&gt;="&amp;$B$4,Assessments!B:B,"&lt;="&amp;$B$5,Assessments!C:C,IF($E$4="",$B394,$E$4),Assessments!D:D,IF($E$5="",$C394,$E$5)),0))</f>
        <v/>
      </c>
      <c r="F394">
        <f>IF($D394=0,"",MAXIFS(Assessments!J:J,Assessments!G:G,$A394,Assessments!B:B,"&gt;="&amp;$B$4,Assessments!B:B,"&lt;="&amp;$B$5,Assessments!C:C,IF($E$4="",$B394,$E$4),Assessments!D:D,IF($E$5="",$C394,$E$5)))</f>
        <v/>
      </c>
      <c r="G394">
        <f>IF($D394=0,"",MINIFS(Assessments!J:J,Assessments!G:G,$A394,Assessments!B:B,"&gt;="&amp;$B$4,Assessments!B:B,"&lt;="&amp;$B$5,Assessments!C:C,IF($E$4="",$B394,$E$4),Assessments!D:D,IF($E$5="",$C394,$E$5)))</f>
        <v/>
      </c>
      <c r="H394">
        <f>IF($E394="","",RANK($E394,$E$8:$E$507,0))</f>
        <v/>
      </c>
      <c r="I394">
        <f>IF($E394="","",IF($E394&gt;=85,"Excellent",IF($E394&gt;=70,"Good",IF($E394&gt;=50,"Fair","Needs Support"))))</f>
        <v/>
      </c>
    </row>
    <row r="395">
      <c r="A395">
        <f>IF(Students!A389="","",Students!A389)</f>
        <v/>
      </c>
      <c r="B395">
        <f>IF($A395="","",Students!B389)</f>
        <v/>
      </c>
      <c r="C395">
        <f>IF($A395="","",Students!C389)</f>
        <v/>
      </c>
      <c r="D395">
        <f>IF($A395="","",COUNTIFS(Assessments!G:G,$A395,Assessments!B:B,"&gt;="&amp;$B$4,Assessments!B:B,"&lt;="&amp;$B$5,Assessments!C:C,IF($E$4="",$B395,$E$4),Assessments!D:D,IF($E$5="",$C395,$E$5)))</f>
        <v/>
      </c>
      <c r="E395">
        <f>IF($D395=0,"",ROUND(AVERAGEIFS(Assessments!J:J,Assessments!G:G,$A395,Assessments!B:B,"&gt;="&amp;$B$4,Assessments!B:B,"&lt;="&amp;$B$5,Assessments!C:C,IF($E$4="",$B395,$E$4),Assessments!D:D,IF($E$5="",$C395,$E$5)),0))</f>
        <v/>
      </c>
      <c r="F395">
        <f>IF($D395=0,"",MAXIFS(Assessments!J:J,Assessments!G:G,$A395,Assessments!B:B,"&gt;="&amp;$B$4,Assessments!B:B,"&lt;="&amp;$B$5,Assessments!C:C,IF($E$4="",$B395,$E$4),Assessments!D:D,IF($E$5="",$C395,$E$5)))</f>
        <v/>
      </c>
      <c r="G395">
        <f>IF($D395=0,"",MINIFS(Assessments!J:J,Assessments!G:G,$A395,Assessments!B:B,"&gt;="&amp;$B$4,Assessments!B:B,"&lt;="&amp;$B$5,Assessments!C:C,IF($E$4="",$B395,$E$4),Assessments!D:D,IF($E$5="",$C395,$E$5)))</f>
        <v/>
      </c>
      <c r="H395">
        <f>IF($E395="","",RANK($E395,$E$8:$E$507,0))</f>
        <v/>
      </c>
      <c r="I395">
        <f>IF($E395="","",IF($E395&gt;=85,"Excellent",IF($E395&gt;=70,"Good",IF($E395&gt;=50,"Fair","Needs Support"))))</f>
        <v/>
      </c>
    </row>
    <row r="396">
      <c r="A396">
        <f>IF(Students!A390="","",Students!A390)</f>
        <v/>
      </c>
      <c r="B396">
        <f>IF($A396="","",Students!B390)</f>
        <v/>
      </c>
      <c r="C396">
        <f>IF($A396="","",Students!C390)</f>
        <v/>
      </c>
      <c r="D396">
        <f>IF($A396="","",COUNTIFS(Assessments!G:G,$A396,Assessments!B:B,"&gt;="&amp;$B$4,Assessments!B:B,"&lt;="&amp;$B$5,Assessments!C:C,IF($E$4="",$B396,$E$4),Assessments!D:D,IF($E$5="",$C396,$E$5)))</f>
        <v/>
      </c>
      <c r="E396">
        <f>IF($D396=0,"",ROUND(AVERAGEIFS(Assessments!J:J,Assessments!G:G,$A396,Assessments!B:B,"&gt;="&amp;$B$4,Assessments!B:B,"&lt;="&amp;$B$5,Assessments!C:C,IF($E$4="",$B396,$E$4),Assessments!D:D,IF($E$5="",$C396,$E$5)),0))</f>
        <v/>
      </c>
      <c r="F396">
        <f>IF($D396=0,"",MAXIFS(Assessments!J:J,Assessments!G:G,$A396,Assessments!B:B,"&gt;="&amp;$B$4,Assessments!B:B,"&lt;="&amp;$B$5,Assessments!C:C,IF($E$4="",$B396,$E$4),Assessments!D:D,IF($E$5="",$C396,$E$5)))</f>
        <v/>
      </c>
      <c r="G396">
        <f>IF($D396=0,"",MINIFS(Assessments!J:J,Assessments!G:G,$A396,Assessments!B:B,"&gt;="&amp;$B$4,Assessments!B:B,"&lt;="&amp;$B$5,Assessments!C:C,IF($E$4="",$B396,$E$4),Assessments!D:D,IF($E$5="",$C396,$E$5)))</f>
        <v/>
      </c>
      <c r="H396">
        <f>IF($E396="","",RANK($E396,$E$8:$E$507,0))</f>
        <v/>
      </c>
      <c r="I396">
        <f>IF($E396="","",IF($E396&gt;=85,"Excellent",IF($E396&gt;=70,"Good",IF($E396&gt;=50,"Fair","Needs Support"))))</f>
        <v/>
      </c>
    </row>
    <row r="397">
      <c r="A397">
        <f>IF(Students!A391="","",Students!A391)</f>
        <v/>
      </c>
      <c r="B397">
        <f>IF($A397="","",Students!B391)</f>
        <v/>
      </c>
      <c r="C397">
        <f>IF($A397="","",Students!C391)</f>
        <v/>
      </c>
      <c r="D397">
        <f>IF($A397="","",COUNTIFS(Assessments!G:G,$A397,Assessments!B:B,"&gt;="&amp;$B$4,Assessments!B:B,"&lt;="&amp;$B$5,Assessments!C:C,IF($E$4="",$B397,$E$4),Assessments!D:D,IF($E$5="",$C397,$E$5)))</f>
        <v/>
      </c>
      <c r="E397">
        <f>IF($D397=0,"",ROUND(AVERAGEIFS(Assessments!J:J,Assessments!G:G,$A397,Assessments!B:B,"&gt;="&amp;$B$4,Assessments!B:B,"&lt;="&amp;$B$5,Assessments!C:C,IF($E$4="",$B397,$E$4),Assessments!D:D,IF($E$5="",$C397,$E$5)),0))</f>
        <v/>
      </c>
      <c r="F397">
        <f>IF($D397=0,"",MAXIFS(Assessments!J:J,Assessments!G:G,$A397,Assessments!B:B,"&gt;="&amp;$B$4,Assessments!B:B,"&lt;="&amp;$B$5,Assessments!C:C,IF($E$4="",$B397,$E$4),Assessments!D:D,IF($E$5="",$C397,$E$5)))</f>
        <v/>
      </c>
      <c r="G397">
        <f>IF($D397=0,"",MINIFS(Assessments!J:J,Assessments!G:G,$A397,Assessments!B:B,"&gt;="&amp;$B$4,Assessments!B:B,"&lt;="&amp;$B$5,Assessments!C:C,IF($E$4="",$B397,$E$4),Assessments!D:D,IF($E$5="",$C397,$E$5)))</f>
        <v/>
      </c>
      <c r="H397">
        <f>IF($E397="","",RANK($E397,$E$8:$E$507,0))</f>
        <v/>
      </c>
      <c r="I397">
        <f>IF($E397="","",IF($E397&gt;=85,"Excellent",IF($E397&gt;=70,"Good",IF($E397&gt;=50,"Fair","Needs Support"))))</f>
        <v/>
      </c>
    </row>
    <row r="398">
      <c r="A398">
        <f>IF(Students!A392="","",Students!A392)</f>
        <v/>
      </c>
      <c r="B398">
        <f>IF($A398="","",Students!B392)</f>
        <v/>
      </c>
      <c r="C398">
        <f>IF($A398="","",Students!C392)</f>
        <v/>
      </c>
      <c r="D398">
        <f>IF($A398="","",COUNTIFS(Assessments!G:G,$A398,Assessments!B:B,"&gt;="&amp;$B$4,Assessments!B:B,"&lt;="&amp;$B$5,Assessments!C:C,IF($E$4="",$B398,$E$4),Assessments!D:D,IF($E$5="",$C398,$E$5)))</f>
        <v/>
      </c>
      <c r="E398">
        <f>IF($D398=0,"",ROUND(AVERAGEIFS(Assessments!J:J,Assessments!G:G,$A398,Assessments!B:B,"&gt;="&amp;$B$4,Assessments!B:B,"&lt;="&amp;$B$5,Assessments!C:C,IF($E$4="",$B398,$E$4),Assessments!D:D,IF($E$5="",$C398,$E$5)),0))</f>
        <v/>
      </c>
      <c r="F398">
        <f>IF($D398=0,"",MAXIFS(Assessments!J:J,Assessments!G:G,$A398,Assessments!B:B,"&gt;="&amp;$B$4,Assessments!B:B,"&lt;="&amp;$B$5,Assessments!C:C,IF($E$4="",$B398,$E$4),Assessments!D:D,IF($E$5="",$C398,$E$5)))</f>
        <v/>
      </c>
      <c r="G398">
        <f>IF($D398=0,"",MINIFS(Assessments!J:J,Assessments!G:G,$A398,Assessments!B:B,"&gt;="&amp;$B$4,Assessments!B:B,"&lt;="&amp;$B$5,Assessments!C:C,IF($E$4="",$B398,$E$4),Assessments!D:D,IF($E$5="",$C398,$E$5)))</f>
        <v/>
      </c>
      <c r="H398">
        <f>IF($E398="","",RANK($E398,$E$8:$E$507,0))</f>
        <v/>
      </c>
      <c r="I398">
        <f>IF($E398="","",IF($E398&gt;=85,"Excellent",IF($E398&gt;=70,"Good",IF($E398&gt;=50,"Fair","Needs Support"))))</f>
        <v/>
      </c>
    </row>
    <row r="399">
      <c r="A399">
        <f>IF(Students!A393="","",Students!A393)</f>
        <v/>
      </c>
      <c r="B399">
        <f>IF($A399="","",Students!B393)</f>
        <v/>
      </c>
      <c r="C399">
        <f>IF($A399="","",Students!C393)</f>
        <v/>
      </c>
      <c r="D399">
        <f>IF($A399="","",COUNTIFS(Assessments!G:G,$A399,Assessments!B:B,"&gt;="&amp;$B$4,Assessments!B:B,"&lt;="&amp;$B$5,Assessments!C:C,IF($E$4="",$B399,$E$4),Assessments!D:D,IF($E$5="",$C399,$E$5)))</f>
        <v/>
      </c>
      <c r="E399">
        <f>IF($D399=0,"",ROUND(AVERAGEIFS(Assessments!J:J,Assessments!G:G,$A399,Assessments!B:B,"&gt;="&amp;$B$4,Assessments!B:B,"&lt;="&amp;$B$5,Assessments!C:C,IF($E$4="",$B399,$E$4),Assessments!D:D,IF($E$5="",$C399,$E$5)),0))</f>
        <v/>
      </c>
      <c r="F399">
        <f>IF($D399=0,"",MAXIFS(Assessments!J:J,Assessments!G:G,$A399,Assessments!B:B,"&gt;="&amp;$B$4,Assessments!B:B,"&lt;="&amp;$B$5,Assessments!C:C,IF($E$4="",$B399,$E$4),Assessments!D:D,IF($E$5="",$C399,$E$5)))</f>
        <v/>
      </c>
      <c r="G399">
        <f>IF($D399=0,"",MINIFS(Assessments!J:J,Assessments!G:G,$A399,Assessments!B:B,"&gt;="&amp;$B$4,Assessments!B:B,"&lt;="&amp;$B$5,Assessments!C:C,IF($E$4="",$B399,$E$4),Assessments!D:D,IF($E$5="",$C399,$E$5)))</f>
        <v/>
      </c>
      <c r="H399">
        <f>IF($E399="","",RANK($E399,$E$8:$E$507,0))</f>
        <v/>
      </c>
      <c r="I399">
        <f>IF($E399="","",IF($E399&gt;=85,"Excellent",IF($E399&gt;=70,"Good",IF($E399&gt;=50,"Fair","Needs Support"))))</f>
        <v/>
      </c>
    </row>
    <row r="400">
      <c r="A400">
        <f>IF(Students!A394="","",Students!A394)</f>
        <v/>
      </c>
      <c r="B400">
        <f>IF($A400="","",Students!B394)</f>
        <v/>
      </c>
      <c r="C400">
        <f>IF($A400="","",Students!C394)</f>
        <v/>
      </c>
      <c r="D400">
        <f>IF($A400="","",COUNTIFS(Assessments!G:G,$A400,Assessments!B:B,"&gt;="&amp;$B$4,Assessments!B:B,"&lt;="&amp;$B$5,Assessments!C:C,IF($E$4="",$B400,$E$4),Assessments!D:D,IF($E$5="",$C400,$E$5)))</f>
        <v/>
      </c>
      <c r="E400">
        <f>IF($D400=0,"",ROUND(AVERAGEIFS(Assessments!J:J,Assessments!G:G,$A400,Assessments!B:B,"&gt;="&amp;$B$4,Assessments!B:B,"&lt;="&amp;$B$5,Assessments!C:C,IF($E$4="",$B400,$E$4),Assessments!D:D,IF($E$5="",$C400,$E$5)),0))</f>
        <v/>
      </c>
      <c r="F400">
        <f>IF($D400=0,"",MAXIFS(Assessments!J:J,Assessments!G:G,$A400,Assessments!B:B,"&gt;="&amp;$B$4,Assessments!B:B,"&lt;="&amp;$B$5,Assessments!C:C,IF($E$4="",$B400,$E$4),Assessments!D:D,IF($E$5="",$C400,$E$5)))</f>
        <v/>
      </c>
      <c r="G400">
        <f>IF($D400=0,"",MINIFS(Assessments!J:J,Assessments!G:G,$A400,Assessments!B:B,"&gt;="&amp;$B$4,Assessments!B:B,"&lt;="&amp;$B$5,Assessments!C:C,IF($E$4="",$B400,$E$4),Assessments!D:D,IF($E$5="",$C400,$E$5)))</f>
        <v/>
      </c>
      <c r="H400">
        <f>IF($E400="","",RANK($E400,$E$8:$E$507,0))</f>
        <v/>
      </c>
      <c r="I400">
        <f>IF($E400="","",IF($E400&gt;=85,"Excellent",IF($E400&gt;=70,"Good",IF($E400&gt;=50,"Fair","Needs Support"))))</f>
        <v/>
      </c>
    </row>
    <row r="401">
      <c r="A401">
        <f>IF(Students!A395="","",Students!A395)</f>
        <v/>
      </c>
      <c r="B401">
        <f>IF($A401="","",Students!B395)</f>
        <v/>
      </c>
      <c r="C401">
        <f>IF($A401="","",Students!C395)</f>
        <v/>
      </c>
      <c r="D401">
        <f>IF($A401="","",COUNTIFS(Assessments!G:G,$A401,Assessments!B:B,"&gt;="&amp;$B$4,Assessments!B:B,"&lt;="&amp;$B$5,Assessments!C:C,IF($E$4="",$B401,$E$4),Assessments!D:D,IF($E$5="",$C401,$E$5)))</f>
        <v/>
      </c>
      <c r="E401">
        <f>IF($D401=0,"",ROUND(AVERAGEIFS(Assessments!J:J,Assessments!G:G,$A401,Assessments!B:B,"&gt;="&amp;$B$4,Assessments!B:B,"&lt;="&amp;$B$5,Assessments!C:C,IF($E$4="",$B401,$E$4),Assessments!D:D,IF($E$5="",$C401,$E$5)),0))</f>
        <v/>
      </c>
      <c r="F401">
        <f>IF($D401=0,"",MAXIFS(Assessments!J:J,Assessments!G:G,$A401,Assessments!B:B,"&gt;="&amp;$B$4,Assessments!B:B,"&lt;="&amp;$B$5,Assessments!C:C,IF($E$4="",$B401,$E$4),Assessments!D:D,IF($E$5="",$C401,$E$5)))</f>
        <v/>
      </c>
      <c r="G401">
        <f>IF($D401=0,"",MINIFS(Assessments!J:J,Assessments!G:G,$A401,Assessments!B:B,"&gt;="&amp;$B$4,Assessments!B:B,"&lt;="&amp;$B$5,Assessments!C:C,IF($E$4="",$B401,$E$4),Assessments!D:D,IF($E$5="",$C401,$E$5)))</f>
        <v/>
      </c>
      <c r="H401">
        <f>IF($E401="","",RANK($E401,$E$8:$E$507,0))</f>
        <v/>
      </c>
      <c r="I401">
        <f>IF($E401="","",IF($E401&gt;=85,"Excellent",IF($E401&gt;=70,"Good",IF($E401&gt;=50,"Fair","Needs Support"))))</f>
        <v/>
      </c>
    </row>
    <row r="402">
      <c r="A402">
        <f>IF(Students!A396="","",Students!A396)</f>
        <v/>
      </c>
      <c r="B402">
        <f>IF($A402="","",Students!B396)</f>
        <v/>
      </c>
      <c r="C402">
        <f>IF($A402="","",Students!C396)</f>
        <v/>
      </c>
      <c r="D402">
        <f>IF($A402="","",COUNTIFS(Assessments!G:G,$A402,Assessments!B:B,"&gt;="&amp;$B$4,Assessments!B:B,"&lt;="&amp;$B$5,Assessments!C:C,IF($E$4="",$B402,$E$4),Assessments!D:D,IF($E$5="",$C402,$E$5)))</f>
        <v/>
      </c>
      <c r="E402">
        <f>IF($D402=0,"",ROUND(AVERAGEIFS(Assessments!J:J,Assessments!G:G,$A402,Assessments!B:B,"&gt;="&amp;$B$4,Assessments!B:B,"&lt;="&amp;$B$5,Assessments!C:C,IF($E$4="",$B402,$E$4),Assessments!D:D,IF($E$5="",$C402,$E$5)),0))</f>
        <v/>
      </c>
      <c r="F402">
        <f>IF($D402=0,"",MAXIFS(Assessments!J:J,Assessments!G:G,$A402,Assessments!B:B,"&gt;="&amp;$B$4,Assessments!B:B,"&lt;="&amp;$B$5,Assessments!C:C,IF($E$4="",$B402,$E$4),Assessments!D:D,IF($E$5="",$C402,$E$5)))</f>
        <v/>
      </c>
      <c r="G402">
        <f>IF($D402=0,"",MINIFS(Assessments!J:J,Assessments!G:G,$A402,Assessments!B:B,"&gt;="&amp;$B$4,Assessments!B:B,"&lt;="&amp;$B$5,Assessments!C:C,IF($E$4="",$B402,$E$4),Assessments!D:D,IF($E$5="",$C402,$E$5)))</f>
        <v/>
      </c>
      <c r="H402">
        <f>IF($E402="","",RANK($E402,$E$8:$E$507,0))</f>
        <v/>
      </c>
      <c r="I402">
        <f>IF($E402="","",IF($E402&gt;=85,"Excellent",IF($E402&gt;=70,"Good",IF($E402&gt;=50,"Fair","Needs Support"))))</f>
        <v/>
      </c>
    </row>
    <row r="403">
      <c r="A403">
        <f>IF(Students!A397="","",Students!A397)</f>
        <v/>
      </c>
      <c r="B403">
        <f>IF($A403="","",Students!B397)</f>
        <v/>
      </c>
      <c r="C403">
        <f>IF($A403="","",Students!C397)</f>
        <v/>
      </c>
      <c r="D403">
        <f>IF($A403="","",COUNTIFS(Assessments!G:G,$A403,Assessments!B:B,"&gt;="&amp;$B$4,Assessments!B:B,"&lt;="&amp;$B$5,Assessments!C:C,IF($E$4="",$B403,$E$4),Assessments!D:D,IF($E$5="",$C403,$E$5)))</f>
        <v/>
      </c>
      <c r="E403">
        <f>IF($D403=0,"",ROUND(AVERAGEIFS(Assessments!J:J,Assessments!G:G,$A403,Assessments!B:B,"&gt;="&amp;$B$4,Assessments!B:B,"&lt;="&amp;$B$5,Assessments!C:C,IF($E$4="",$B403,$E$4),Assessments!D:D,IF($E$5="",$C403,$E$5)),0))</f>
        <v/>
      </c>
      <c r="F403">
        <f>IF($D403=0,"",MAXIFS(Assessments!J:J,Assessments!G:G,$A403,Assessments!B:B,"&gt;="&amp;$B$4,Assessments!B:B,"&lt;="&amp;$B$5,Assessments!C:C,IF($E$4="",$B403,$E$4),Assessments!D:D,IF($E$5="",$C403,$E$5)))</f>
        <v/>
      </c>
      <c r="G403">
        <f>IF($D403=0,"",MINIFS(Assessments!J:J,Assessments!G:G,$A403,Assessments!B:B,"&gt;="&amp;$B$4,Assessments!B:B,"&lt;="&amp;$B$5,Assessments!C:C,IF($E$4="",$B403,$E$4),Assessments!D:D,IF($E$5="",$C403,$E$5)))</f>
        <v/>
      </c>
      <c r="H403">
        <f>IF($E403="","",RANK($E403,$E$8:$E$507,0))</f>
        <v/>
      </c>
      <c r="I403">
        <f>IF($E403="","",IF($E403&gt;=85,"Excellent",IF($E403&gt;=70,"Good",IF($E403&gt;=50,"Fair","Needs Support"))))</f>
        <v/>
      </c>
    </row>
    <row r="404">
      <c r="A404">
        <f>IF(Students!A398="","",Students!A398)</f>
        <v/>
      </c>
      <c r="B404">
        <f>IF($A404="","",Students!B398)</f>
        <v/>
      </c>
      <c r="C404">
        <f>IF($A404="","",Students!C398)</f>
        <v/>
      </c>
      <c r="D404">
        <f>IF($A404="","",COUNTIFS(Assessments!G:G,$A404,Assessments!B:B,"&gt;="&amp;$B$4,Assessments!B:B,"&lt;="&amp;$B$5,Assessments!C:C,IF($E$4="",$B404,$E$4),Assessments!D:D,IF($E$5="",$C404,$E$5)))</f>
        <v/>
      </c>
      <c r="E404">
        <f>IF($D404=0,"",ROUND(AVERAGEIFS(Assessments!J:J,Assessments!G:G,$A404,Assessments!B:B,"&gt;="&amp;$B$4,Assessments!B:B,"&lt;="&amp;$B$5,Assessments!C:C,IF($E$4="",$B404,$E$4),Assessments!D:D,IF($E$5="",$C404,$E$5)),0))</f>
        <v/>
      </c>
      <c r="F404">
        <f>IF($D404=0,"",MAXIFS(Assessments!J:J,Assessments!G:G,$A404,Assessments!B:B,"&gt;="&amp;$B$4,Assessments!B:B,"&lt;="&amp;$B$5,Assessments!C:C,IF($E$4="",$B404,$E$4),Assessments!D:D,IF($E$5="",$C404,$E$5)))</f>
        <v/>
      </c>
      <c r="G404">
        <f>IF($D404=0,"",MINIFS(Assessments!J:J,Assessments!G:G,$A404,Assessments!B:B,"&gt;="&amp;$B$4,Assessments!B:B,"&lt;="&amp;$B$5,Assessments!C:C,IF($E$4="",$B404,$E$4),Assessments!D:D,IF($E$5="",$C404,$E$5)))</f>
        <v/>
      </c>
      <c r="H404">
        <f>IF($E404="","",RANK($E404,$E$8:$E$507,0))</f>
        <v/>
      </c>
      <c r="I404">
        <f>IF($E404="","",IF($E404&gt;=85,"Excellent",IF($E404&gt;=70,"Good",IF($E404&gt;=50,"Fair","Needs Support"))))</f>
        <v/>
      </c>
    </row>
    <row r="405">
      <c r="A405">
        <f>IF(Students!A399="","",Students!A399)</f>
        <v/>
      </c>
      <c r="B405">
        <f>IF($A405="","",Students!B399)</f>
        <v/>
      </c>
      <c r="C405">
        <f>IF($A405="","",Students!C399)</f>
        <v/>
      </c>
      <c r="D405">
        <f>IF($A405="","",COUNTIFS(Assessments!G:G,$A405,Assessments!B:B,"&gt;="&amp;$B$4,Assessments!B:B,"&lt;="&amp;$B$5,Assessments!C:C,IF($E$4="",$B405,$E$4),Assessments!D:D,IF($E$5="",$C405,$E$5)))</f>
        <v/>
      </c>
      <c r="E405">
        <f>IF($D405=0,"",ROUND(AVERAGEIFS(Assessments!J:J,Assessments!G:G,$A405,Assessments!B:B,"&gt;="&amp;$B$4,Assessments!B:B,"&lt;="&amp;$B$5,Assessments!C:C,IF($E$4="",$B405,$E$4),Assessments!D:D,IF($E$5="",$C405,$E$5)),0))</f>
        <v/>
      </c>
      <c r="F405">
        <f>IF($D405=0,"",MAXIFS(Assessments!J:J,Assessments!G:G,$A405,Assessments!B:B,"&gt;="&amp;$B$4,Assessments!B:B,"&lt;="&amp;$B$5,Assessments!C:C,IF($E$4="",$B405,$E$4),Assessments!D:D,IF($E$5="",$C405,$E$5)))</f>
        <v/>
      </c>
      <c r="G405">
        <f>IF($D405=0,"",MINIFS(Assessments!J:J,Assessments!G:G,$A405,Assessments!B:B,"&gt;="&amp;$B$4,Assessments!B:B,"&lt;="&amp;$B$5,Assessments!C:C,IF($E$4="",$B405,$E$4),Assessments!D:D,IF($E$5="",$C405,$E$5)))</f>
        <v/>
      </c>
      <c r="H405">
        <f>IF($E405="","",RANK($E405,$E$8:$E$507,0))</f>
        <v/>
      </c>
      <c r="I405">
        <f>IF($E405="","",IF($E405&gt;=85,"Excellent",IF($E405&gt;=70,"Good",IF($E405&gt;=50,"Fair","Needs Support"))))</f>
        <v/>
      </c>
    </row>
    <row r="406">
      <c r="A406">
        <f>IF(Students!A400="","",Students!A400)</f>
        <v/>
      </c>
      <c r="B406">
        <f>IF($A406="","",Students!B400)</f>
        <v/>
      </c>
      <c r="C406">
        <f>IF($A406="","",Students!C400)</f>
        <v/>
      </c>
      <c r="D406">
        <f>IF($A406="","",COUNTIFS(Assessments!G:G,$A406,Assessments!B:B,"&gt;="&amp;$B$4,Assessments!B:B,"&lt;="&amp;$B$5,Assessments!C:C,IF($E$4="",$B406,$E$4),Assessments!D:D,IF($E$5="",$C406,$E$5)))</f>
        <v/>
      </c>
      <c r="E406">
        <f>IF($D406=0,"",ROUND(AVERAGEIFS(Assessments!J:J,Assessments!G:G,$A406,Assessments!B:B,"&gt;="&amp;$B$4,Assessments!B:B,"&lt;="&amp;$B$5,Assessments!C:C,IF($E$4="",$B406,$E$4),Assessments!D:D,IF($E$5="",$C406,$E$5)),0))</f>
        <v/>
      </c>
      <c r="F406">
        <f>IF($D406=0,"",MAXIFS(Assessments!J:J,Assessments!G:G,$A406,Assessments!B:B,"&gt;="&amp;$B$4,Assessments!B:B,"&lt;="&amp;$B$5,Assessments!C:C,IF($E$4="",$B406,$E$4),Assessments!D:D,IF($E$5="",$C406,$E$5)))</f>
        <v/>
      </c>
      <c r="G406">
        <f>IF($D406=0,"",MINIFS(Assessments!J:J,Assessments!G:G,$A406,Assessments!B:B,"&gt;="&amp;$B$4,Assessments!B:B,"&lt;="&amp;$B$5,Assessments!C:C,IF($E$4="",$B406,$E$4),Assessments!D:D,IF($E$5="",$C406,$E$5)))</f>
        <v/>
      </c>
      <c r="H406">
        <f>IF($E406="","",RANK($E406,$E$8:$E$507,0))</f>
        <v/>
      </c>
      <c r="I406">
        <f>IF($E406="","",IF($E406&gt;=85,"Excellent",IF($E406&gt;=70,"Good",IF($E406&gt;=50,"Fair","Needs Support"))))</f>
        <v/>
      </c>
    </row>
    <row r="407">
      <c r="A407">
        <f>IF(Students!A401="","",Students!A401)</f>
        <v/>
      </c>
      <c r="B407">
        <f>IF($A407="","",Students!B401)</f>
        <v/>
      </c>
      <c r="C407">
        <f>IF($A407="","",Students!C401)</f>
        <v/>
      </c>
      <c r="D407">
        <f>IF($A407="","",COUNTIFS(Assessments!G:G,$A407,Assessments!B:B,"&gt;="&amp;$B$4,Assessments!B:B,"&lt;="&amp;$B$5,Assessments!C:C,IF($E$4="",$B407,$E$4),Assessments!D:D,IF($E$5="",$C407,$E$5)))</f>
        <v/>
      </c>
      <c r="E407">
        <f>IF($D407=0,"",ROUND(AVERAGEIFS(Assessments!J:J,Assessments!G:G,$A407,Assessments!B:B,"&gt;="&amp;$B$4,Assessments!B:B,"&lt;="&amp;$B$5,Assessments!C:C,IF($E$4="",$B407,$E$4),Assessments!D:D,IF($E$5="",$C407,$E$5)),0))</f>
        <v/>
      </c>
      <c r="F407">
        <f>IF($D407=0,"",MAXIFS(Assessments!J:J,Assessments!G:G,$A407,Assessments!B:B,"&gt;="&amp;$B$4,Assessments!B:B,"&lt;="&amp;$B$5,Assessments!C:C,IF($E$4="",$B407,$E$4),Assessments!D:D,IF($E$5="",$C407,$E$5)))</f>
        <v/>
      </c>
      <c r="G407">
        <f>IF($D407=0,"",MINIFS(Assessments!J:J,Assessments!G:G,$A407,Assessments!B:B,"&gt;="&amp;$B$4,Assessments!B:B,"&lt;="&amp;$B$5,Assessments!C:C,IF($E$4="",$B407,$E$4),Assessments!D:D,IF($E$5="",$C407,$E$5)))</f>
        <v/>
      </c>
      <c r="H407">
        <f>IF($E407="","",RANK($E407,$E$8:$E$507,0))</f>
        <v/>
      </c>
      <c r="I407">
        <f>IF($E407="","",IF($E407&gt;=85,"Excellent",IF($E407&gt;=70,"Good",IF($E407&gt;=50,"Fair","Needs Support"))))</f>
        <v/>
      </c>
    </row>
    <row r="408">
      <c r="A408">
        <f>IF(Students!A402="","",Students!A402)</f>
        <v/>
      </c>
      <c r="B408">
        <f>IF($A408="","",Students!B402)</f>
        <v/>
      </c>
      <c r="C408">
        <f>IF($A408="","",Students!C402)</f>
        <v/>
      </c>
      <c r="D408">
        <f>IF($A408="","",COUNTIFS(Assessments!G:G,$A408,Assessments!B:B,"&gt;="&amp;$B$4,Assessments!B:B,"&lt;="&amp;$B$5,Assessments!C:C,IF($E$4="",$B408,$E$4),Assessments!D:D,IF($E$5="",$C408,$E$5)))</f>
        <v/>
      </c>
      <c r="E408">
        <f>IF($D408=0,"",ROUND(AVERAGEIFS(Assessments!J:J,Assessments!G:G,$A408,Assessments!B:B,"&gt;="&amp;$B$4,Assessments!B:B,"&lt;="&amp;$B$5,Assessments!C:C,IF($E$4="",$B408,$E$4),Assessments!D:D,IF($E$5="",$C408,$E$5)),0))</f>
        <v/>
      </c>
      <c r="F408">
        <f>IF($D408=0,"",MAXIFS(Assessments!J:J,Assessments!G:G,$A408,Assessments!B:B,"&gt;="&amp;$B$4,Assessments!B:B,"&lt;="&amp;$B$5,Assessments!C:C,IF($E$4="",$B408,$E$4),Assessments!D:D,IF($E$5="",$C408,$E$5)))</f>
        <v/>
      </c>
      <c r="G408">
        <f>IF($D408=0,"",MINIFS(Assessments!J:J,Assessments!G:G,$A408,Assessments!B:B,"&gt;="&amp;$B$4,Assessments!B:B,"&lt;="&amp;$B$5,Assessments!C:C,IF($E$4="",$B408,$E$4),Assessments!D:D,IF($E$5="",$C408,$E$5)))</f>
        <v/>
      </c>
      <c r="H408">
        <f>IF($E408="","",RANK($E408,$E$8:$E$507,0))</f>
        <v/>
      </c>
      <c r="I408">
        <f>IF($E408="","",IF($E408&gt;=85,"Excellent",IF($E408&gt;=70,"Good",IF($E408&gt;=50,"Fair","Needs Support"))))</f>
        <v/>
      </c>
    </row>
    <row r="409">
      <c r="A409">
        <f>IF(Students!A403="","",Students!A403)</f>
        <v/>
      </c>
      <c r="B409">
        <f>IF($A409="","",Students!B403)</f>
        <v/>
      </c>
      <c r="C409">
        <f>IF($A409="","",Students!C403)</f>
        <v/>
      </c>
      <c r="D409">
        <f>IF($A409="","",COUNTIFS(Assessments!G:G,$A409,Assessments!B:B,"&gt;="&amp;$B$4,Assessments!B:B,"&lt;="&amp;$B$5,Assessments!C:C,IF($E$4="",$B409,$E$4),Assessments!D:D,IF($E$5="",$C409,$E$5)))</f>
        <v/>
      </c>
      <c r="E409">
        <f>IF($D409=0,"",ROUND(AVERAGEIFS(Assessments!J:J,Assessments!G:G,$A409,Assessments!B:B,"&gt;="&amp;$B$4,Assessments!B:B,"&lt;="&amp;$B$5,Assessments!C:C,IF($E$4="",$B409,$E$4),Assessments!D:D,IF($E$5="",$C409,$E$5)),0))</f>
        <v/>
      </c>
      <c r="F409">
        <f>IF($D409=0,"",MAXIFS(Assessments!J:J,Assessments!G:G,$A409,Assessments!B:B,"&gt;="&amp;$B$4,Assessments!B:B,"&lt;="&amp;$B$5,Assessments!C:C,IF($E$4="",$B409,$E$4),Assessments!D:D,IF($E$5="",$C409,$E$5)))</f>
        <v/>
      </c>
      <c r="G409">
        <f>IF($D409=0,"",MINIFS(Assessments!J:J,Assessments!G:G,$A409,Assessments!B:B,"&gt;="&amp;$B$4,Assessments!B:B,"&lt;="&amp;$B$5,Assessments!C:C,IF($E$4="",$B409,$E$4),Assessments!D:D,IF($E$5="",$C409,$E$5)))</f>
        <v/>
      </c>
      <c r="H409">
        <f>IF($E409="","",RANK($E409,$E$8:$E$507,0))</f>
        <v/>
      </c>
      <c r="I409">
        <f>IF($E409="","",IF($E409&gt;=85,"Excellent",IF($E409&gt;=70,"Good",IF($E409&gt;=50,"Fair","Needs Support"))))</f>
        <v/>
      </c>
    </row>
    <row r="410">
      <c r="A410">
        <f>IF(Students!A404="","",Students!A404)</f>
        <v/>
      </c>
      <c r="B410">
        <f>IF($A410="","",Students!B404)</f>
        <v/>
      </c>
      <c r="C410">
        <f>IF($A410="","",Students!C404)</f>
        <v/>
      </c>
      <c r="D410">
        <f>IF($A410="","",COUNTIFS(Assessments!G:G,$A410,Assessments!B:B,"&gt;="&amp;$B$4,Assessments!B:B,"&lt;="&amp;$B$5,Assessments!C:C,IF($E$4="",$B410,$E$4),Assessments!D:D,IF($E$5="",$C410,$E$5)))</f>
        <v/>
      </c>
      <c r="E410">
        <f>IF($D410=0,"",ROUND(AVERAGEIFS(Assessments!J:J,Assessments!G:G,$A410,Assessments!B:B,"&gt;="&amp;$B$4,Assessments!B:B,"&lt;="&amp;$B$5,Assessments!C:C,IF($E$4="",$B410,$E$4),Assessments!D:D,IF($E$5="",$C410,$E$5)),0))</f>
        <v/>
      </c>
      <c r="F410">
        <f>IF($D410=0,"",MAXIFS(Assessments!J:J,Assessments!G:G,$A410,Assessments!B:B,"&gt;="&amp;$B$4,Assessments!B:B,"&lt;="&amp;$B$5,Assessments!C:C,IF($E$4="",$B410,$E$4),Assessments!D:D,IF($E$5="",$C410,$E$5)))</f>
        <v/>
      </c>
      <c r="G410">
        <f>IF($D410=0,"",MINIFS(Assessments!J:J,Assessments!G:G,$A410,Assessments!B:B,"&gt;="&amp;$B$4,Assessments!B:B,"&lt;="&amp;$B$5,Assessments!C:C,IF($E$4="",$B410,$E$4),Assessments!D:D,IF($E$5="",$C410,$E$5)))</f>
        <v/>
      </c>
      <c r="H410">
        <f>IF($E410="","",RANK($E410,$E$8:$E$507,0))</f>
        <v/>
      </c>
      <c r="I410">
        <f>IF($E410="","",IF($E410&gt;=85,"Excellent",IF($E410&gt;=70,"Good",IF($E410&gt;=50,"Fair","Needs Support"))))</f>
        <v/>
      </c>
    </row>
    <row r="411">
      <c r="A411">
        <f>IF(Students!A405="","",Students!A405)</f>
        <v/>
      </c>
      <c r="B411">
        <f>IF($A411="","",Students!B405)</f>
        <v/>
      </c>
      <c r="C411">
        <f>IF($A411="","",Students!C405)</f>
        <v/>
      </c>
      <c r="D411">
        <f>IF($A411="","",COUNTIFS(Assessments!G:G,$A411,Assessments!B:B,"&gt;="&amp;$B$4,Assessments!B:B,"&lt;="&amp;$B$5,Assessments!C:C,IF($E$4="",$B411,$E$4),Assessments!D:D,IF($E$5="",$C411,$E$5)))</f>
        <v/>
      </c>
      <c r="E411">
        <f>IF($D411=0,"",ROUND(AVERAGEIFS(Assessments!J:J,Assessments!G:G,$A411,Assessments!B:B,"&gt;="&amp;$B$4,Assessments!B:B,"&lt;="&amp;$B$5,Assessments!C:C,IF($E$4="",$B411,$E$4),Assessments!D:D,IF($E$5="",$C411,$E$5)),0))</f>
        <v/>
      </c>
      <c r="F411">
        <f>IF($D411=0,"",MAXIFS(Assessments!J:J,Assessments!G:G,$A411,Assessments!B:B,"&gt;="&amp;$B$4,Assessments!B:B,"&lt;="&amp;$B$5,Assessments!C:C,IF($E$4="",$B411,$E$4),Assessments!D:D,IF($E$5="",$C411,$E$5)))</f>
        <v/>
      </c>
      <c r="G411">
        <f>IF($D411=0,"",MINIFS(Assessments!J:J,Assessments!G:G,$A411,Assessments!B:B,"&gt;="&amp;$B$4,Assessments!B:B,"&lt;="&amp;$B$5,Assessments!C:C,IF($E$4="",$B411,$E$4),Assessments!D:D,IF($E$5="",$C411,$E$5)))</f>
        <v/>
      </c>
      <c r="H411">
        <f>IF($E411="","",RANK($E411,$E$8:$E$507,0))</f>
        <v/>
      </c>
      <c r="I411">
        <f>IF($E411="","",IF($E411&gt;=85,"Excellent",IF($E411&gt;=70,"Good",IF($E411&gt;=50,"Fair","Needs Support"))))</f>
        <v/>
      </c>
    </row>
    <row r="412">
      <c r="A412">
        <f>IF(Students!A406="","",Students!A406)</f>
        <v/>
      </c>
      <c r="B412">
        <f>IF($A412="","",Students!B406)</f>
        <v/>
      </c>
      <c r="C412">
        <f>IF($A412="","",Students!C406)</f>
        <v/>
      </c>
      <c r="D412">
        <f>IF($A412="","",COUNTIFS(Assessments!G:G,$A412,Assessments!B:B,"&gt;="&amp;$B$4,Assessments!B:B,"&lt;="&amp;$B$5,Assessments!C:C,IF($E$4="",$B412,$E$4),Assessments!D:D,IF($E$5="",$C412,$E$5)))</f>
        <v/>
      </c>
      <c r="E412">
        <f>IF($D412=0,"",ROUND(AVERAGEIFS(Assessments!J:J,Assessments!G:G,$A412,Assessments!B:B,"&gt;="&amp;$B$4,Assessments!B:B,"&lt;="&amp;$B$5,Assessments!C:C,IF($E$4="",$B412,$E$4),Assessments!D:D,IF($E$5="",$C412,$E$5)),0))</f>
        <v/>
      </c>
      <c r="F412">
        <f>IF($D412=0,"",MAXIFS(Assessments!J:J,Assessments!G:G,$A412,Assessments!B:B,"&gt;="&amp;$B$4,Assessments!B:B,"&lt;="&amp;$B$5,Assessments!C:C,IF($E$4="",$B412,$E$4),Assessments!D:D,IF($E$5="",$C412,$E$5)))</f>
        <v/>
      </c>
      <c r="G412">
        <f>IF($D412=0,"",MINIFS(Assessments!J:J,Assessments!G:G,$A412,Assessments!B:B,"&gt;="&amp;$B$4,Assessments!B:B,"&lt;="&amp;$B$5,Assessments!C:C,IF($E$4="",$B412,$E$4),Assessments!D:D,IF($E$5="",$C412,$E$5)))</f>
        <v/>
      </c>
      <c r="H412">
        <f>IF($E412="","",RANK($E412,$E$8:$E$507,0))</f>
        <v/>
      </c>
      <c r="I412">
        <f>IF($E412="","",IF($E412&gt;=85,"Excellent",IF($E412&gt;=70,"Good",IF($E412&gt;=50,"Fair","Needs Support"))))</f>
        <v/>
      </c>
    </row>
    <row r="413">
      <c r="A413">
        <f>IF(Students!A407="","",Students!A407)</f>
        <v/>
      </c>
      <c r="B413">
        <f>IF($A413="","",Students!B407)</f>
        <v/>
      </c>
      <c r="C413">
        <f>IF($A413="","",Students!C407)</f>
        <v/>
      </c>
      <c r="D413">
        <f>IF($A413="","",COUNTIFS(Assessments!G:G,$A413,Assessments!B:B,"&gt;="&amp;$B$4,Assessments!B:B,"&lt;="&amp;$B$5,Assessments!C:C,IF($E$4="",$B413,$E$4),Assessments!D:D,IF($E$5="",$C413,$E$5)))</f>
        <v/>
      </c>
      <c r="E413">
        <f>IF($D413=0,"",ROUND(AVERAGEIFS(Assessments!J:J,Assessments!G:G,$A413,Assessments!B:B,"&gt;="&amp;$B$4,Assessments!B:B,"&lt;="&amp;$B$5,Assessments!C:C,IF($E$4="",$B413,$E$4),Assessments!D:D,IF($E$5="",$C413,$E$5)),0))</f>
        <v/>
      </c>
      <c r="F413">
        <f>IF($D413=0,"",MAXIFS(Assessments!J:J,Assessments!G:G,$A413,Assessments!B:B,"&gt;="&amp;$B$4,Assessments!B:B,"&lt;="&amp;$B$5,Assessments!C:C,IF($E$4="",$B413,$E$4),Assessments!D:D,IF($E$5="",$C413,$E$5)))</f>
        <v/>
      </c>
      <c r="G413">
        <f>IF($D413=0,"",MINIFS(Assessments!J:J,Assessments!G:G,$A413,Assessments!B:B,"&gt;="&amp;$B$4,Assessments!B:B,"&lt;="&amp;$B$5,Assessments!C:C,IF($E$4="",$B413,$E$4),Assessments!D:D,IF($E$5="",$C413,$E$5)))</f>
        <v/>
      </c>
      <c r="H413">
        <f>IF($E413="","",RANK($E413,$E$8:$E$507,0))</f>
        <v/>
      </c>
      <c r="I413">
        <f>IF($E413="","",IF($E413&gt;=85,"Excellent",IF($E413&gt;=70,"Good",IF($E413&gt;=50,"Fair","Needs Support"))))</f>
        <v/>
      </c>
    </row>
    <row r="414">
      <c r="A414">
        <f>IF(Students!A408="","",Students!A408)</f>
        <v/>
      </c>
      <c r="B414">
        <f>IF($A414="","",Students!B408)</f>
        <v/>
      </c>
      <c r="C414">
        <f>IF($A414="","",Students!C408)</f>
        <v/>
      </c>
      <c r="D414">
        <f>IF($A414="","",COUNTIFS(Assessments!G:G,$A414,Assessments!B:B,"&gt;="&amp;$B$4,Assessments!B:B,"&lt;="&amp;$B$5,Assessments!C:C,IF($E$4="",$B414,$E$4),Assessments!D:D,IF($E$5="",$C414,$E$5)))</f>
        <v/>
      </c>
      <c r="E414">
        <f>IF($D414=0,"",ROUND(AVERAGEIFS(Assessments!J:J,Assessments!G:G,$A414,Assessments!B:B,"&gt;="&amp;$B$4,Assessments!B:B,"&lt;="&amp;$B$5,Assessments!C:C,IF($E$4="",$B414,$E$4),Assessments!D:D,IF($E$5="",$C414,$E$5)),0))</f>
        <v/>
      </c>
      <c r="F414">
        <f>IF($D414=0,"",MAXIFS(Assessments!J:J,Assessments!G:G,$A414,Assessments!B:B,"&gt;="&amp;$B$4,Assessments!B:B,"&lt;="&amp;$B$5,Assessments!C:C,IF($E$4="",$B414,$E$4),Assessments!D:D,IF($E$5="",$C414,$E$5)))</f>
        <v/>
      </c>
      <c r="G414">
        <f>IF($D414=0,"",MINIFS(Assessments!J:J,Assessments!G:G,$A414,Assessments!B:B,"&gt;="&amp;$B$4,Assessments!B:B,"&lt;="&amp;$B$5,Assessments!C:C,IF($E$4="",$B414,$E$4),Assessments!D:D,IF($E$5="",$C414,$E$5)))</f>
        <v/>
      </c>
      <c r="H414">
        <f>IF($E414="","",RANK($E414,$E$8:$E$507,0))</f>
        <v/>
      </c>
      <c r="I414">
        <f>IF($E414="","",IF($E414&gt;=85,"Excellent",IF($E414&gt;=70,"Good",IF($E414&gt;=50,"Fair","Needs Support"))))</f>
        <v/>
      </c>
    </row>
    <row r="415">
      <c r="A415">
        <f>IF(Students!A409="","",Students!A409)</f>
        <v/>
      </c>
      <c r="B415">
        <f>IF($A415="","",Students!B409)</f>
        <v/>
      </c>
      <c r="C415">
        <f>IF($A415="","",Students!C409)</f>
        <v/>
      </c>
      <c r="D415">
        <f>IF($A415="","",COUNTIFS(Assessments!G:G,$A415,Assessments!B:B,"&gt;="&amp;$B$4,Assessments!B:B,"&lt;="&amp;$B$5,Assessments!C:C,IF($E$4="",$B415,$E$4),Assessments!D:D,IF($E$5="",$C415,$E$5)))</f>
        <v/>
      </c>
      <c r="E415">
        <f>IF($D415=0,"",ROUND(AVERAGEIFS(Assessments!J:J,Assessments!G:G,$A415,Assessments!B:B,"&gt;="&amp;$B$4,Assessments!B:B,"&lt;="&amp;$B$5,Assessments!C:C,IF($E$4="",$B415,$E$4),Assessments!D:D,IF($E$5="",$C415,$E$5)),0))</f>
        <v/>
      </c>
      <c r="F415">
        <f>IF($D415=0,"",MAXIFS(Assessments!J:J,Assessments!G:G,$A415,Assessments!B:B,"&gt;="&amp;$B$4,Assessments!B:B,"&lt;="&amp;$B$5,Assessments!C:C,IF($E$4="",$B415,$E$4),Assessments!D:D,IF($E$5="",$C415,$E$5)))</f>
        <v/>
      </c>
      <c r="G415">
        <f>IF($D415=0,"",MINIFS(Assessments!J:J,Assessments!G:G,$A415,Assessments!B:B,"&gt;="&amp;$B$4,Assessments!B:B,"&lt;="&amp;$B$5,Assessments!C:C,IF($E$4="",$B415,$E$4),Assessments!D:D,IF($E$5="",$C415,$E$5)))</f>
        <v/>
      </c>
      <c r="H415">
        <f>IF($E415="","",RANK($E415,$E$8:$E$507,0))</f>
        <v/>
      </c>
      <c r="I415">
        <f>IF($E415="","",IF($E415&gt;=85,"Excellent",IF($E415&gt;=70,"Good",IF($E415&gt;=50,"Fair","Needs Support"))))</f>
        <v/>
      </c>
    </row>
    <row r="416">
      <c r="A416">
        <f>IF(Students!A410="","",Students!A410)</f>
        <v/>
      </c>
      <c r="B416">
        <f>IF($A416="","",Students!B410)</f>
        <v/>
      </c>
      <c r="C416">
        <f>IF($A416="","",Students!C410)</f>
        <v/>
      </c>
      <c r="D416">
        <f>IF($A416="","",COUNTIFS(Assessments!G:G,$A416,Assessments!B:B,"&gt;="&amp;$B$4,Assessments!B:B,"&lt;="&amp;$B$5,Assessments!C:C,IF($E$4="",$B416,$E$4),Assessments!D:D,IF($E$5="",$C416,$E$5)))</f>
        <v/>
      </c>
      <c r="E416">
        <f>IF($D416=0,"",ROUND(AVERAGEIFS(Assessments!J:J,Assessments!G:G,$A416,Assessments!B:B,"&gt;="&amp;$B$4,Assessments!B:B,"&lt;="&amp;$B$5,Assessments!C:C,IF($E$4="",$B416,$E$4),Assessments!D:D,IF($E$5="",$C416,$E$5)),0))</f>
        <v/>
      </c>
      <c r="F416">
        <f>IF($D416=0,"",MAXIFS(Assessments!J:J,Assessments!G:G,$A416,Assessments!B:B,"&gt;="&amp;$B$4,Assessments!B:B,"&lt;="&amp;$B$5,Assessments!C:C,IF($E$4="",$B416,$E$4),Assessments!D:D,IF($E$5="",$C416,$E$5)))</f>
        <v/>
      </c>
      <c r="G416">
        <f>IF($D416=0,"",MINIFS(Assessments!J:J,Assessments!G:G,$A416,Assessments!B:B,"&gt;="&amp;$B$4,Assessments!B:B,"&lt;="&amp;$B$5,Assessments!C:C,IF($E$4="",$B416,$E$4),Assessments!D:D,IF($E$5="",$C416,$E$5)))</f>
        <v/>
      </c>
      <c r="H416">
        <f>IF($E416="","",RANK($E416,$E$8:$E$507,0))</f>
        <v/>
      </c>
      <c r="I416">
        <f>IF($E416="","",IF($E416&gt;=85,"Excellent",IF($E416&gt;=70,"Good",IF($E416&gt;=50,"Fair","Needs Support"))))</f>
        <v/>
      </c>
    </row>
    <row r="417">
      <c r="A417">
        <f>IF(Students!A411="","",Students!A411)</f>
        <v/>
      </c>
      <c r="B417">
        <f>IF($A417="","",Students!B411)</f>
        <v/>
      </c>
      <c r="C417">
        <f>IF($A417="","",Students!C411)</f>
        <v/>
      </c>
      <c r="D417">
        <f>IF($A417="","",COUNTIFS(Assessments!G:G,$A417,Assessments!B:B,"&gt;="&amp;$B$4,Assessments!B:B,"&lt;="&amp;$B$5,Assessments!C:C,IF($E$4="",$B417,$E$4),Assessments!D:D,IF($E$5="",$C417,$E$5)))</f>
        <v/>
      </c>
      <c r="E417">
        <f>IF($D417=0,"",ROUND(AVERAGEIFS(Assessments!J:J,Assessments!G:G,$A417,Assessments!B:B,"&gt;="&amp;$B$4,Assessments!B:B,"&lt;="&amp;$B$5,Assessments!C:C,IF($E$4="",$B417,$E$4),Assessments!D:D,IF($E$5="",$C417,$E$5)),0))</f>
        <v/>
      </c>
      <c r="F417">
        <f>IF($D417=0,"",MAXIFS(Assessments!J:J,Assessments!G:G,$A417,Assessments!B:B,"&gt;="&amp;$B$4,Assessments!B:B,"&lt;="&amp;$B$5,Assessments!C:C,IF($E$4="",$B417,$E$4),Assessments!D:D,IF($E$5="",$C417,$E$5)))</f>
        <v/>
      </c>
      <c r="G417">
        <f>IF($D417=0,"",MINIFS(Assessments!J:J,Assessments!G:G,$A417,Assessments!B:B,"&gt;="&amp;$B$4,Assessments!B:B,"&lt;="&amp;$B$5,Assessments!C:C,IF($E$4="",$B417,$E$4),Assessments!D:D,IF($E$5="",$C417,$E$5)))</f>
        <v/>
      </c>
      <c r="H417">
        <f>IF($E417="","",RANK($E417,$E$8:$E$507,0))</f>
        <v/>
      </c>
      <c r="I417">
        <f>IF($E417="","",IF($E417&gt;=85,"Excellent",IF($E417&gt;=70,"Good",IF($E417&gt;=50,"Fair","Needs Support"))))</f>
        <v/>
      </c>
    </row>
    <row r="418">
      <c r="A418">
        <f>IF(Students!A412="","",Students!A412)</f>
        <v/>
      </c>
      <c r="B418">
        <f>IF($A418="","",Students!B412)</f>
        <v/>
      </c>
      <c r="C418">
        <f>IF($A418="","",Students!C412)</f>
        <v/>
      </c>
      <c r="D418">
        <f>IF($A418="","",COUNTIFS(Assessments!G:G,$A418,Assessments!B:B,"&gt;="&amp;$B$4,Assessments!B:B,"&lt;="&amp;$B$5,Assessments!C:C,IF($E$4="",$B418,$E$4),Assessments!D:D,IF($E$5="",$C418,$E$5)))</f>
        <v/>
      </c>
      <c r="E418">
        <f>IF($D418=0,"",ROUND(AVERAGEIFS(Assessments!J:J,Assessments!G:G,$A418,Assessments!B:B,"&gt;="&amp;$B$4,Assessments!B:B,"&lt;="&amp;$B$5,Assessments!C:C,IF($E$4="",$B418,$E$4),Assessments!D:D,IF($E$5="",$C418,$E$5)),0))</f>
        <v/>
      </c>
      <c r="F418">
        <f>IF($D418=0,"",MAXIFS(Assessments!J:J,Assessments!G:G,$A418,Assessments!B:B,"&gt;="&amp;$B$4,Assessments!B:B,"&lt;="&amp;$B$5,Assessments!C:C,IF($E$4="",$B418,$E$4),Assessments!D:D,IF($E$5="",$C418,$E$5)))</f>
        <v/>
      </c>
      <c r="G418">
        <f>IF($D418=0,"",MINIFS(Assessments!J:J,Assessments!G:G,$A418,Assessments!B:B,"&gt;="&amp;$B$4,Assessments!B:B,"&lt;="&amp;$B$5,Assessments!C:C,IF($E$4="",$B418,$E$4),Assessments!D:D,IF($E$5="",$C418,$E$5)))</f>
        <v/>
      </c>
      <c r="H418">
        <f>IF($E418="","",RANK($E418,$E$8:$E$507,0))</f>
        <v/>
      </c>
      <c r="I418">
        <f>IF($E418="","",IF($E418&gt;=85,"Excellent",IF($E418&gt;=70,"Good",IF($E418&gt;=50,"Fair","Needs Support"))))</f>
        <v/>
      </c>
    </row>
    <row r="419">
      <c r="A419">
        <f>IF(Students!A413="","",Students!A413)</f>
        <v/>
      </c>
      <c r="B419">
        <f>IF($A419="","",Students!B413)</f>
        <v/>
      </c>
      <c r="C419">
        <f>IF($A419="","",Students!C413)</f>
        <v/>
      </c>
      <c r="D419">
        <f>IF($A419="","",COUNTIFS(Assessments!G:G,$A419,Assessments!B:B,"&gt;="&amp;$B$4,Assessments!B:B,"&lt;="&amp;$B$5,Assessments!C:C,IF($E$4="",$B419,$E$4),Assessments!D:D,IF($E$5="",$C419,$E$5)))</f>
        <v/>
      </c>
      <c r="E419">
        <f>IF($D419=0,"",ROUND(AVERAGEIFS(Assessments!J:J,Assessments!G:G,$A419,Assessments!B:B,"&gt;="&amp;$B$4,Assessments!B:B,"&lt;="&amp;$B$5,Assessments!C:C,IF($E$4="",$B419,$E$4),Assessments!D:D,IF($E$5="",$C419,$E$5)),0))</f>
        <v/>
      </c>
      <c r="F419">
        <f>IF($D419=0,"",MAXIFS(Assessments!J:J,Assessments!G:G,$A419,Assessments!B:B,"&gt;="&amp;$B$4,Assessments!B:B,"&lt;="&amp;$B$5,Assessments!C:C,IF($E$4="",$B419,$E$4),Assessments!D:D,IF($E$5="",$C419,$E$5)))</f>
        <v/>
      </c>
      <c r="G419">
        <f>IF($D419=0,"",MINIFS(Assessments!J:J,Assessments!G:G,$A419,Assessments!B:B,"&gt;="&amp;$B$4,Assessments!B:B,"&lt;="&amp;$B$5,Assessments!C:C,IF($E$4="",$B419,$E$4),Assessments!D:D,IF($E$5="",$C419,$E$5)))</f>
        <v/>
      </c>
      <c r="H419">
        <f>IF($E419="","",RANK($E419,$E$8:$E$507,0))</f>
        <v/>
      </c>
      <c r="I419">
        <f>IF($E419="","",IF($E419&gt;=85,"Excellent",IF($E419&gt;=70,"Good",IF($E419&gt;=50,"Fair","Needs Support"))))</f>
        <v/>
      </c>
    </row>
    <row r="420">
      <c r="A420">
        <f>IF(Students!A414="","",Students!A414)</f>
        <v/>
      </c>
      <c r="B420">
        <f>IF($A420="","",Students!B414)</f>
        <v/>
      </c>
      <c r="C420">
        <f>IF($A420="","",Students!C414)</f>
        <v/>
      </c>
      <c r="D420">
        <f>IF($A420="","",COUNTIFS(Assessments!G:G,$A420,Assessments!B:B,"&gt;="&amp;$B$4,Assessments!B:B,"&lt;="&amp;$B$5,Assessments!C:C,IF($E$4="",$B420,$E$4),Assessments!D:D,IF($E$5="",$C420,$E$5)))</f>
        <v/>
      </c>
      <c r="E420">
        <f>IF($D420=0,"",ROUND(AVERAGEIFS(Assessments!J:J,Assessments!G:G,$A420,Assessments!B:B,"&gt;="&amp;$B$4,Assessments!B:B,"&lt;="&amp;$B$5,Assessments!C:C,IF($E$4="",$B420,$E$4),Assessments!D:D,IF($E$5="",$C420,$E$5)),0))</f>
        <v/>
      </c>
      <c r="F420">
        <f>IF($D420=0,"",MAXIFS(Assessments!J:J,Assessments!G:G,$A420,Assessments!B:B,"&gt;="&amp;$B$4,Assessments!B:B,"&lt;="&amp;$B$5,Assessments!C:C,IF($E$4="",$B420,$E$4),Assessments!D:D,IF($E$5="",$C420,$E$5)))</f>
        <v/>
      </c>
      <c r="G420">
        <f>IF($D420=0,"",MINIFS(Assessments!J:J,Assessments!G:G,$A420,Assessments!B:B,"&gt;="&amp;$B$4,Assessments!B:B,"&lt;="&amp;$B$5,Assessments!C:C,IF($E$4="",$B420,$E$4),Assessments!D:D,IF($E$5="",$C420,$E$5)))</f>
        <v/>
      </c>
      <c r="H420">
        <f>IF($E420="","",RANK($E420,$E$8:$E$507,0))</f>
        <v/>
      </c>
      <c r="I420">
        <f>IF($E420="","",IF($E420&gt;=85,"Excellent",IF($E420&gt;=70,"Good",IF($E420&gt;=50,"Fair","Needs Support"))))</f>
        <v/>
      </c>
    </row>
    <row r="421">
      <c r="A421">
        <f>IF(Students!A415="","",Students!A415)</f>
        <v/>
      </c>
      <c r="B421">
        <f>IF($A421="","",Students!B415)</f>
        <v/>
      </c>
      <c r="C421">
        <f>IF($A421="","",Students!C415)</f>
        <v/>
      </c>
      <c r="D421">
        <f>IF($A421="","",COUNTIFS(Assessments!G:G,$A421,Assessments!B:B,"&gt;="&amp;$B$4,Assessments!B:B,"&lt;="&amp;$B$5,Assessments!C:C,IF($E$4="",$B421,$E$4),Assessments!D:D,IF($E$5="",$C421,$E$5)))</f>
        <v/>
      </c>
      <c r="E421">
        <f>IF($D421=0,"",ROUND(AVERAGEIFS(Assessments!J:J,Assessments!G:G,$A421,Assessments!B:B,"&gt;="&amp;$B$4,Assessments!B:B,"&lt;="&amp;$B$5,Assessments!C:C,IF($E$4="",$B421,$E$4),Assessments!D:D,IF($E$5="",$C421,$E$5)),0))</f>
        <v/>
      </c>
      <c r="F421">
        <f>IF($D421=0,"",MAXIFS(Assessments!J:J,Assessments!G:G,$A421,Assessments!B:B,"&gt;="&amp;$B$4,Assessments!B:B,"&lt;="&amp;$B$5,Assessments!C:C,IF($E$4="",$B421,$E$4),Assessments!D:D,IF($E$5="",$C421,$E$5)))</f>
        <v/>
      </c>
      <c r="G421">
        <f>IF($D421=0,"",MINIFS(Assessments!J:J,Assessments!G:G,$A421,Assessments!B:B,"&gt;="&amp;$B$4,Assessments!B:B,"&lt;="&amp;$B$5,Assessments!C:C,IF($E$4="",$B421,$E$4),Assessments!D:D,IF($E$5="",$C421,$E$5)))</f>
        <v/>
      </c>
      <c r="H421">
        <f>IF($E421="","",RANK($E421,$E$8:$E$507,0))</f>
        <v/>
      </c>
      <c r="I421">
        <f>IF($E421="","",IF($E421&gt;=85,"Excellent",IF($E421&gt;=70,"Good",IF($E421&gt;=50,"Fair","Needs Support"))))</f>
        <v/>
      </c>
    </row>
    <row r="422">
      <c r="A422">
        <f>IF(Students!A416="","",Students!A416)</f>
        <v/>
      </c>
      <c r="B422">
        <f>IF($A422="","",Students!B416)</f>
        <v/>
      </c>
      <c r="C422">
        <f>IF($A422="","",Students!C416)</f>
        <v/>
      </c>
      <c r="D422">
        <f>IF($A422="","",COUNTIFS(Assessments!G:G,$A422,Assessments!B:B,"&gt;="&amp;$B$4,Assessments!B:B,"&lt;="&amp;$B$5,Assessments!C:C,IF($E$4="",$B422,$E$4),Assessments!D:D,IF($E$5="",$C422,$E$5)))</f>
        <v/>
      </c>
      <c r="E422">
        <f>IF($D422=0,"",ROUND(AVERAGEIFS(Assessments!J:J,Assessments!G:G,$A422,Assessments!B:B,"&gt;="&amp;$B$4,Assessments!B:B,"&lt;="&amp;$B$5,Assessments!C:C,IF($E$4="",$B422,$E$4),Assessments!D:D,IF($E$5="",$C422,$E$5)),0))</f>
        <v/>
      </c>
      <c r="F422">
        <f>IF($D422=0,"",MAXIFS(Assessments!J:J,Assessments!G:G,$A422,Assessments!B:B,"&gt;="&amp;$B$4,Assessments!B:B,"&lt;="&amp;$B$5,Assessments!C:C,IF($E$4="",$B422,$E$4),Assessments!D:D,IF($E$5="",$C422,$E$5)))</f>
        <v/>
      </c>
      <c r="G422">
        <f>IF($D422=0,"",MINIFS(Assessments!J:J,Assessments!G:G,$A422,Assessments!B:B,"&gt;="&amp;$B$4,Assessments!B:B,"&lt;="&amp;$B$5,Assessments!C:C,IF($E$4="",$B422,$E$4),Assessments!D:D,IF($E$5="",$C422,$E$5)))</f>
        <v/>
      </c>
      <c r="H422">
        <f>IF($E422="","",RANK($E422,$E$8:$E$507,0))</f>
        <v/>
      </c>
      <c r="I422">
        <f>IF($E422="","",IF($E422&gt;=85,"Excellent",IF($E422&gt;=70,"Good",IF($E422&gt;=50,"Fair","Needs Support"))))</f>
        <v/>
      </c>
    </row>
    <row r="423">
      <c r="A423">
        <f>IF(Students!A417="","",Students!A417)</f>
        <v/>
      </c>
      <c r="B423">
        <f>IF($A423="","",Students!B417)</f>
        <v/>
      </c>
      <c r="C423">
        <f>IF($A423="","",Students!C417)</f>
        <v/>
      </c>
      <c r="D423">
        <f>IF($A423="","",COUNTIFS(Assessments!G:G,$A423,Assessments!B:B,"&gt;="&amp;$B$4,Assessments!B:B,"&lt;="&amp;$B$5,Assessments!C:C,IF($E$4="",$B423,$E$4),Assessments!D:D,IF($E$5="",$C423,$E$5)))</f>
        <v/>
      </c>
      <c r="E423">
        <f>IF($D423=0,"",ROUND(AVERAGEIFS(Assessments!J:J,Assessments!G:G,$A423,Assessments!B:B,"&gt;="&amp;$B$4,Assessments!B:B,"&lt;="&amp;$B$5,Assessments!C:C,IF($E$4="",$B423,$E$4),Assessments!D:D,IF($E$5="",$C423,$E$5)),0))</f>
        <v/>
      </c>
      <c r="F423">
        <f>IF($D423=0,"",MAXIFS(Assessments!J:J,Assessments!G:G,$A423,Assessments!B:B,"&gt;="&amp;$B$4,Assessments!B:B,"&lt;="&amp;$B$5,Assessments!C:C,IF($E$4="",$B423,$E$4),Assessments!D:D,IF($E$5="",$C423,$E$5)))</f>
        <v/>
      </c>
      <c r="G423">
        <f>IF($D423=0,"",MINIFS(Assessments!J:J,Assessments!G:G,$A423,Assessments!B:B,"&gt;="&amp;$B$4,Assessments!B:B,"&lt;="&amp;$B$5,Assessments!C:C,IF($E$4="",$B423,$E$4),Assessments!D:D,IF($E$5="",$C423,$E$5)))</f>
        <v/>
      </c>
      <c r="H423">
        <f>IF($E423="","",RANK($E423,$E$8:$E$507,0))</f>
        <v/>
      </c>
      <c r="I423">
        <f>IF($E423="","",IF($E423&gt;=85,"Excellent",IF($E423&gt;=70,"Good",IF($E423&gt;=50,"Fair","Needs Support"))))</f>
        <v/>
      </c>
    </row>
    <row r="424">
      <c r="A424">
        <f>IF(Students!A418="","",Students!A418)</f>
        <v/>
      </c>
      <c r="B424">
        <f>IF($A424="","",Students!B418)</f>
        <v/>
      </c>
      <c r="C424">
        <f>IF($A424="","",Students!C418)</f>
        <v/>
      </c>
      <c r="D424">
        <f>IF($A424="","",COUNTIFS(Assessments!G:G,$A424,Assessments!B:B,"&gt;="&amp;$B$4,Assessments!B:B,"&lt;="&amp;$B$5,Assessments!C:C,IF($E$4="",$B424,$E$4),Assessments!D:D,IF($E$5="",$C424,$E$5)))</f>
        <v/>
      </c>
      <c r="E424">
        <f>IF($D424=0,"",ROUND(AVERAGEIFS(Assessments!J:J,Assessments!G:G,$A424,Assessments!B:B,"&gt;="&amp;$B$4,Assessments!B:B,"&lt;="&amp;$B$5,Assessments!C:C,IF($E$4="",$B424,$E$4),Assessments!D:D,IF($E$5="",$C424,$E$5)),0))</f>
        <v/>
      </c>
      <c r="F424">
        <f>IF($D424=0,"",MAXIFS(Assessments!J:J,Assessments!G:G,$A424,Assessments!B:B,"&gt;="&amp;$B$4,Assessments!B:B,"&lt;="&amp;$B$5,Assessments!C:C,IF($E$4="",$B424,$E$4),Assessments!D:D,IF($E$5="",$C424,$E$5)))</f>
        <v/>
      </c>
      <c r="G424">
        <f>IF($D424=0,"",MINIFS(Assessments!J:J,Assessments!G:G,$A424,Assessments!B:B,"&gt;="&amp;$B$4,Assessments!B:B,"&lt;="&amp;$B$5,Assessments!C:C,IF($E$4="",$B424,$E$4),Assessments!D:D,IF($E$5="",$C424,$E$5)))</f>
        <v/>
      </c>
      <c r="H424">
        <f>IF($E424="","",RANK($E424,$E$8:$E$507,0))</f>
        <v/>
      </c>
      <c r="I424">
        <f>IF($E424="","",IF($E424&gt;=85,"Excellent",IF($E424&gt;=70,"Good",IF($E424&gt;=50,"Fair","Needs Support"))))</f>
        <v/>
      </c>
    </row>
    <row r="425">
      <c r="A425">
        <f>IF(Students!A419="","",Students!A419)</f>
        <v/>
      </c>
      <c r="B425">
        <f>IF($A425="","",Students!B419)</f>
        <v/>
      </c>
      <c r="C425">
        <f>IF($A425="","",Students!C419)</f>
        <v/>
      </c>
      <c r="D425">
        <f>IF($A425="","",COUNTIFS(Assessments!G:G,$A425,Assessments!B:B,"&gt;="&amp;$B$4,Assessments!B:B,"&lt;="&amp;$B$5,Assessments!C:C,IF($E$4="",$B425,$E$4),Assessments!D:D,IF($E$5="",$C425,$E$5)))</f>
        <v/>
      </c>
      <c r="E425">
        <f>IF($D425=0,"",ROUND(AVERAGEIFS(Assessments!J:J,Assessments!G:G,$A425,Assessments!B:B,"&gt;="&amp;$B$4,Assessments!B:B,"&lt;="&amp;$B$5,Assessments!C:C,IF($E$4="",$B425,$E$4),Assessments!D:D,IF($E$5="",$C425,$E$5)),0))</f>
        <v/>
      </c>
      <c r="F425">
        <f>IF($D425=0,"",MAXIFS(Assessments!J:J,Assessments!G:G,$A425,Assessments!B:B,"&gt;="&amp;$B$4,Assessments!B:B,"&lt;="&amp;$B$5,Assessments!C:C,IF($E$4="",$B425,$E$4),Assessments!D:D,IF($E$5="",$C425,$E$5)))</f>
        <v/>
      </c>
      <c r="G425">
        <f>IF($D425=0,"",MINIFS(Assessments!J:J,Assessments!G:G,$A425,Assessments!B:B,"&gt;="&amp;$B$4,Assessments!B:B,"&lt;="&amp;$B$5,Assessments!C:C,IF($E$4="",$B425,$E$4),Assessments!D:D,IF($E$5="",$C425,$E$5)))</f>
        <v/>
      </c>
      <c r="H425">
        <f>IF($E425="","",RANK($E425,$E$8:$E$507,0))</f>
        <v/>
      </c>
      <c r="I425">
        <f>IF($E425="","",IF($E425&gt;=85,"Excellent",IF($E425&gt;=70,"Good",IF($E425&gt;=50,"Fair","Needs Support"))))</f>
        <v/>
      </c>
    </row>
    <row r="426">
      <c r="A426">
        <f>IF(Students!A420="","",Students!A420)</f>
        <v/>
      </c>
      <c r="B426">
        <f>IF($A426="","",Students!B420)</f>
        <v/>
      </c>
      <c r="C426">
        <f>IF($A426="","",Students!C420)</f>
        <v/>
      </c>
      <c r="D426">
        <f>IF($A426="","",COUNTIFS(Assessments!G:G,$A426,Assessments!B:B,"&gt;="&amp;$B$4,Assessments!B:B,"&lt;="&amp;$B$5,Assessments!C:C,IF($E$4="",$B426,$E$4),Assessments!D:D,IF($E$5="",$C426,$E$5)))</f>
        <v/>
      </c>
      <c r="E426">
        <f>IF($D426=0,"",ROUND(AVERAGEIFS(Assessments!J:J,Assessments!G:G,$A426,Assessments!B:B,"&gt;="&amp;$B$4,Assessments!B:B,"&lt;="&amp;$B$5,Assessments!C:C,IF($E$4="",$B426,$E$4),Assessments!D:D,IF($E$5="",$C426,$E$5)),0))</f>
        <v/>
      </c>
      <c r="F426">
        <f>IF($D426=0,"",MAXIFS(Assessments!J:J,Assessments!G:G,$A426,Assessments!B:B,"&gt;="&amp;$B$4,Assessments!B:B,"&lt;="&amp;$B$5,Assessments!C:C,IF($E$4="",$B426,$E$4),Assessments!D:D,IF($E$5="",$C426,$E$5)))</f>
        <v/>
      </c>
      <c r="G426">
        <f>IF($D426=0,"",MINIFS(Assessments!J:J,Assessments!G:G,$A426,Assessments!B:B,"&gt;="&amp;$B$4,Assessments!B:B,"&lt;="&amp;$B$5,Assessments!C:C,IF($E$4="",$B426,$E$4),Assessments!D:D,IF($E$5="",$C426,$E$5)))</f>
        <v/>
      </c>
      <c r="H426">
        <f>IF($E426="","",RANK($E426,$E$8:$E$507,0))</f>
        <v/>
      </c>
      <c r="I426">
        <f>IF($E426="","",IF($E426&gt;=85,"Excellent",IF($E426&gt;=70,"Good",IF($E426&gt;=50,"Fair","Needs Support"))))</f>
        <v/>
      </c>
    </row>
    <row r="427">
      <c r="A427">
        <f>IF(Students!A421="","",Students!A421)</f>
        <v/>
      </c>
      <c r="B427">
        <f>IF($A427="","",Students!B421)</f>
        <v/>
      </c>
      <c r="C427">
        <f>IF($A427="","",Students!C421)</f>
        <v/>
      </c>
      <c r="D427">
        <f>IF($A427="","",COUNTIFS(Assessments!G:G,$A427,Assessments!B:B,"&gt;="&amp;$B$4,Assessments!B:B,"&lt;="&amp;$B$5,Assessments!C:C,IF($E$4="",$B427,$E$4),Assessments!D:D,IF($E$5="",$C427,$E$5)))</f>
        <v/>
      </c>
      <c r="E427">
        <f>IF($D427=0,"",ROUND(AVERAGEIFS(Assessments!J:J,Assessments!G:G,$A427,Assessments!B:B,"&gt;="&amp;$B$4,Assessments!B:B,"&lt;="&amp;$B$5,Assessments!C:C,IF($E$4="",$B427,$E$4),Assessments!D:D,IF($E$5="",$C427,$E$5)),0))</f>
        <v/>
      </c>
      <c r="F427">
        <f>IF($D427=0,"",MAXIFS(Assessments!J:J,Assessments!G:G,$A427,Assessments!B:B,"&gt;="&amp;$B$4,Assessments!B:B,"&lt;="&amp;$B$5,Assessments!C:C,IF($E$4="",$B427,$E$4),Assessments!D:D,IF($E$5="",$C427,$E$5)))</f>
        <v/>
      </c>
      <c r="G427">
        <f>IF($D427=0,"",MINIFS(Assessments!J:J,Assessments!G:G,$A427,Assessments!B:B,"&gt;="&amp;$B$4,Assessments!B:B,"&lt;="&amp;$B$5,Assessments!C:C,IF($E$4="",$B427,$E$4),Assessments!D:D,IF($E$5="",$C427,$E$5)))</f>
        <v/>
      </c>
      <c r="H427">
        <f>IF($E427="","",RANK($E427,$E$8:$E$507,0))</f>
        <v/>
      </c>
      <c r="I427">
        <f>IF($E427="","",IF($E427&gt;=85,"Excellent",IF($E427&gt;=70,"Good",IF($E427&gt;=50,"Fair","Needs Support"))))</f>
        <v/>
      </c>
    </row>
    <row r="428">
      <c r="A428">
        <f>IF(Students!A422="","",Students!A422)</f>
        <v/>
      </c>
      <c r="B428">
        <f>IF($A428="","",Students!B422)</f>
        <v/>
      </c>
      <c r="C428">
        <f>IF($A428="","",Students!C422)</f>
        <v/>
      </c>
      <c r="D428">
        <f>IF($A428="","",COUNTIFS(Assessments!G:G,$A428,Assessments!B:B,"&gt;="&amp;$B$4,Assessments!B:B,"&lt;="&amp;$B$5,Assessments!C:C,IF($E$4="",$B428,$E$4),Assessments!D:D,IF($E$5="",$C428,$E$5)))</f>
        <v/>
      </c>
      <c r="E428">
        <f>IF($D428=0,"",ROUND(AVERAGEIFS(Assessments!J:J,Assessments!G:G,$A428,Assessments!B:B,"&gt;="&amp;$B$4,Assessments!B:B,"&lt;="&amp;$B$5,Assessments!C:C,IF($E$4="",$B428,$E$4),Assessments!D:D,IF($E$5="",$C428,$E$5)),0))</f>
        <v/>
      </c>
      <c r="F428">
        <f>IF($D428=0,"",MAXIFS(Assessments!J:J,Assessments!G:G,$A428,Assessments!B:B,"&gt;="&amp;$B$4,Assessments!B:B,"&lt;="&amp;$B$5,Assessments!C:C,IF($E$4="",$B428,$E$4),Assessments!D:D,IF($E$5="",$C428,$E$5)))</f>
        <v/>
      </c>
      <c r="G428">
        <f>IF($D428=0,"",MINIFS(Assessments!J:J,Assessments!G:G,$A428,Assessments!B:B,"&gt;="&amp;$B$4,Assessments!B:B,"&lt;="&amp;$B$5,Assessments!C:C,IF($E$4="",$B428,$E$4),Assessments!D:D,IF($E$5="",$C428,$E$5)))</f>
        <v/>
      </c>
      <c r="H428">
        <f>IF($E428="","",RANK($E428,$E$8:$E$507,0))</f>
        <v/>
      </c>
      <c r="I428">
        <f>IF($E428="","",IF($E428&gt;=85,"Excellent",IF($E428&gt;=70,"Good",IF($E428&gt;=50,"Fair","Needs Support"))))</f>
        <v/>
      </c>
    </row>
    <row r="429">
      <c r="A429">
        <f>IF(Students!A423="","",Students!A423)</f>
        <v/>
      </c>
      <c r="B429">
        <f>IF($A429="","",Students!B423)</f>
        <v/>
      </c>
      <c r="C429">
        <f>IF($A429="","",Students!C423)</f>
        <v/>
      </c>
      <c r="D429">
        <f>IF($A429="","",COUNTIFS(Assessments!G:G,$A429,Assessments!B:B,"&gt;="&amp;$B$4,Assessments!B:B,"&lt;="&amp;$B$5,Assessments!C:C,IF($E$4="",$B429,$E$4),Assessments!D:D,IF($E$5="",$C429,$E$5)))</f>
        <v/>
      </c>
      <c r="E429">
        <f>IF($D429=0,"",ROUND(AVERAGEIFS(Assessments!J:J,Assessments!G:G,$A429,Assessments!B:B,"&gt;="&amp;$B$4,Assessments!B:B,"&lt;="&amp;$B$5,Assessments!C:C,IF($E$4="",$B429,$E$4),Assessments!D:D,IF($E$5="",$C429,$E$5)),0))</f>
        <v/>
      </c>
      <c r="F429">
        <f>IF($D429=0,"",MAXIFS(Assessments!J:J,Assessments!G:G,$A429,Assessments!B:B,"&gt;="&amp;$B$4,Assessments!B:B,"&lt;="&amp;$B$5,Assessments!C:C,IF($E$4="",$B429,$E$4),Assessments!D:D,IF($E$5="",$C429,$E$5)))</f>
        <v/>
      </c>
      <c r="G429">
        <f>IF($D429=0,"",MINIFS(Assessments!J:J,Assessments!G:G,$A429,Assessments!B:B,"&gt;="&amp;$B$4,Assessments!B:B,"&lt;="&amp;$B$5,Assessments!C:C,IF($E$4="",$B429,$E$4),Assessments!D:D,IF($E$5="",$C429,$E$5)))</f>
        <v/>
      </c>
      <c r="H429">
        <f>IF($E429="","",RANK($E429,$E$8:$E$507,0))</f>
        <v/>
      </c>
      <c r="I429">
        <f>IF($E429="","",IF($E429&gt;=85,"Excellent",IF($E429&gt;=70,"Good",IF($E429&gt;=50,"Fair","Needs Support"))))</f>
        <v/>
      </c>
    </row>
    <row r="430">
      <c r="A430">
        <f>IF(Students!A424="","",Students!A424)</f>
        <v/>
      </c>
      <c r="B430">
        <f>IF($A430="","",Students!B424)</f>
        <v/>
      </c>
      <c r="C430">
        <f>IF($A430="","",Students!C424)</f>
        <v/>
      </c>
      <c r="D430">
        <f>IF($A430="","",COUNTIFS(Assessments!G:G,$A430,Assessments!B:B,"&gt;="&amp;$B$4,Assessments!B:B,"&lt;="&amp;$B$5,Assessments!C:C,IF($E$4="",$B430,$E$4),Assessments!D:D,IF($E$5="",$C430,$E$5)))</f>
        <v/>
      </c>
      <c r="E430">
        <f>IF($D430=0,"",ROUND(AVERAGEIFS(Assessments!J:J,Assessments!G:G,$A430,Assessments!B:B,"&gt;="&amp;$B$4,Assessments!B:B,"&lt;="&amp;$B$5,Assessments!C:C,IF($E$4="",$B430,$E$4),Assessments!D:D,IF($E$5="",$C430,$E$5)),0))</f>
        <v/>
      </c>
      <c r="F430">
        <f>IF($D430=0,"",MAXIFS(Assessments!J:J,Assessments!G:G,$A430,Assessments!B:B,"&gt;="&amp;$B$4,Assessments!B:B,"&lt;="&amp;$B$5,Assessments!C:C,IF($E$4="",$B430,$E$4),Assessments!D:D,IF($E$5="",$C430,$E$5)))</f>
        <v/>
      </c>
      <c r="G430">
        <f>IF($D430=0,"",MINIFS(Assessments!J:J,Assessments!G:G,$A430,Assessments!B:B,"&gt;="&amp;$B$4,Assessments!B:B,"&lt;="&amp;$B$5,Assessments!C:C,IF($E$4="",$B430,$E$4),Assessments!D:D,IF($E$5="",$C430,$E$5)))</f>
        <v/>
      </c>
      <c r="H430">
        <f>IF($E430="","",RANK($E430,$E$8:$E$507,0))</f>
        <v/>
      </c>
      <c r="I430">
        <f>IF($E430="","",IF($E430&gt;=85,"Excellent",IF($E430&gt;=70,"Good",IF($E430&gt;=50,"Fair","Needs Support"))))</f>
        <v/>
      </c>
    </row>
    <row r="431">
      <c r="A431">
        <f>IF(Students!A425="","",Students!A425)</f>
        <v/>
      </c>
      <c r="B431">
        <f>IF($A431="","",Students!B425)</f>
        <v/>
      </c>
      <c r="C431">
        <f>IF($A431="","",Students!C425)</f>
        <v/>
      </c>
      <c r="D431">
        <f>IF($A431="","",COUNTIFS(Assessments!G:G,$A431,Assessments!B:B,"&gt;="&amp;$B$4,Assessments!B:B,"&lt;="&amp;$B$5,Assessments!C:C,IF($E$4="",$B431,$E$4),Assessments!D:D,IF($E$5="",$C431,$E$5)))</f>
        <v/>
      </c>
      <c r="E431">
        <f>IF($D431=0,"",ROUND(AVERAGEIFS(Assessments!J:J,Assessments!G:G,$A431,Assessments!B:B,"&gt;="&amp;$B$4,Assessments!B:B,"&lt;="&amp;$B$5,Assessments!C:C,IF($E$4="",$B431,$E$4),Assessments!D:D,IF($E$5="",$C431,$E$5)),0))</f>
        <v/>
      </c>
      <c r="F431">
        <f>IF($D431=0,"",MAXIFS(Assessments!J:J,Assessments!G:G,$A431,Assessments!B:B,"&gt;="&amp;$B$4,Assessments!B:B,"&lt;="&amp;$B$5,Assessments!C:C,IF($E$4="",$B431,$E$4),Assessments!D:D,IF($E$5="",$C431,$E$5)))</f>
        <v/>
      </c>
      <c r="G431">
        <f>IF($D431=0,"",MINIFS(Assessments!J:J,Assessments!G:G,$A431,Assessments!B:B,"&gt;="&amp;$B$4,Assessments!B:B,"&lt;="&amp;$B$5,Assessments!C:C,IF($E$4="",$B431,$E$4),Assessments!D:D,IF($E$5="",$C431,$E$5)))</f>
        <v/>
      </c>
      <c r="H431">
        <f>IF($E431="","",RANK($E431,$E$8:$E$507,0))</f>
        <v/>
      </c>
      <c r="I431">
        <f>IF($E431="","",IF($E431&gt;=85,"Excellent",IF($E431&gt;=70,"Good",IF($E431&gt;=50,"Fair","Needs Support"))))</f>
        <v/>
      </c>
    </row>
    <row r="432">
      <c r="A432">
        <f>IF(Students!A426="","",Students!A426)</f>
        <v/>
      </c>
      <c r="B432">
        <f>IF($A432="","",Students!B426)</f>
        <v/>
      </c>
      <c r="C432">
        <f>IF($A432="","",Students!C426)</f>
        <v/>
      </c>
      <c r="D432">
        <f>IF($A432="","",COUNTIFS(Assessments!G:G,$A432,Assessments!B:B,"&gt;="&amp;$B$4,Assessments!B:B,"&lt;="&amp;$B$5,Assessments!C:C,IF($E$4="",$B432,$E$4),Assessments!D:D,IF($E$5="",$C432,$E$5)))</f>
        <v/>
      </c>
      <c r="E432">
        <f>IF($D432=0,"",ROUND(AVERAGEIFS(Assessments!J:J,Assessments!G:G,$A432,Assessments!B:B,"&gt;="&amp;$B$4,Assessments!B:B,"&lt;="&amp;$B$5,Assessments!C:C,IF($E$4="",$B432,$E$4),Assessments!D:D,IF($E$5="",$C432,$E$5)),0))</f>
        <v/>
      </c>
      <c r="F432">
        <f>IF($D432=0,"",MAXIFS(Assessments!J:J,Assessments!G:G,$A432,Assessments!B:B,"&gt;="&amp;$B$4,Assessments!B:B,"&lt;="&amp;$B$5,Assessments!C:C,IF($E$4="",$B432,$E$4),Assessments!D:D,IF($E$5="",$C432,$E$5)))</f>
        <v/>
      </c>
      <c r="G432">
        <f>IF($D432=0,"",MINIFS(Assessments!J:J,Assessments!G:G,$A432,Assessments!B:B,"&gt;="&amp;$B$4,Assessments!B:B,"&lt;="&amp;$B$5,Assessments!C:C,IF($E$4="",$B432,$E$4),Assessments!D:D,IF($E$5="",$C432,$E$5)))</f>
        <v/>
      </c>
      <c r="H432">
        <f>IF($E432="","",RANK($E432,$E$8:$E$507,0))</f>
        <v/>
      </c>
      <c r="I432">
        <f>IF($E432="","",IF($E432&gt;=85,"Excellent",IF($E432&gt;=70,"Good",IF($E432&gt;=50,"Fair","Needs Support"))))</f>
        <v/>
      </c>
    </row>
    <row r="433">
      <c r="A433">
        <f>IF(Students!A427="","",Students!A427)</f>
        <v/>
      </c>
      <c r="B433">
        <f>IF($A433="","",Students!B427)</f>
        <v/>
      </c>
      <c r="C433">
        <f>IF($A433="","",Students!C427)</f>
        <v/>
      </c>
      <c r="D433">
        <f>IF($A433="","",COUNTIFS(Assessments!G:G,$A433,Assessments!B:B,"&gt;="&amp;$B$4,Assessments!B:B,"&lt;="&amp;$B$5,Assessments!C:C,IF($E$4="",$B433,$E$4),Assessments!D:D,IF($E$5="",$C433,$E$5)))</f>
        <v/>
      </c>
      <c r="E433">
        <f>IF($D433=0,"",ROUND(AVERAGEIFS(Assessments!J:J,Assessments!G:G,$A433,Assessments!B:B,"&gt;="&amp;$B$4,Assessments!B:B,"&lt;="&amp;$B$5,Assessments!C:C,IF($E$4="",$B433,$E$4),Assessments!D:D,IF($E$5="",$C433,$E$5)),0))</f>
        <v/>
      </c>
      <c r="F433">
        <f>IF($D433=0,"",MAXIFS(Assessments!J:J,Assessments!G:G,$A433,Assessments!B:B,"&gt;="&amp;$B$4,Assessments!B:B,"&lt;="&amp;$B$5,Assessments!C:C,IF($E$4="",$B433,$E$4),Assessments!D:D,IF($E$5="",$C433,$E$5)))</f>
        <v/>
      </c>
      <c r="G433">
        <f>IF($D433=0,"",MINIFS(Assessments!J:J,Assessments!G:G,$A433,Assessments!B:B,"&gt;="&amp;$B$4,Assessments!B:B,"&lt;="&amp;$B$5,Assessments!C:C,IF($E$4="",$B433,$E$4),Assessments!D:D,IF($E$5="",$C433,$E$5)))</f>
        <v/>
      </c>
      <c r="H433">
        <f>IF($E433="","",RANK($E433,$E$8:$E$507,0))</f>
        <v/>
      </c>
      <c r="I433">
        <f>IF($E433="","",IF($E433&gt;=85,"Excellent",IF($E433&gt;=70,"Good",IF($E433&gt;=50,"Fair","Needs Support"))))</f>
        <v/>
      </c>
    </row>
    <row r="434">
      <c r="A434">
        <f>IF(Students!A428="","",Students!A428)</f>
        <v/>
      </c>
      <c r="B434">
        <f>IF($A434="","",Students!B428)</f>
        <v/>
      </c>
      <c r="C434">
        <f>IF($A434="","",Students!C428)</f>
        <v/>
      </c>
      <c r="D434">
        <f>IF($A434="","",COUNTIFS(Assessments!G:G,$A434,Assessments!B:B,"&gt;="&amp;$B$4,Assessments!B:B,"&lt;="&amp;$B$5,Assessments!C:C,IF($E$4="",$B434,$E$4),Assessments!D:D,IF($E$5="",$C434,$E$5)))</f>
        <v/>
      </c>
      <c r="E434">
        <f>IF($D434=0,"",ROUND(AVERAGEIFS(Assessments!J:J,Assessments!G:G,$A434,Assessments!B:B,"&gt;="&amp;$B$4,Assessments!B:B,"&lt;="&amp;$B$5,Assessments!C:C,IF($E$4="",$B434,$E$4),Assessments!D:D,IF($E$5="",$C434,$E$5)),0))</f>
        <v/>
      </c>
      <c r="F434">
        <f>IF($D434=0,"",MAXIFS(Assessments!J:J,Assessments!G:G,$A434,Assessments!B:B,"&gt;="&amp;$B$4,Assessments!B:B,"&lt;="&amp;$B$5,Assessments!C:C,IF($E$4="",$B434,$E$4),Assessments!D:D,IF($E$5="",$C434,$E$5)))</f>
        <v/>
      </c>
      <c r="G434">
        <f>IF($D434=0,"",MINIFS(Assessments!J:J,Assessments!G:G,$A434,Assessments!B:B,"&gt;="&amp;$B$4,Assessments!B:B,"&lt;="&amp;$B$5,Assessments!C:C,IF($E$4="",$B434,$E$4),Assessments!D:D,IF($E$5="",$C434,$E$5)))</f>
        <v/>
      </c>
      <c r="H434">
        <f>IF($E434="","",RANK($E434,$E$8:$E$507,0))</f>
        <v/>
      </c>
      <c r="I434">
        <f>IF($E434="","",IF($E434&gt;=85,"Excellent",IF($E434&gt;=70,"Good",IF($E434&gt;=50,"Fair","Needs Support"))))</f>
        <v/>
      </c>
    </row>
    <row r="435">
      <c r="A435">
        <f>IF(Students!A429="","",Students!A429)</f>
        <v/>
      </c>
      <c r="B435">
        <f>IF($A435="","",Students!B429)</f>
        <v/>
      </c>
      <c r="C435">
        <f>IF($A435="","",Students!C429)</f>
        <v/>
      </c>
      <c r="D435">
        <f>IF($A435="","",COUNTIFS(Assessments!G:G,$A435,Assessments!B:B,"&gt;="&amp;$B$4,Assessments!B:B,"&lt;="&amp;$B$5,Assessments!C:C,IF($E$4="",$B435,$E$4),Assessments!D:D,IF($E$5="",$C435,$E$5)))</f>
        <v/>
      </c>
      <c r="E435">
        <f>IF($D435=0,"",ROUND(AVERAGEIFS(Assessments!J:J,Assessments!G:G,$A435,Assessments!B:B,"&gt;="&amp;$B$4,Assessments!B:B,"&lt;="&amp;$B$5,Assessments!C:C,IF($E$4="",$B435,$E$4),Assessments!D:D,IF($E$5="",$C435,$E$5)),0))</f>
        <v/>
      </c>
      <c r="F435">
        <f>IF($D435=0,"",MAXIFS(Assessments!J:J,Assessments!G:G,$A435,Assessments!B:B,"&gt;="&amp;$B$4,Assessments!B:B,"&lt;="&amp;$B$5,Assessments!C:C,IF($E$4="",$B435,$E$4),Assessments!D:D,IF($E$5="",$C435,$E$5)))</f>
        <v/>
      </c>
      <c r="G435">
        <f>IF($D435=0,"",MINIFS(Assessments!J:J,Assessments!G:G,$A435,Assessments!B:B,"&gt;="&amp;$B$4,Assessments!B:B,"&lt;="&amp;$B$5,Assessments!C:C,IF($E$4="",$B435,$E$4),Assessments!D:D,IF($E$5="",$C435,$E$5)))</f>
        <v/>
      </c>
      <c r="H435">
        <f>IF($E435="","",RANK($E435,$E$8:$E$507,0))</f>
        <v/>
      </c>
      <c r="I435">
        <f>IF($E435="","",IF($E435&gt;=85,"Excellent",IF($E435&gt;=70,"Good",IF($E435&gt;=50,"Fair","Needs Support"))))</f>
        <v/>
      </c>
    </row>
    <row r="436">
      <c r="A436">
        <f>IF(Students!A430="","",Students!A430)</f>
        <v/>
      </c>
      <c r="B436">
        <f>IF($A436="","",Students!B430)</f>
        <v/>
      </c>
      <c r="C436">
        <f>IF($A436="","",Students!C430)</f>
        <v/>
      </c>
      <c r="D436">
        <f>IF($A436="","",COUNTIFS(Assessments!G:G,$A436,Assessments!B:B,"&gt;="&amp;$B$4,Assessments!B:B,"&lt;="&amp;$B$5,Assessments!C:C,IF($E$4="",$B436,$E$4),Assessments!D:D,IF($E$5="",$C436,$E$5)))</f>
        <v/>
      </c>
      <c r="E436">
        <f>IF($D436=0,"",ROUND(AVERAGEIFS(Assessments!J:J,Assessments!G:G,$A436,Assessments!B:B,"&gt;="&amp;$B$4,Assessments!B:B,"&lt;="&amp;$B$5,Assessments!C:C,IF($E$4="",$B436,$E$4),Assessments!D:D,IF($E$5="",$C436,$E$5)),0))</f>
        <v/>
      </c>
      <c r="F436">
        <f>IF($D436=0,"",MAXIFS(Assessments!J:J,Assessments!G:G,$A436,Assessments!B:B,"&gt;="&amp;$B$4,Assessments!B:B,"&lt;="&amp;$B$5,Assessments!C:C,IF($E$4="",$B436,$E$4),Assessments!D:D,IF($E$5="",$C436,$E$5)))</f>
        <v/>
      </c>
      <c r="G436">
        <f>IF($D436=0,"",MINIFS(Assessments!J:J,Assessments!G:G,$A436,Assessments!B:B,"&gt;="&amp;$B$4,Assessments!B:B,"&lt;="&amp;$B$5,Assessments!C:C,IF($E$4="",$B436,$E$4),Assessments!D:D,IF($E$5="",$C436,$E$5)))</f>
        <v/>
      </c>
      <c r="H436">
        <f>IF($E436="","",RANK($E436,$E$8:$E$507,0))</f>
        <v/>
      </c>
      <c r="I436">
        <f>IF($E436="","",IF($E436&gt;=85,"Excellent",IF($E436&gt;=70,"Good",IF($E436&gt;=50,"Fair","Needs Support"))))</f>
        <v/>
      </c>
    </row>
    <row r="437">
      <c r="A437">
        <f>IF(Students!A431="","",Students!A431)</f>
        <v/>
      </c>
      <c r="B437">
        <f>IF($A437="","",Students!B431)</f>
        <v/>
      </c>
      <c r="C437">
        <f>IF($A437="","",Students!C431)</f>
        <v/>
      </c>
      <c r="D437">
        <f>IF($A437="","",COUNTIFS(Assessments!G:G,$A437,Assessments!B:B,"&gt;="&amp;$B$4,Assessments!B:B,"&lt;="&amp;$B$5,Assessments!C:C,IF($E$4="",$B437,$E$4),Assessments!D:D,IF($E$5="",$C437,$E$5)))</f>
        <v/>
      </c>
      <c r="E437">
        <f>IF($D437=0,"",ROUND(AVERAGEIFS(Assessments!J:J,Assessments!G:G,$A437,Assessments!B:B,"&gt;="&amp;$B$4,Assessments!B:B,"&lt;="&amp;$B$5,Assessments!C:C,IF($E$4="",$B437,$E$4),Assessments!D:D,IF($E$5="",$C437,$E$5)),0))</f>
        <v/>
      </c>
      <c r="F437">
        <f>IF($D437=0,"",MAXIFS(Assessments!J:J,Assessments!G:G,$A437,Assessments!B:B,"&gt;="&amp;$B$4,Assessments!B:B,"&lt;="&amp;$B$5,Assessments!C:C,IF($E$4="",$B437,$E$4),Assessments!D:D,IF($E$5="",$C437,$E$5)))</f>
        <v/>
      </c>
      <c r="G437">
        <f>IF($D437=0,"",MINIFS(Assessments!J:J,Assessments!G:G,$A437,Assessments!B:B,"&gt;="&amp;$B$4,Assessments!B:B,"&lt;="&amp;$B$5,Assessments!C:C,IF($E$4="",$B437,$E$4),Assessments!D:D,IF($E$5="",$C437,$E$5)))</f>
        <v/>
      </c>
      <c r="H437">
        <f>IF($E437="","",RANK($E437,$E$8:$E$507,0))</f>
        <v/>
      </c>
      <c r="I437">
        <f>IF($E437="","",IF($E437&gt;=85,"Excellent",IF($E437&gt;=70,"Good",IF($E437&gt;=50,"Fair","Needs Support"))))</f>
        <v/>
      </c>
    </row>
    <row r="438">
      <c r="A438">
        <f>IF(Students!A432="","",Students!A432)</f>
        <v/>
      </c>
      <c r="B438">
        <f>IF($A438="","",Students!B432)</f>
        <v/>
      </c>
      <c r="C438">
        <f>IF($A438="","",Students!C432)</f>
        <v/>
      </c>
      <c r="D438">
        <f>IF($A438="","",COUNTIFS(Assessments!G:G,$A438,Assessments!B:B,"&gt;="&amp;$B$4,Assessments!B:B,"&lt;="&amp;$B$5,Assessments!C:C,IF($E$4="",$B438,$E$4),Assessments!D:D,IF($E$5="",$C438,$E$5)))</f>
        <v/>
      </c>
      <c r="E438">
        <f>IF($D438=0,"",ROUND(AVERAGEIFS(Assessments!J:J,Assessments!G:G,$A438,Assessments!B:B,"&gt;="&amp;$B$4,Assessments!B:B,"&lt;="&amp;$B$5,Assessments!C:C,IF($E$4="",$B438,$E$4),Assessments!D:D,IF($E$5="",$C438,$E$5)),0))</f>
        <v/>
      </c>
      <c r="F438">
        <f>IF($D438=0,"",MAXIFS(Assessments!J:J,Assessments!G:G,$A438,Assessments!B:B,"&gt;="&amp;$B$4,Assessments!B:B,"&lt;="&amp;$B$5,Assessments!C:C,IF($E$4="",$B438,$E$4),Assessments!D:D,IF($E$5="",$C438,$E$5)))</f>
        <v/>
      </c>
      <c r="G438">
        <f>IF($D438=0,"",MINIFS(Assessments!J:J,Assessments!G:G,$A438,Assessments!B:B,"&gt;="&amp;$B$4,Assessments!B:B,"&lt;="&amp;$B$5,Assessments!C:C,IF($E$4="",$B438,$E$4),Assessments!D:D,IF($E$5="",$C438,$E$5)))</f>
        <v/>
      </c>
      <c r="H438">
        <f>IF($E438="","",RANK($E438,$E$8:$E$507,0))</f>
        <v/>
      </c>
      <c r="I438">
        <f>IF($E438="","",IF($E438&gt;=85,"Excellent",IF($E438&gt;=70,"Good",IF($E438&gt;=50,"Fair","Needs Support"))))</f>
        <v/>
      </c>
    </row>
    <row r="439">
      <c r="A439">
        <f>IF(Students!A433="","",Students!A433)</f>
        <v/>
      </c>
      <c r="B439">
        <f>IF($A439="","",Students!B433)</f>
        <v/>
      </c>
      <c r="C439">
        <f>IF($A439="","",Students!C433)</f>
        <v/>
      </c>
      <c r="D439">
        <f>IF($A439="","",COUNTIFS(Assessments!G:G,$A439,Assessments!B:B,"&gt;="&amp;$B$4,Assessments!B:B,"&lt;="&amp;$B$5,Assessments!C:C,IF($E$4="",$B439,$E$4),Assessments!D:D,IF($E$5="",$C439,$E$5)))</f>
        <v/>
      </c>
      <c r="E439">
        <f>IF($D439=0,"",ROUND(AVERAGEIFS(Assessments!J:J,Assessments!G:G,$A439,Assessments!B:B,"&gt;="&amp;$B$4,Assessments!B:B,"&lt;="&amp;$B$5,Assessments!C:C,IF($E$4="",$B439,$E$4),Assessments!D:D,IF($E$5="",$C439,$E$5)),0))</f>
        <v/>
      </c>
      <c r="F439">
        <f>IF($D439=0,"",MAXIFS(Assessments!J:J,Assessments!G:G,$A439,Assessments!B:B,"&gt;="&amp;$B$4,Assessments!B:B,"&lt;="&amp;$B$5,Assessments!C:C,IF($E$4="",$B439,$E$4),Assessments!D:D,IF($E$5="",$C439,$E$5)))</f>
        <v/>
      </c>
      <c r="G439">
        <f>IF($D439=0,"",MINIFS(Assessments!J:J,Assessments!G:G,$A439,Assessments!B:B,"&gt;="&amp;$B$4,Assessments!B:B,"&lt;="&amp;$B$5,Assessments!C:C,IF($E$4="",$B439,$E$4),Assessments!D:D,IF($E$5="",$C439,$E$5)))</f>
        <v/>
      </c>
      <c r="H439">
        <f>IF($E439="","",RANK($E439,$E$8:$E$507,0))</f>
        <v/>
      </c>
      <c r="I439">
        <f>IF($E439="","",IF($E439&gt;=85,"Excellent",IF($E439&gt;=70,"Good",IF($E439&gt;=50,"Fair","Needs Support"))))</f>
        <v/>
      </c>
    </row>
    <row r="440">
      <c r="A440">
        <f>IF(Students!A434="","",Students!A434)</f>
        <v/>
      </c>
      <c r="B440">
        <f>IF($A440="","",Students!B434)</f>
        <v/>
      </c>
      <c r="C440">
        <f>IF($A440="","",Students!C434)</f>
        <v/>
      </c>
      <c r="D440">
        <f>IF($A440="","",COUNTIFS(Assessments!G:G,$A440,Assessments!B:B,"&gt;="&amp;$B$4,Assessments!B:B,"&lt;="&amp;$B$5,Assessments!C:C,IF($E$4="",$B440,$E$4),Assessments!D:D,IF($E$5="",$C440,$E$5)))</f>
        <v/>
      </c>
      <c r="E440">
        <f>IF($D440=0,"",ROUND(AVERAGEIFS(Assessments!J:J,Assessments!G:G,$A440,Assessments!B:B,"&gt;="&amp;$B$4,Assessments!B:B,"&lt;="&amp;$B$5,Assessments!C:C,IF($E$4="",$B440,$E$4),Assessments!D:D,IF($E$5="",$C440,$E$5)),0))</f>
        <v/>
      </c>
      <c r="F440">
        <f>IF($D440=0,"",MAXIFS(Assessments!J:J,Assessments!G:G,$A440,Assessments!B:B,"&gt;="&amp;$B$4,Assessments!B:B,"&lt;="&amp;$B$5,Assessments!C:C,IF($E$4="",$B440,$E$4),Assessments!D:D,IF($E$5="",$C440,$E$5)))</f>
        <v/>
      </c>
      <c r="G440">
        <f>IF($D440=0,"",MINIFS(Assessments!J:J,Assessments!G:G,$A440,Assessments!B:B,"&gt;="&amp;$B$4,Assessments!B:B,"&lt;="&amp;$B$5,Assessments!C:C,IF($E$4="",$B440,$E$4),Assessments!D:D,IF($E$5="",$C440,$E$5)))</f>
        <v/>
      </c>
      <c r="H440">
        <f>IF($E440="","",RANK($E440,$E$8:$E$507,0))</f>
        <v/>
      </c>
      <c r="I440">
        <f>IF($E440="","",IF($E440&gt;=85,"Excellent",IF($E440&gt;=70,"Good",IF($E440&gt;=50,"Fair","Needs Support"))))</f>
        <v/>
      </c>
    </row>
    <row r="441">
      <c r="A441">
        <f>IF(Students!A435="","",Students!A435)</f>
        <v/>
      </c>
      <c r="B441">
        <f>IF($A441="","",Students!B435)</f>
        <v/>
      </c>
      <c r="C441">
        <f>IF($A441="","",Students!C435)</f>
        <v/>
      </c>
      <c r="D441">
        <f>IF($A441="","",COUNTIFS(Assessments!G:G,$A441,Assessments!B:B,"&gt;="&amp;$B$4,Assessments!B:B,"&lt;="&amp;$B$5,Assessments!C:C,IF($E$4="",$B441,$E$4),Assessments!D:D,IF($E$5="",$C441,$E$5)))</f>
        <v/>
      </c>
      <c r="E441">
        <f>IF($D441=0,"",ROUND(AVERAGEIFS(Assessments!J:J,Assessments!G:G,$A441,Assessments!B:B,"&gt;="&amp;$B$4,Assessments!B:B,"&lt;="&amp;$B$5,Assessments!C:C,IF($E$4="",$B441,$E$4),Assessments!D:D,IF($E$5="",$C441,$E$5)),0))</f>
        <v/>
      </c>
      <c r="F441">
        <f>IF($D441=0,"",MAXIFS(Assessments!J:J,Assessments!G:G,$A441,Assessments!B:B,"&gt;="&amp;$B$4,Assessments!B:B,"&lt;="&amp;$B$5,Assessments!C:C,IF($E$4="",$B441,$E$4),Assessments!D:D,IF($E$5="",$C441,$E$5)))</f>
        <v/>
      </c>
      <c r="G441">
        <f>IF($D441=0,"",MINIFS(Assessments!J:J,Assessments!G:G,$A441,Assessments!B:B,"&gt;="&amp;$B$4,Assessments!B:B,"&lt;="&amp;$B$5,Assessments!C:C,IF($E$4="",$B441,$E$4),Assessments!D:D,IF($E$5="",$C441,$E$5)))</f>
        <v/>
      </c>
      <c r="H441">
        <f>IF($E441="","",RANK($E441,$E$8:$E$507,0))</f>
        <v/>
      </c>
      <c r="I441">
        <f>IF($E441="","",IF($E441&gt;=85,"Excellent",IF($E441&gt;=70,"Good",IF($E441&gt;=50,"Fair","Needs Support"))))</f>
        <v/>
      </c>
    </row>
    <row r="442">
      <c r="A442">
        <f>IF(Students!A436="","",Students!A436)</f>
        <v/>
      </c>
      <c r="B442">
        <f>IF($A442="","",Students!B436)</f>
        <v/>
      </c>
      <c r="C442">
        <f>IF($A442="","",Students!C436)</f>
        <v/>
      </c>
      <c r="D442">
        <f>IF($A442="","",COUNTIFS(Assessments!G:G,$A442,Assessments!B:B,"&gt;="&amp;$B$4,Assessments!B:B,"&lt;="&amp;$B$5,Assessments!C:C,IF($E$4="",$B442,$E$4),Assessments!D:D,IF($E$5="",$C442,$E$5)))</f>
        <v/>
      </c>
      <c r="E442">
        <f>IF($D442=0,"",ROUND(AVERAGEIFS(Assessments!J:J,Assessments!G:G,$A442,Assessments!B:B,"&gt;="&amp;$B$4,Assessments!B:B,"&lt;="&amp;$B$5,Assessments!C:C,IF($E$4="",$B442,$E$4),Assessments!D:D,IF($E$5="",$C442,$E$5)),0))</f>
        <v/>
      </c>
      <c r="F442">
        <f>IF($D442=0,"",MAXIFS(Assessments!J:J,Assessments!G:G,$A442,Assessments!B:B,"&gt;="&amp;$B$4,Assessments!B:B,"&lt;="&amp;$B$5,Assessments!C:C,IF($E$4="",$B442,$E$4),Assessments!D:D,IF($E$5="",$C442,$E$5)))</f>
        <v/>
      </c>
      <c r="G442">
        <f>IF($D442=0,"",MINIFS(Assessments!J:J,Assessments!G:G,$A442,Assessments!B:B,"&gt;="&amp;$B$4,Assessments!B:B,"&lt;="&amp;$B$5,Assessments!C:C,IF($E$4="",$B442,$E$4),Assessments!D:D,IF($E$5="",$C442,$E$5)))</f>
        <v/>
      </c>
      <c r="H442">
        <f>IF($E442="","",RANK($E442,$E$8:$E$507,0))</f>
        <v/>
      </c>
      <c r="I442">
        <f>IF($E442="","",IF($E442&gt;=85,"Excellent",IF($E442&gt;=70,"Good",IF($E442&gt;=50,"Fair","Needs Support"))))</f>
        <v/>
      </c>
    </row>
    <row r="443">
      <c r="A443">
        <f>IF(Students!A437="","",Students!A437)</f>
        <v/>
      </c>
      <c r="B443">
        <f>IF($A443="","",Students!B437)</f>
        <v/>
      </c>
      <c r="C443">
        <f>IF($A443="","",Students!C437)</f>
        <v/>
      </c>
      <c r="D443">
        <f>IF($A443="","",COUNTIFS(Assessments!G:G,$A443,Assessments!B:B,"&gt;="&amp;$B$4,Assessments!B:B,"&lt;="&amp;$B$5,Assessments!C:C,IF($E$4="",$B443,$E$4),Assessments!D:D,IF($E$5="",$C443,$E$5)))</f>
        <v/>
      </c>
      <c r="E443">
        <f>IF($D443=0,"",ROUND(AVERAGEIFS(Assessments!J:J,Assessments!G:G,$A443,Assessments!B:B,"&gt;="&amp;$B$4,Assessments!B:B,"&lt;="&amp;$B$5,Assessments!C:C,IF($E$4="",$B443,$E$4),Assessments!D:D,IF($E$5="",$C443,$E$5)),0))</f>
        <v/>
      </c>
      <c r="F443">
        <f>IF($D443=0,"",MAXIFS(Assessments!J:J,Assessments!G:G,$A443,Assessments!B:B,"&gt;="&amp;$B$4,Assessments!B:B,"&lt;="&amp;$B$5,Assessments!C:C,IF($E$4="",$B443,$E$4),Assessments!D:D,IF($E$5="",$C443,$E$5)))</f>
        <v/>
      </c>
      <c r="G443">
        <f>IF($D443=0,"",MINIFS(Assessments!J:J,Assessments!G:G,$A443,Assessments!B:B,"&gt;="&amp;$B$4,Assessments!B:B,"&lt;="&amp;$B$5,Assessments!C:C,IF($E$4="",$B443,$E$4),Assessments!D:D,IF($E$5="",$C443,$E$5)))</f>
        <v/>
      </c>
      <c r="H443">
        <f>IF($E443="","",RANK($E443,$E$8:$E$507,0))</f>
        <v/>
      </c>
      <c r="I443">
        <f>IF($E443="","",IF($E443&gt;=85,"Excellent",IF($E443&gt;=70,"Good",IF($E443&gt;=50,"Fair","Needs Support"))))</f>
        <v/>
      </c>
    </row>
    <row r="444">
      <c r="A444">
        <f>IF(Students!A438="","",Students!A438)</f>
        <v/>
      </c>
      <c r="B444">
        <f>IF($A444="","",Students!B438)</f>
        <v/>
      </c>
      <c r="C444">
        <f>IF($A444="","",Students!C438)</f>
        <v/>
      </c>
      <c r="D444">
        <f>IF($A444="","",COUNTIFS(Assessments!G:G,$A444,Assessments!B:B,"&gt;="&amp;$B$4,Assessments!B:B,"&lt;="&amp;$B$5,Assessments!C:C,IF($E$4="",$B444,$E$4),Assessments!D:D,IF($E$5="",$C444,$E$5)))</f>
        <v/>
      </c>
      <c r="E444">
        <f>IF($D444=0,"",ROUND(AVERAGEIFS(Assessments!J:J,Assessments!G:G,$A444,Assessments!B:B,"&gt;="&amp;$B$4,Assessments!B:B,"&lt;="&amp;$B$5,Assessments!C:C,IF($E$4="",$B444,$E$4),Assessments!D:D,IF($E$5="",$C444,$E$5)),0))</f>
        <v/>
      </c>
      <c r="F444">
        <f>IF($D444=0,"",MAXIFS(Assessments!J:J,Assessments!G:G,$A444,Assessments!B:B,"&gt;="&amp;$B$4,Assessments!B:B,"&lt;="&amp;$B$5,Assessments!C:C,IF($E$4="",$B444,$E$4),Assessments!D:D,IF($E$5="",$C444,$E$5)))</f>
        <v/>
      </c>
      <c r="G444">
        <f>IF($D444=0,"",MINIFS(Assessments!J:J,Assessments!G:G,$A444,Assessments!B:B,"&gt;="&amp;$B$4,Assessments!B:B,"&lt;="&amp;$B$5,Assessments!C:C,IF($E$4="",$B444,$E$4),Assessments!D:D,IF($E$5="",$C444,$E$5)))</f>
        <v/>
      </c>
      <c r="H444">
        <f>IF($E444="","",RANK($E444,$E$8:$E$507,0))</f>
        <v/>
      </c>
      <c r="I444">
        <f>IF($E444="","",IF($E444&gt;=85,"Excellent",IF($E444&gt;=70,"Good",IF($E444&gt;=50,"Fair","Needs Support"))))</f>
        <v/>
      </c>
    </row>
    <row r="445">
      <c r="A445">
        <f>IF(Students!A439="","",Students!A439)</f>
        <v/>
      </c>
      <c r="B445">
        <f>IF($A445="","",Students!B439)</f>
        <v/>
      </c>
      <c r="C445">
        <f>IF($A445="","",Students!C439)</f>
        <v/>
      </c>
      <c r="D445">
        <f>IF($A445="","",COUNTIFS(Assessments!G:G,$A445,Assessments!B:B,"&gt;="&amp;$B$4,Assessments!B:B,"&lt;="&amp;$B$5,Assessments!C:C,IF($E$4="",$B445,$E$4),Assessments!D:D,IF($E$5="",$C445,$E$5)))</f>
        <v/>
      </c>
      <c r="E445">
        <f>IF($D445=0,"",ROUND(AVERAGEIFS(Assessments!J:J,Assessments!G:G,$A445,Assessments!B:B,"&gt;="&amp;$B$4,Assessments!B:B,"&lt;="&amp;$B$5,Assessments!C:C,IF($E$4="",$B445,$E$4),Assessments!D:D,IF($E$5="",$C445,$E$5)),0))</f>
        <v/>
      </c>
      <c r="F445">
        <f>IF($D445=0,"",MAXIFS(Assessments!J:J,Assessments!G:G,$A445,Assessments!B:B,"&gt;="&amp;$B$4,Assessments!B:B,"&lt;="&amp;$B$5,Assessments!C:C,IF($E$4="",$B445,$E$4),Assessments!D:D,IF($E$5="",$C445,$E$5)))</f>
        <v/>
      </c>
      <c r="G445">
        <f>IF($D445=0,"",MINIFS(Assessments!J:J,Assessments!G:G,$A445,Assessments!B:B,"&gt;="&amp;$B$4,Assessments!B:B,"&lt;="&amp;$B$5,Assessments!C:C,IF($E$4="",$B445,$E$4),Assessments!D:D,IF($E$5="",$C445,$E$5)))</f>
        <v/>
      </c>
      <c r="H445">
        <f>IF($E445="","",RANK($E445,$E$8:$E$507,0))</f>
        <v/>
      </c>
      <c r="I445">
        <f>IF($E445="","",IF($E445&gt;=85,"Excellent",IF($E445&gt;=70,"Good",IF($E445&gt;=50,"Fair","Needs Support"))))</f>
        <v/>
      </c>
    </row>
    <row r="446">
      <c r="A446">
        <f>IF(Students!A440="","",Students!A440)</f>
        <v/>
      </c>
      <c r="B446">
        <f>IF($A446="","",Students!B440)</f>
        <v/>
      </c>
      <c r="C446">
        <f>IF($A446="","",Students!C440)</f>
        <v/>
      </c>
      <c r="D446">
        <f>IF($A446="","",COUNTIFS(Assessments!G:G,$A446,Assessments!B:B,"&gt;="&amp;$B$4,Assessments!B:B,"&lt;="&amp;$B$5,Assessments!C:C,IF($E$4="",$B446,$E$4),Assessments!D:D,IF($E$5="",$C446,$E$5)))</f>
        <v/>
      </c>
      <c r="E446">
        <f>IF($D446=0,"",ROUND(AVERAGEIFS(Assessments!J:J,Assessments!G:G,$A446,Assessments!B:B,"&gt;="&amp;$B$4,Assessments!B:B,"&lt;="&amp;$B$5,Assessments!C:C,IF($E$4="",$B446,$E$4),Assessments!D:D,IF($E$5="",$C446,$E$5)),0))</f>
        <v/>
      </c>
      <c r="F446">
        <f>IF($D446=0,"",MAXIFS(Assessments!J:J,Assessments!G:G,$A446,Assessments!B:B,"&gt;="&amp;$B$4,Assessments!B:B,"&lt;="&amp;$B$5,Assessments!C:C,IF($E$4="",$B446,$E$4),Assessments!D:D,IF($E$5="",$C446,$E$5)))</f>
        <v/>
      </c>
      <c r="G446">
        <f>IF($D446=0,"",MINIFS(Assessments!J:J,Assessments!G:G,$A446,Assessments!B:B,"&gt;="&amp;$B$4,Assessments!B:B,"&lt;="&amp;$B$5,Assessments!C:C,IF($E$4="",$B446,$E$4),Assessments!D:D,IF($E$5="",$C446,$E$5)))</f>
        <v/>
      </c>
      <c r="H446">
        <f>IF($E446="","",RANK($E446,$E$8:$E$507,0))</f>
        <v/>
      </c>
      <c r="I446">
        <f>IF($E446="","",IF($E446&gt;=85,"Excellent",IF($E446&gt;=70,"Good",IF($E446&gt;=50,"Fair","Needs Support"))))</f>
        <v/>
      </c>
    </row>
    <row r="447">
      <c r="A447">
        <f>IF(Students!A441="","",Students!A441)</f>
        <v/>
      </c>
      <c r="B447">
        <f>IF($A447="","",Students!B441)</f>
        <v/>
      </c>
      <c r="C447">
        <f>IF($A447="","",Students!C441)</f>
        <v/>
      </c>
      <c r="D447">
        <f>IF($A447="","",COUNTIFS(Assessments!G:G,$A447,Assessments!B:B,"&gt;="&amp;$B$4,Assessments!B:B,"&lt;="&amp;$B$5,Assessments!C:C,IF($E$4="",$B447,$E$4),Assessments!D:D,IF($E$5="",$C447,$E$5)))</f>
        <v/>
      </c>
      <c r="E447">
        <f>IF($D447=0,"",ROUND(AVERAGEIFS(Assessments!J:J,Assessments!G:G,$A447,Assessments!B:B,"&gt;="&amp;$B$4,Assessments!B:B,"&lt;="&amp;$B$5,Assessments!C:C,IF($E$4="",$B447,$E$4),Assessments!D:D,IF($E$5="",$C447,$E$5)),0))</f>
        <v/>
      </c>
      <c r="F447">
        <f>IF($D447=0,"",MAXIFS(Assessments!J:J,Assessments!G:G,$A447,Assessments!B:B,"&gt;="&amp;$B$4,Assessments!B:B,"&lt;="&amp;$B$5,Assessments!C:C,IF($E$4="",$B447,$E$4),Assessments!D:D,IF($E$5="",$C447,$E$5)))</f>
        <v/>
      </c>
      <c r="G447">
        <f>IF($D447=0,"",MINIFS(Assessments!J:J,Assessments!G:G,$A447,Assessments!B:B,"&gt;="&amp;$B$4,Assessments!B:B,"&lt;="&amp;$B$5,Assessments!C:C,IF($E$4="",$B447,$E$4),Assessments!D:D,IF($E$5="",$C447,$E$5)))</f>
        <v/>
      </c>
      <c r="H447">
        <f>IF($E447="","",RANK($E447,$E$8:$E$507,0))</f>
        <v/>
      </c>
      <c r="I447">
        <f>IF($E447="","",IF($E447&gt;=85,"Excellent",IF($E447&gt;=70,"Good",IF($E447&gt;=50,"Fair","Needs Support"))))</f>
        <v/>
      </c>
    </row>
    <row r="448">
      <c r="A448">
        <f>IF(Students!A442="","",Students!A442)</f>
        <v/>
      </c>
      <c r="B448">
        <f>IF($A448="","",Students!B442)</f>
        <v/>
      </c>
      <c r="C448">
        <f>IF($A448="","",Students!C442)</f>
        <v/>
      </c>
      <c r="D448">
        <f>IF($A448="","",COUNTIFS(Assessments!G:G,$A448,Assessments!B:B,"&gt;="&amp;$B$4,Assessments!B:B,"&lt;="&amp;$B$5,Assessments!C:C,IF($E$4="",$B448,$E$4),Assessments!D:D,IF($E$5="",$C448,$E$5)))</f>
        <v/>
      </c>
      <c r="E448">
        <f>IF($D448=0,"",ROUND(AVERAGEIFS(Assessments!J:J,Assessments!G:G,$A448,Assessments!B:B,"&gt;="&amp;$B$4,Assessments!B:B,"&lt;="&amp;$B$5,Assessments!C:C,IF($E$4="",$B448,$E$4),Assessments!D:D,IF($E$5="",$C448,$E$5)),0))</f>
        <v/>
      </c>
      <c r="F448">
        <f>IF($D448=0,"",MAXIFS(Assessments!J:J,Assessments!G:G,$A448,Assessments!B:B,"&gt;="&amp;$B$4,Assessments!B:B,"&lt;="&amp;$B$5,Assessments!C:C,IF($E$4="",$B448,$E$4),Assessments!D:D,IF($E$5="",$C448,$E$5)))</f>
        <v/>
      </c>
      <c r="G448">
        <f>IF($D448=0,"",MINIFS(Assessments!J:J,Assessments!G:G,$A448,Assessments!B:B,"&gt;="&amp;$B$4,Assessments!B:B,"&lt;="&amp;$B$5,Assessments!C:C,IF($E$4="",$B448,$E$4),Assessments!D:D,IF($E$5="",$C448,$E$5)))</f>
        <v/>
      </c>
      <c r="H448">
        <f>IF($E448="","",RANK($E448,$E$8:$E$507,0))</f>
        <v/>
      </c>
      <c r="I448">
        <f>IF($E448="","",IF($E448&gt;=85,"Excellent",IF($E448&gt;=70,"Good",IF($E448&gt;=50,"Fair","Needs Support"))))</f>
        <v/>
      </c>
    </row>
    <row r="449">
      <c r="A449">
        <f>IF(Students!A443="","",Students!A443)</f>
        <v/>
      </c>
      <c r="B449">
        <f>IF($A449="","",Students!B443)</f>
        <v/>
      </c>
      <c r="C449">
        <f>IF($A449="","",Students!C443)</f>
        <v/>
      </c>
      <c r="D449">
        <f>IF($A449="","",COUNTIFS(Assessments!G:G,$A449,Assessments!B:B,"&gt;="&amp;$B$4,Assessments!B:B,"&lt;="&amp;$B$5,Assessments!C:C,IF($E$4="",$B449,$E$4),Assessments!D:D,IF($E$5="",$C449,$E$5)))</f>
        <v/>
      </c>
      <c r="E449">
        <f>IF($D449=0,"",ROUND(AVERAGEIFS(Assessments!J:J,Assessments!G:G,$A449,Assessments!B:B,"&gt;="&amp;$B$4,Assessments!B:B,"&lt;="&amp;$B$5,Assessments!C:C,IF($E$4="",$B449,$E$4),Assessments!D:D,IF($E$5="",$C449,$E$5)),0))</f>
        <v/>
      </c>
      <c r="F449">
        <f>IF($D449=0,"",MAXIFS(Assessments!J:J,Assessments!G:G,$A449,Assessments!B:B,"&gt;="&amp;$B$4,Assessments!B:B,"&lt;="&amp;$B$5,Assessments!C:C,IF($E$4="",$B449,$E$4),Assessments!D:D,IF($E$5="",$C449,$E$5)))</f>
        <v/>
      </c>
      <c r="G449">
        <f>IF($D449=0,"",MINIFS(Assessments!J:J,Assessments!G:G,$A449,Assessments!B:B,"&gt;="&amp;$B$4,Assessments!B:B,"&lt;="&amp;$B$5,Assessments!C:C,IF($E$4="",$B449,$E$4),Assessments!D:D,IF($E$5="",$C449,$E$5)))</f>
        <v/>
      </c>
      <c r="H449">
        <f>IF($E449="","",RANK($E449,$E$8:$E$507,0))</f>
        <v/>
      </c>
      <c r="I449">
        <f>IF($E449="","",IF($E449&gt;=85,"Excellent",IF($E449&gt;=70,"Good",IF($E449&gt;=50,"Fair","Needs Support"))))</f>
        <v/>
      </c>
    </row>
    <row r="450">
      <c r="A450">
        <f>IF(Students!A444="","",Students!A444)</f>
        <v/>
      </c>
      <c r="B450">
        <f>IF($A450="","",Students!B444)</f>
        <v/>
      </c>
      <c r="C450">
        <f>IF($A450="","",Students!C444)</f>
        <v/>
      </c>
      <c r="D450">
        <f>IF($A450="","",COUNTIFS(Assessments!G:G,$A450,Assessments!B:B,"&gt;="&amp;$B$4,Assessments!B:B,"&lt;="&amp;$B$5,Assessments!C:C,IF($E$4="",$B450,$E$4),Assessments!D:D,IF($E$5="",$C450,$E$5)))</f>
        <v/>
      </c>
      <c r="E450">
        <f>IF($D450=0,"",ROUND(AVERAGEIFS(Assessments!J:J,Assessments!G:G,$A450,Assessments!B:B,"&gt;="&amp;$B$4,Assessments!B:B,"&lt;="&amp;$B$5,Assessments!C:C,IF($E$4="",$B450,$E$4),Assessments!D:D,IF($E$5="",$C450,$E$5)),0))</f>
        <v/>
      </c>
      <c r="F450">
        <f>IF($D450=0,"",MAXIFS(Assessments!J:J,Assessments!G:G,$A450,Assessments!B:B,"&gt;="&amp;$B$4,Assessments!B:B,"&lt;="&amp;$B$5,Assessments!C:C,IF($E$4="",$B450,$E$4),Assessments!D:D,IF($E$5="",$C450,$E$5)))</f>
        <v/>
      </c>
      <c r="G450">
        <f>IF($D450=0,"",MINIFS(Assessments!J:J,Assessments!G:G,$A450,Assessments!B:B,"&gt;="&amp;$B$4,Assessments!B:B,"&lt;="&amp;$B$5,Assessments!C:C,IF($E$4="",$B450,$E$4),Assessments!D:D,IF($E$5="",$C450,$E$5)))</f>
        <v/>
      </c>
      <c r="H450">
        <f>IF($E450="","",RANK($E450,$E$8:$E$507,0))</f>
        <v/>
      </c>
      <c r="I450">
        <f>IF($E450="","",IF($E450&gt;=85,"Excellent",IF($E450&gt;=70,"Good",IF($E450&gt;=50,"Fair","Needs Support"))))</f>
        <v/>
      </c>
    </row>
    <row r="451">
      <c r="A451">
        <f>IF(Students!A445="","",Students!A445)</f>
        <v/>
      </c>
      <c r="B451">
        <f>IF($A451="","",Students!B445)</f>
        <v/>
      </c>
      <c r="C451">
        <f>IF($A451="","",Students!C445)</f>
        <v/>
      </c>
      <c r="D451">
        <f>IF($A451="","",COUNTIFS(Assessments!G:G,$A451,Assessments!B:B,"&gt;="&amp;$B$4,Assessments!B:B,"&lt;="&amp;$B$5,Assessments!C:C,IF($E$4="",$B451,$E$4),Assessments!D:D,IF($E$5="",$C451,$E$5)))</f>
        <v/>
      </c>
      <c r="E451">
        <f>IF($D451=0,"",ROUND(AVERAGEIFS(Assessments!J:J,Assessments!G:G,$A451,Assessments!B:B,"&gt;="&amp;$B$4,Assessments!B:B,"&lt;="&amp;$B$5,Assessments!C:C,IF($E$4="",$B451,$E$4),Assessments!D:D,IF($E$5="",$C451,$E$5)),0))</f>
        <v/>
      </c>
      <c r="F451">
        <f>IF($D451=0,"",MAXIFS(Assessments!J:J,Assessments!G:G,$A451,Assessments!B:B,"&gt;="&amp;$B$4,Assessments!B:B,"&lt;="&amp;$B$5,Assessments!C:C,IF($E$4="",$B451,$E$4),Assessments!D:D,IF($E$5="",$C451,$E$5)))</f>
        <v/>
      </c>
      <c r="G451">
        <f>IF($D451=0,"",MINIFS(Assessments!J:J,Assessments!G:G,$A451,Assessments!B:B,"&gt;="&amp;$B$4,Assessments!B:B,"&lt;="&amp;$B$5,Assessments!C:C,IF($E$4="",$B451,$E$4),Assessments!D:D,IF($E$5="",$C451,$E$5)))</f>
        <v/>
      </c>
      <c r="H451">
        <f>IF($E451="","",RANK($E451,$E$8:$E$507,0))</f>
        <v/>
      </c>
      <c r="I451">
        <f>IF($E451="","",IF($E451&gt;=85,"Excellent",IF($E451&gt;=70,"Good",IF($E451&gt;=50,"Fair","Needs Support"))))</f>
        <v/>
      </c>
    </row>
    <row r="452">
      <c r="A452">
        <f>IF(Students!A446="","",Students!A446)</f>
        <v/>
      </c>
      <c r="B452">
        <f>IF($A452="","",Students!B446)</f>
        <v/>
      </c>
      <c r="C452">
        <f>IF($A452="","",Students!C446)</f>
        <v/>
      </c>
      <c r="D452">
        <f>IF($A452="","",COUNTIFS(Assessments!G:G,$A452,Assessments!B:B,"&gt;="&amp;$B$4,Assessments!B:B,"&lt;="&amp;$B$5,Assessments!C:C,IF($E$4="",$B452,$E$4),Assessments!D:D,IF($E$5="",$C452,$E$5)))</f>
        <v/>
      </c>
      <c r="E452">
        <f>IF($D452=0,"",ROUND(AVERAGEIFS(Assessments!J:J,Assessments!G:G,$A452,Assessments!B:B,"&gt;="&amp;$B$4,Assessments!B:B,"&lt;="&amp;$B$5,Assessments!C:C,IF($E$4="",$B452,$E$4),Assessments!D:D,IF($E$5="",$C452,$E$5)),0))</f>
        <v/>
      </c>
      <c r="F452">
        <f>IF($D452=0,"",MAXIFS(Assessments!J:J,Assessments!G:G,$A452,Assessments!B:B,"&gt;="&amp;$B$4,Assessments!B:B,"&lt;="&amp;$B$5,Assessments!C:C,IF($E$4="",$B452,$E$4),Assessments!D:D,IF($E$5="",$C452,$E$5)))</f>
        <v/>
      </c>
      <c r="G452">
        <f>IF($D452=0,"",MINIFS(Assessments!J:J,Assessments!G:G,$A452,Assessments!B:B,"&gt;="&amp;$B$4,Assessments!B:B,"&lt;="&amp;$B$5,Assessments!C:C,IF($E$4="",$B452,$E$4),Assessments!D:D,IF($E$5="",$C452,$E$5)))</f>
        <v/>
      </c>
      <c r="H452">
        <f>IF($E452="","",RANK($E452,$E$8:$E$507,0))</f>
        <v/>
      </c>
      <c r="I452">
        <f>IF($E452="","",IF($E452&gt;=85,"Excellent",IF($E452&gt;=70,"Good",IF($E452&gt;=50,"Fair","Needs Support"))))</f>
        <v/>
      </c>
    </row>
    <row r="453">
      <c r="A453">
        <f>IF(Students!A447="","",Students!A447)</f>
        <v/>
      </c>
      <c r="B453">
        <f>IF($A453="","",Students!B447)</f>
        <v/>
      </c>
      <c r="C453">
        <f>IF($A453="","",Students!C447)</f>
        <v/>
      </c>
      <c r="D453">
        <f>IF($A453="","",COUNTIFS(Assessments!G:G,$A453,Assessments!B:B,"&gt;="&amp;$B$4,Assessments!B:B,"&lt;="&amp;$B$5,Assessments!C:C,IF($E$4="",$B453,$E$4),Assessments!D:D,IF($E$5="",$C453,$E$5)))</f>
        <v/>
      </c>
      <c r="E453">
        <f>IF($D453=0,"",ROUND(AVERAGEIFS(Assessments!J:J,Assessments!G:G,$A453,Assessments!B:B,"&gt;="&amp;$B$4,Assessments!B:B,"&lt;="&amp;$B$5,Assessments!C:C,IF($E$4="",$B453,$E$4),Assessments!D:D,IF($E$5="",$C453,$E$5)),0))</f>
        <v/>
      </c>
      <c r="F453">
        <f>IF($D453=0,"",MAXIFS(Assessments!J:J,Assessments!G:G,$A453,Assessments!B:B,"&gt;="&amp;$B$4,Assessments!B:B,"&lt;="&amp;$B$5,Assessments!C:C,IF($E$4="",$B453,$E$4),Assessments!D:D,IF($E$5="",$C453,$E$5)))</f>
        <v/>
      </c>
      <c r="G453">
        <f>IF($D453=0,"",MINIFS(Assessments!J:J,Assessments!G:G,$A453,Assessments!B:B,"&gt;="&amp;$B$4,Assessments!B:B,"&lt;="&amp;$B$5,Assessments!C:C,IF($E$4="",$B453,$E$4),Assessments!D:D,IF($E$5="",$C453,$E$5)))</f>
        <v/>
      </c>
      <c r="H453">
        <f>IF($E453="","",RANK($E453,$E$8:$E$507,0))</f>
        <v/>
      </c>
      <c r="I453">
        <f>IF($E453="","",IF($E453&gt;=85,"Excellent",IF($E453&gt;=70,"Good",IF($E453&gt;=50,"Fair","Needs Support"))))</f>
        <v/>
      </c>
    </row>
    <row r="454">
      <c r="A454">
        <f>IF(Students!A448="","",Students!A448)</f>
        <v/>
      </c>
      <c r="B454">
        <f>IF($A454="","",Students!B448)</f>
        <v/>
      </c>
      <c r="C454">
        <f>IF($A454="","",Students!C448)</f>
        <v/>
      </c>
      <c r="D454">
        <f>IF($A454="","",COUNTIFS(Assessments!G:G,$A454,Assessments!B:B,"&gt;="&amp;$B$4,Assessments!B:B,"&lt;="&amp;$B$5,Assessments!C:C,IF($E$4="",$B454,$E$4),Assessments!D:D,IF($E$5="",$C454,$E$5)))</f>
        <v/>
      </c>
      <c r="E454">
        <f>IF($D454=0,"",ROUND(AVERAGEIFS(Assessments!J:J,Assessments!G:G,$A454,Assessments!B:B,"&gt;="&amp;$B$4,Assessments!B:B,"&lt;="&amp;$B$5,Assessments!C:C,IF($E$4="",$B454,$E$4),Assessments!D:D,IF($E$5="",$C454,$E$5)),0))</f>
        <v/>
      </c>
      <c r="F454">
        <f>IF($D454=0,"",MAXIFS(Assessments!J:J,Assessments!G:G,$A454,Assessments!B:B,"&gt;="&amp;$B$4,Assessments!B:B,"&lt;="&amp;$B$5,Assessments!C:C,IF($E$4="",$B454,$E$4),Assessments!D:D,IF($E$5="",$C454,$E$5)))</f>
        <v/>
      </c>
      <c r="G454">
        <f>IF($D454=0,"",MINIFS(Assessments!J:J,Assessments!G:G,$A454,Assessments!B:B,"&gt;="&amp;$B$4,Assessments!B:B,"&lt;="&amp;$B$5,Assessments!C:C,IF($E$4="",$B454,$E$4),Assessments!D:D,IF($E$5="",$C454,$E$5)))</f>
        <v/>
      </c>
      <c r="H454">
        <f>IF($E454="","",RANK($E454,$E$8:$E$507,0))</f>
        <v/>
      </c>
      <c r="I454">
        <f>IF($E454="","",IF($E454&gt;=85,"Excellent",IF($E454&gt;=70,"Good",IF($E454&gt;=50,"Fair","Needs Support"))))</f>
        <v/>
      </c>
    </row>
    <row r="455">
      <c r="A455">
        <f>IF(Students!A449="","",Students!A449)</f>
        <v/>
      </c>
      <c r="B455">
        <f>IF($A455="","",Students!B449)</f>
        <v/>
      </c>
      <c r="C455">
        <f>IF($A455="","",Students!C449)</f>
        <v/>
      </c>
      <c r="D455">
        <f>IF($A455="","",COUNTIFS(Assessments!G:G,$A455,Assessments!B:B,"&gt;="&amp;$B$4,Assessments!B:B,"&lt;="&amp;$B$5,Assessments!C:C,IF($E$4="",$B455,$E$4),Assessments!D:D,IF($E$5="",$C455,$E$5)))</f>
        <v/>
      </c>
      <c r="E455">
        <f>IF($D455=0,"",ROUND(AVERAGEIFS(Assessments!J:J,Assessments!G:G,$A455,Assessments!B:B,"&gt;="&amp;$B$4,Assessments!B:B,"&lt;="&amp;$B$5,Assessments!C:C,IF($E$4="",$B455,$E$4),Assessments!D:D,IF($E$5="",$C455,$E$5)),0))</f>
        <v/>
      </c>
      <c r="F455">
        <f>IF($D455=0,"",MAXIFS(Assessments!J:J,Assessments!G:G,$A455,Assessments!B:B,"&gt;="&amp;$B$4,Assessments!B:B,"&lt;="&amp;$B$5,Assessments!C:C,IF($E$4="",$B455,$E$4),Assessments!D:D,IF($E$5="",$C455,$E$5)))</f>
        <v/>
      </c>
      <c r="G455">
        <f>IF($D455=0,"",MINIFS(Assessments!J:J,Assessments!G:G,$A455,Assessments!B:B,"&gt;="&amp;$B$4,Assessments!B:B,"&lt;="&amp;$B$5,Assessments!C:C,IF($E$4="",$B455,$E$4),Assessments!D:D,IF($E$5="",$C455,$E$5)))</f>
        <v/>
      </c>
      <c r="H455">
        <f>IF($E455="","",RANK($E455,$E$8:$E$507,0))</f>
        <v/>
      </c>
      <c r="I455">
        <f>IF($E455="","",IF($E455&gt;=85,"Excellent",IF($E455&gt;=70,"Good",IF($E455&gt;=50,"Fair","Needs Support"))))</f>
        <v/>
      </c>
    </row>
    <row r="456">
      <c r="A456">
        <f>IF(Students!A450="","",Students!A450)</f>
        <v/>
      </c>
      <c r="B456">
        <f>IF($A456="","",Students!B450)</f>
        <v/>
      </c>
      <c r="C456">
        <f>IF($A456="","",Students!C450)</f>
        <v/>
      </c>
      <c r="D456">
        <f>IF($A456="","",COUNTIFS(Assessments!G:G,$A456,Assessments!B:B,"&gt;="&amp;$B$4,Assessments!B:B,"&lt;="&amp;$B$5,Assessments!C:C,IF($E$4="",$B456,$E$4),Assessments!D:D,IF($E$5="",$C456,$E$5)))</f>
        <v/>
      </c>
      <c r="E456">
        <f>IF($D456=0,"",ROUND(AVERAGEIFS(Assessments!J:J,Assessments!G:G,$A456,Assessments!B:B,"&gt;="&amp;$B$4,Assessments!B:B,"&lt;="&amp;$B$5,Assessments!C:C,IF($E$4="",$B456,$E$4),Assessments!D:D,IF($E$5="",$C456,$E$5)),0))</f>
        <v/>
      </c>
      <c r="F456">
        <f>IF($D456=0,"",MAXIFS(Assessments!J:J,Assessments!G:G,$A456,Assessments!B:B,"&gt;="&amp;$B$4,Assessments!B:B,"&lt;="&amp;$B$5,Assessments!C:C,IF($E$4="",$B456,$E$4),Assessments!D:D,IF($E$5="",$C456,$E$5)))</f>
        <v/>
      </c>
      <c r="G456">
        <f>IF($D456=0,"",MINIFS(Assessments!J:J,Assessments!G:G,$A456,Assessments!B:B,"&gt;="&amp;$B$4,Assessments!B:B,"&lt;="&amp;$B$5,Assessments!C:C,IF($E$4="",$B456,$E$4),Assessments!D:D,IF($E$5="",$C456,$E$5)))</f>
        <v/>
      </c>
      <c r="H456">
        <f>IF($E456="","",RANK($E456,$E$8:$E$507,0))</f>
        <v/>
      </c>
      <c r="I456">
        <f>IF($E456="","",IF($E456&gt;=85,"Excellent",IF($E456&gt;=70,"Good",IF($E456&gt;=50,"Fair","Needs Support"))))</f>
        <v/>
      </c>
    </row>
    <row r="457">
      <c r="A457">
        <f>IF(Students!A451="","",Students!A451)</f>
        <v/>
      </c>
      <c r="B457">
        <f>IF($A457="","",Students!B451)</f>
        <v/>
      </c>
      <c r="C457">
        <f>IF($A457="","",Students!C451)</f>
        <v/>
      </c>
      <c r="D457">
        <f>IF($A457="","",COUNTIFS(Assessments!G:G,$A457,Assessments!B:B,"&gt;="&amp;$B$4,Assessments!B:B,"&lt;="&amp;$B$5,Assessments!C:C,IF($E$4="",$B457,$E$4),Assessments!D:D,IF($E$5="",$C457,$E$5)))</f>
        <v/>
      </c>
      <c r="E457">
        <f>IF($D457=0,"",ROUND(AVERAGEIFS(Assessments!J:J,Assessments!G:G,$A457,Assessments!B:B,"&gt;="&amp;$B$4,Assessments!B:B,"&lt;="&amp;$B$5,Assessments!C:C,IF($E$4="",$B457,$E$4),Assessments!D:D,IF($E$5="",$C457,$E$5)),0))</f>
        <v/>
      </c>
      <c r="F457">
        <f>IF($D457=0,"",MAXIFS(Assessments!J:J,Assessments!G:G,$A457,Assessments!B:B,"&gt;="&amp;$B$4,Assessments!B:B,"&lt;="&amp;$B$5,Assessments!C:C,IF($E$4="",$B457,$E$4),Assessments!D:D,IF($E$5="",$C457,$E$5)))</f>
        <v/>
      </c>
      <c r="G457">
        <f>IF($D457=0,"",MINIFS(Assessments!J:J,Assessments!G:G,$A457,Assessments!B:B,"&gt;="&amp;$B$4,Assessments!B:B,"&lt;="&amp;$B$5,Assessments!C:C,IF($E$4="",$B457,$E$4),Assessments!D:D,IF($E$5="",$C457,$E$5)))</f>
        <v/>
      </c>
      <c r="H457">
        <f>IF($E457="","",RANK($E457,$E$8:$E$507,0))</f>
        <v/>
      </c>
      <c r="I457">
        <f>IF($E457="","",IF($E457&gt;=85,"Excellent",IF($E457&gt;=70,"Good",IF($E457&gt;=50,"Fair","Needs Support"))))</f>
        <v/>
      </c>
    </row>
    <row r="458">
      <c r="A458">
        <f>IF(Students!A452="","",Students!A452)</f>
        <v/>
      </c>
      <c r="B458">
        <f>IF($A458="","",Students!B452)</f>
        <v/>
      </c>
      <c r="C458">
        <f>IF($A458="","",Students!C452)</f>
        <v/>
      </c>
      <c r="D458">
        <f>IF($A458="","",COUNTIFS(Assessments!G:G,$A458,Assessments!B:B,"&gt;="&amp;$B$4,Assessments!B:B,"&lt;="&amp;$B$5,Assessments!C:C,IF($E$4="",$B458,$E$4),Assessments!D:D,IF($E$5="",$C458,$E$5)))</f>
        <v/>
      </c>
      <c r="E458">
        <f>IF($D458=0,"",ROUND(AVERAGEIFS(Assessments!J:J,Assessments!G:G,$A458,Assessments!B:B,"&gt;="&amp;$B$4,Assessments!B:B,"&lt;="&amp;$B$5,Assessments!C:C,IF($E$4="",$B458,$E$4),Assessments!D:D,IF($E$5="",$C458,$E$5)),0))</f>
        <v/>
      </c>
      <c r="F458">
        <f>IF($D458=0,"",MAXIFS(Assessments!J:J,Assessments!G:G,$A458,Assessments!B:B,"&gt;="&amp;$B$4,Assessments!B:B,"&lt;="&amp;$B$5,Assessments!C:C,IF($E$4="",$B458,$E$4),Assessments!D:D,IF($E$5="",$C458,$E$5)))</f>
        <v/>
      </c>
      <c r="G458">
        <f>IF($D458=0,"",MINIFS(Assessments!J:J,Assessments!G:G,$A458,Assessments!B:B,"&gt;="&amp;$B$4,Assessments!B:B,"&lt;="&amp;$B$5,Assessments!C:C,IF($E$4="",$B458,$E$4),Assessments!D:D,IF($E$5="",$C458,$E$5)))</f>
        <v/>
      </c>
      <c r="H458">
        <f>IF($E458="","",RANK($E458,$E$8:$E$507,0))</f>
        <v/>
      </c>
      <c r="I458">
        <f>IF($E458="","",IF($E458&gt;=85,"Excellent",IF($E458&gt;=70,"Good",IF($E458&gt;=50,"Fair","Needs Support"))))</f>
        <v/>
      </c>
    </row>
    <row r="459">
      <c r="A459">
        <f>IF(Students!A453="","",Students!A453)</f>
        <v/>
      </c>
      <c r="B459">
        <f>IF($A459="","",Students!B453)</f>
        <v/>
      </c>
      <c r="C459">
        <f>IF($A459="","",Students!C453)</f>
        <v/>
      </c>
      <c r="D459">
        <f>IF($A459="","",COUNTIFS(Assessments!G:G,$A459,Assessments!B:B,"&gt;="&amp;$B$4,Assessments!B:B,"&lt;="&amp;$B$5,Assessments!C:C,IF($E$4="",$B459,$E$4),Assessments!D:D,IF($E$5="",$C459,$E$5)))</f>
        <v/>
      </c>
      <c r="E459">
        <f>IF($D459=0,"",ROUND(AVERAGEIFS(Assessments!J:J,Assessments!G:G,$A459,Assessments!B:B,"&gt;="&amp;$B$4,Assessments!B:B,"&lt;="&amp;$B$5,Assessments!C:C,IF($E$4="",$B459,$E$4),Assessments!D:D,IF($E$5="",$C459,$E$5)),0))</f>
        <v/>
      </c>
      <c r="F459">
        <f>IF($D459=0,"",MAXIFS(Assessments!J:J,Assessments!G:G,$A459,Assessments!B:B,"&gt;="&amp;$B$4,Assessments!B:B,"&lt;="&amp;$B$5,Assessments!C:C,IF($E$4="",$B459,$E$4),Assessments!D:D,IF($E$5="",$C459,$E$5)))</f>
        <v/>
      </c>
      <c r="G459">
        <f>IF($D459=0,"",MINIFS(Assessments!J:J,Assessments!G:G,$A459,Assessments!B:B,"&gt;="&amp;$B$4,Assessments!B:B,"&lt;="&amp;$B$5,Assessments!C:C,IF($E$4="",$B459,$E$4),Assessments!D:D,IF($E$5="",$C459,$E$5)))</f>
        <v/>
      </c>
      <c r="H459">
        <f>IF($E459="","",RANK($E459,$E$8:$E$507,0))</f>
        <v/>
      </c>
      <c r="I459">
        <f>IF($E459="","",IF($E459&gt;=85,"Excellent",IF($E459&gt;=70,"Good",IF($E459&gt;=50,"Fair","Needs Support"))))</f>
        <v/>
      </c>
    </row>
    <row r="460">
      <c r="A460">
        <f>IF(Students!A454="","",Students!A454)</f>
        <v/>
      </c>
      <c r="B460">
        <f>IF($A460="","",Students!B454)</f>
        <v/>
      </c>
      <c r="C460">
        <f>IF($A460="","",Students!C454)</f>
        <v/>
      </c>
      <c r="D460">
        <f>IF($A460="","",COUNTIFS(Assessments!G:G,$A460,Assessments!B:B,"&gt;="&amp;$B$4,Assessments!B:B,"&lt;="&amp;$B$5,Assessments!C:C,IF($E$4="",$B460,$E$4),Assessments!D:D,IF($E$5="",$C460,$E$5)))</f>
        <v/>
      </c>
      <c r="E460">
        <f>IF($D460=0,"",ROUND(AVERAGEIFS(Assessments!J:J,Assessments!G:G,$A460,Assessments!B:B,"&gt;="&amp;$B$4,Assessments!B:B,"&lt;="&amp;$B$5,Assessments!C:C,IF($E$4="",$B460,$E$4),Assessments!D:D,IF($E$5="",$C460,$E$5)),0))</f>
        <v/>
      </c>
      <c r="F460">
        <f>IF($D460=0,"",MAXIFS(Assessments!J:J,Assessments!G:G,$A460,Assessments!B:B,"&gt;="&amp;$B$4,Assessments!B:B,"&lt;="&amp;$B$5,Assessments!C:C,IF($E$4="",$B460,$E$4),Assessments!D:D,IF($E$5="",$C460,$E$5)))</f>
        <v/>
      </c>
      <c r="G460">
        <f>IF($D460=0,"",MINIFS(Assessments!J:J,Assessments!G:G,$A460,Assessments!B:B,"&gt;="&amp;$B$4,Assessments!B:B,"&lt;="&amp;$B$5,Assessments!C:C,IF($E$4="",$B460,$E$4),Assessments!D:D,IF($E$5="",$C460,$E$5)))</f>
        <v/>
      </c>
      <c r="H460">
        <f>IF($E460="","",RANK($E460,$E$8:$E$507,0))</f>
        <v/>
      </c>
      <c r="I460">
        <f>IF($E460="","",IF($E460&gt;=85,"Excellent",IF($E460&gt;=70,"Good",IF($E460&gt;=50,"Fair","Needs Support"))))</f>
        <v/>
      </c>
    </row>
    <row r="461">
      <c r="A461">
        <f>IF(Students!A455="","",Students!A455)</f>
        <v/>
      </c>
      <c r="B461">
        <f>IF($A461="","",Students!B455)</f>
        <v/>
      </c>
      <c r="C461">
        <f>IF($A461="","",Students!C455)</f>
        <v/>
      </c>
      <c r="D461">
        <f>IF($A461="","",COUNTIFS(Assessments!G:G,$A461,Assessments!B:B,"&gt;="&amp;$B$4,Assessments!B:B,"&lt;="&amp;$B$5,Assessments!C:C,IF($E$4="",$B461,$E$4),Assessments!D:D,IF($E$5="",$C461,$E$5)))</f>
        <v/>
      </c>
      <c r="E461">
        <f>IF($D461=0,"",ROUND(AVERAGEIFS(Assessments!J:J,Assessments!G:G,$A461,Assessments!B:B,"&gt;="&amp;$B$4,Assessments!B:B,"&lt;="&amp;$B$5,Assessments!C:C,IF($E$4="",$B461,$E$4),Assessments!D:D,IF($E$5="",$C461,$E$5)),0))</f>
        <v/>
      </c>
      <c r="F461">
        <f>IF($D461=0,"",MAXIFS(Assessments!J:J,Assessments!G:G,$A461,Assessments!B:B,"&gt;="&amp;$B$4,Assessments!B:B,"&lt;="&amp;$B$5,Assessments!C:C,IF($E$4="",$B461,$E$4),Assessments!D:D,IF($E$5="",$C461,$E$5)))</f>
        <v/>
      </c>
      <c r="G461">
        <f>IF($D461=0,"",MINIFS(Assessments!J:J,Assessments!G:G,$A461,Assessments!B:B,"&gt;="&amp;$B$4,Assessments!B:B,"&lt;="&amp;$B$5,Assessments!C:C,IF($E$4="",$B461,$E$4),Assessments!D:D,IF($E$5="",$C461,$E$5)))</f>
        <v/>
      </c>
      <c r="H461">
        <f>IF($E461="","",RANK($E461,$E$8:$E$507,0))</f>
        <v/>
      </c>
      <c r="I461">
        <f>IF($E461="","",IF($E461&gt;=85,"Excellent",IF($E461&gt;=70,"Good",IF($E461&gt;=50,"Fair","Needs Support"))))</f>
        <v/>
      </c>
    </row>
    <row r="462">
      <c r="A462">
        <f>IF(Students!A456="","",Students!A456)</f>
        <v/>
      </c>
      <c r="B462">
        <f>IF($A462="","",Students!B456)</f>
        <v/>
      </c>
      <c r="C462">
        <f>IF($A462="","",Students!C456)</f>
        <v/>
      </c>
      <c r="D462">
        <f>IF($A462="","",COUNTIFS(Assessments!G:G,$A462,Assessments!B:B,"&gt;="&amp;$B$4,Assessments!B:B,"&lt;="&amp;$B$5,Assessments!C:C,IF($E$4="",$B462,$E$4),Assessments!D:D,IF($E$5="",$C462,$E$5)))</f>
        <v/>
      </c>
      <c r="E462">
        <f>IF($D462=0,"",ROUND(AVERAGEIFS(Assessments!J:J,Assessments!G:G,$A462,Assessments!B:B,"&gt;="&amp;$B$4,Assessments!B:B,"&lt;="&amp;$B$5,Assessments!C:C,IF($E$4="",$B462,$E$4),Assessments!D:D,IF($E$5="",$C462,$E$5)),0))</f>
        <v/>
      </c>
      <c r="F462">
        <f>IF($D462=0,"",MAXIFS(Assessments!J:J,Assessments!G:G,$A462,Assessments!B:B,"&gt;="&amp;$B$4,Assessments!B:B,"&lt;="&amp;$B$5,Assessments!C:C,IF($E$4="",$B462,$E$4),Assessments!D:D,IF($E$5="",$C462,$E$5)))</f>
        <v/>
      </c>
      <c r="G462">
        <f>IF($D462=0,"",MINIFS(Assessments!J:J,Assessments!G:G,$A462,Assessments!B:B,"&gt;="&amp;$B$4,Assessments!B:B,"&lt;="&amp;$B$5,Assessments!C:C,IF($E$4="",$B462,$E$4),Assessments!D:D,IF($E$5="",$C462,$E$5)))</f>
        <v/>
      </c>
      <c r="H462">
        <f>IF($E462="","",RANK($E462,$E$8:$E$507,0))</f>
        <v/>
      </c>
      <c r="I462">
        <f>IF($E462="","",IF($E462&gt;=85,"Excellent",IF($E462&gt;=70,"Good",IF($E462&gt;=50,"Fair","Needs Support"))))</f>
        <v/>
      </c>
    </row>
    <row r="463">
      <c r="A463">
        <f>IF(Students!A457="","",Students!A457)</f>
        <v/>
      </c>
      <c r="B463">
        <f>IF($A463="","",Students!B457)</f>
        <v/>
      </c>
      <c r="C463">
        <f>IF($A463="","",Students!C457)</f>
        <v/>
      </c>
      <c r="D463">
        <f>IF($A463="","",COUNTIFS(Assessments!G:G,$A463,Assessments!B:B,"&gt;="&amp;$B$4,Assessments!B:B,"&lt;="&amp;$B$5,Assessments!C:C,IF($E$4="",$B463,$E$4),Assessments!D:D,IF($E$5="",$C463,$E$5)))</f>
        <v/>
      </c>
      <c r="E463">
        <f>IF($D463=0,"",ROUND(AVERAGEIFS(Assessments!J:J,Assessments!G:G,$A463,Assessments!B:B,"&gt;="&amp;$B$4,Assessments!B:B,"&lt;="&amp;$B$5,Assessments!C:C,IF($E$4="",$B463,$E$4),Assessments!D:D,IF($E$5="",$C463,$E$5)),0))</f>
        <v/>
      </c>
      <c r="F463">
        <f>IF($D463=0,"",MAXIFS(Assessments!J:J,Assessments!G:G,$A463,Assessments!B:B,"&gt;="&amp;$B$4,Assessments!B:B,"&lt;="&amp;$B$5,Assessments!C:C,IF($E$4="",$B463,$E$4),Assessments!D:D,IF($E$5="",$C463,$E$5)))</f>
        <v/>
      </c>
      <c r="G463">
        <f>IF($D463=0,"",MINIFS(Assessments!J:J,Assessments!G:G,$A463,Assessments!B:B,"&gt;="&amp;$B$4,Assessments!B:B,"&lt;="&amp;$B$5,Assessments!C:C,IF($E$4="",$B463,$E$4),Assessments!D:D,IF($E$5="",$C463,$E$5)))</f>
        <v/>
      </c>
      <c r="H463">
        <f>IF($E463="","",RANK($E463,$E$8:$E$507,0))</f>
        <v/>
      </c>
      <c r="I463">
        <f>IF($E463="","",IF($E463&gt;=85,"Excellent",IF($E463&gt;=70,"Good",IF($E463&gt;=50,"Fair","Needs Support"))))</f>
        <v/>
      </c>
    </row>
    <row r="464">
      <c r="A464">
        <f>IF(Students!A458="","",Students!A458)</f>
        <v/>
      </c>
      <c r="B464">
        <f>IF($A464="","",Students!B458)</f>
        <v/>
      </c>
      <c r="C464">
        <f>IF($A464="","",Students!C458)</f>
        <v/>
      </c>
      <c r="D464">
        <f>IF($A464="","",COUNTIFS(Assessments!G:G,$A464,Assessments!B:B,"&gt;="&amp;$B$4,Assessments!B:B,"&lt;="&amp;$B$5,Assessments!C:C,IF($E$4="",$B464,$E$4),Assessments!D:D,IF($E$5="",$C464,$E$5)))</f>
        <v/>
      </c>
      <c r="E464">
        <f>IF($D464=0,"",ROUND(AVERAGEIFS(Assessments!J:J,Assessments!G:G,$A464,Assessments!B:B,"&gt;="&amp;$B$4,Assessments!B:B,"&lt;="&amp;$B$5,Assessments!C:C,IF($E$4="",$B464,$E$4),Assessments!D:D,IF($E$5="",$C464,$E$5)),0))</f>
        <v/>
      </c>
      <c r="F464">
        <f>IF($D464=0,"",MAXIFS(Assessments!J:J,Assessments!G:G,$A464,Assessments!B:B,"&gt;="&amp;$B$4,Assessments!B:B,"&lt;="&amp;$B$5,Assessments!C:C,IF($E$4="",$B464,$E$4),Assessments!D:D,IF($E$5="",$C464,$E$5)))</f>
        <v/>
      </c>
      <c r="G464">
        <f>IF($D464=0,"",MINIFS(Assessments!J:J,Assessments!G:G,$A464,Assessments!B:B,"&gt;="&amp;$B$4,Assessments!B:B,"&lt;="&amp;$B$5,Assessments!C:C,IF($E$4="",$B464,$E$4),Assessments!D:D,IF($E$5="",$C464,$E$5)))</f>
        <v/>
      </c>
      <c r="H464">
        <f>IF($E464="","",RANK($E464,$E$8:$E$507,0))</f>
        <v/>
      </c>
      <c r="I464">
        <f>IF($E464="","",IF($E464&gt;=85,"Excellent",IF($E464&gt;=70,"Good",IF($E464&gt;=50,"Fair","Needs Support"))))</f>
        <v/>
      </c>
    </row>
    <row r="465">
      <c r="A465">
        <f>IF(Students!A459="","",Students!A459)</f>
        <v/>
      </c>
      <c r="B465">
        <f>IF($A465="","",Students!B459)</f>
        <v/>
      </c>
      <c r="C465">
        <f>IF($A465="","",Students!C459)</f>
        <v/>
      </c>
      <c r="D465">
        <f>IF($A465="","",COUNTIFS(Assessments!G:G,$A465,Assessments!B:B,"&gt;="&amp;$B$4,Assessments!B:B,"&lt;="&amp;$B$5,Assessments!C:C,IF($E$4="",$B465,$E$4),Assessments!D:D,IF($E$5="",$C465,$E$5)))</f>
        <v/>
      </c>
      <c r="E465">
        <f>IF($D465=0,"",ROUND(AVERAGEIFS(Assessments!J:J,Assessments!G:G,$A465,Assessments!B:B,"&gt;="&amp;$B$4,Assessments!B:B,"&lt;="&amp;$B$5,Assessments!C:C,IF($E$4="",$B465,$E$4),Assessments!D:D,IF($E$5="",$C465,$E$5)),0))</f>
        <v/>
      </c>
      <c r="F465">
        <f>IF($D465=0,"",MAXIFS(Assessments!J:J,Assessments!G:G,$A465,Assessments!B:B,"&gt;="&amp;$B$4,Assessments!B:B,"&lt;="&amp;$B$5,Assessments!C:C,IF($E$4="",$B465,$E$4),Assessments!D:D,IF($E$5="",$C465,$E$5)))</f>
        <v/>
      </c>
      <c r="G465">
        <f>IF($D465=0,"",MINIFS(Assessments!J:J,Assessments!G:G,$A465,Assessments!B:B,"&gt;="&amp;$B$4,Assessments!B:B,"&lt;="&amp;$B$5,Assessments!C:C,IF($E$4="",$B465,$E$4),Assessments!D:D,IF($E$5="",$C465,$E$5)))</f>
        <v/>
      </c>
      <c r="H465">
        <f>IF($E465="","",RANK($E465,$E$8:$E$507,0))</f>
        <v/>
      </c>
      <c r="I465">
        <f>IF($E465="","",IF($E465&gt;=85,"Excellent",IF($E465&gt;=70,"Good",IF($E465&gt;=50,"Fair","Needs Support"))))</f>
        <v/>
      </c>
    </row>
    <row r="466">
      <c r="A466">
        <f>IF(Students!A460="","",Students!A460)</f>
        <v/>
      </c>
      <c r="B466">
        <f>IF($A466="","",Students!B460)</f>
        <v/>
      </c>
      <c r="C466">
        <f>IF($A466="","",Students!C460)</f>
        <v/>
      </c>
      <c r="D466">
        <f>IF($A466="","",COUNTIFS(Assessments!G:G,$A466,Assessments!B:B,"&gt;="&amp;$B$4,Assessments!B:B,"&lt;="&amp;$B$5,Assessments!C:C,IF($E$4="",$B466,$E$4),Assessments!D:D,IF($E$5="",$C466,$E$5)))</f>
        <v/>
      </c>
      <c r="E466">
        <f>IF($D466=0,"",ROUND(AVERAGEIFS(Assessments!J:J,Assessments!G:G,$A466,Assessments!B:B,"&gt;="&amp;$B$4,Assessments!B:B,"&lt;="&amp;$B$5,Assessments!C:C,IF($E$4="",$B466,$E$4),Assessments!D:D,IF($E$5="",$C466,$E$5)),0))</f>
        <v/>
      </c>
      <c r="F466">
        <f>IF($D466=0,"",MAXIFS(Assessments!J:J,Assessments!G:G,$A466,Assessments!B:B,"&gt;="&amp;$B$4,Assessments!B:B,"&lt;="&amp;$B$5,Assessments!C:C,IF($E$4="",$B466,$E$4),Assessments!D:D,IF($E$5="",$C466,$E$5)))</f>
        <v/>
      </c>
      <c r="G466">
        <f>IF($D466=0,"",MINIFS(Assessments!J:J,Assessments!G:G,$A466,Assessments!B:B,"&gt;="&amp;$B$4,Assessments!B:B,"&lt;="&amp;$B$5,Assessments!C:C,IF($E$4="",$B466,$E$4),Assessments!D:D,IF($E$5="",$C466,$E$5)))</f>
        <v/>
      </c>
      <c r="H466">
        <f>IF($E466="","",RANK($E466,$E$8:$E$507,0))</f>
        <v/>
      </c>
      <c r="I466">
        <f>IF($E466="","",IF($E466&gt;=85,"Excellent",IF($E466&gt;=70,"Good",IF($E466&gt;=50,"Fair","Needs Support"))))</f>
        <v/>
      </c>
    </row>
    <row r="467">
      <c r="A467">
        <f>IF(Students!A461="","",Students!A461)</f>
        <v/>
      </c>
      <c r="B467">
        <f>IF($A467="","",Students!B461)</f>
        <v/>
      </c>
      <c r="C467">
        <f>IF($A467="","",Students!C461)</f>
        <v/>
      </c>
      <c r="D467">
        <f>IF($A467="","",COUNTIFS(Assessments!G:G,$A467,Assessments!B:B,"&gt;="&amp;$B$4,Assessments!B:B,"&lt;="&amp;$B$5,Assessments!C:C,IF($E$4="",$B467,$E$4),Assessments!D:D,IF($E$5="",$C467,$E$5)))</f>
        <v/>
      </c>
      <c r="E467">
        <f>IF($D467=0,"",ROUND(AVERAGEIFS(Assessments!J:J,Assessments!G:G,$A467,Assessments!B:B,"&gt;="&amp;$B$4,Assessments!B:B,"&lt;="&amp;$B$5,Assessments!C:C,IF($E$4="",$B467,$E$4),Assessments!D:D,IF($E$5="",$C467,$E$5)),0))</f>
        <v/>
      </c>
      <c r="F467">
        <f>IF($D467=0,"",MAXIFS(Assessments!J:J,Assessments!G:G,$A467,Assessments!B:B,"&gt;="&amp;$B$4,Assessments!B:B,"&lt;="&amp;$B$5,Assessments!C:C,IF($E$4="",$B467,$E$4),Assessments!D:D,IF($E$5="",$C467,$E$5)))</f>
        <v/>
      </c>
      <c r="G467">
        <f>IF($D467=0,"",MINIFS(Assessments!J:J,Assessments!G:G,$A467,Assessments!B:B,"&gt;="&amp;$B$4,Assessments!B:B,"&lt;="&amp;$B$5,Assessments!C:C,IF($E$4="",$B467,$E$4),Assessments!D:D,IF($E$5="",$C467,$E$5)))</f>
        <v/>
      </c>
      <c r="H467">
        <f>IF($E467="","",RANK($E467,$E$8:$E$507,0))</f>
        <v/>
      </c>
      <c r="I467">
        <f>IF($E467="","",IF($E467&gt;=85,"Excellent",IF($E467&gt;=70,"Good",IF($E467&gt;=50,"Fair","Needs Support"))))</f>
        <v/>
      </c>
    </row>
    <row r="468">
      <c r="A468">
        <f>IF(Students!A462="","",Students!A462)</f>
        <v/>
      </c>
      <c r="B468">
        <f>IF($A468="","",Students!B462)</f>
        <v/>
      </c>
      <c r="C468">
        <f>IF($A468="","",Students!C462)</f>
        <v/>
      </c>
      <c r="D468">
        <f>IF($A468="","",COUNTIFS(Assessments!G:G,$A468,Assessments!B:B,"&gt;="&amp;$B$4,Assessments!B:B,"&lt;="&amp;$B$5,Assessments!C:C,IF($E$4="",$B468,$E$4),Assessments!D:D,IF($E$5="",$C468,$E$5)))</f>
        <v/>
      </c>
      <c r="E468">
        <f>IF($D468=0,"",ROUND(AVERAGEIFS(Assessments!J:J,Assessments!G:G,$A468,Assessments!B:B,"&gt;="&amp;$B$4,Assessments!B:B,"&lt;="&amp;$B$5,Assessments!C:C,IF($E$4="",$B468,$E$4),Assessments!D:D,IF($E$5="",$C468,$E$5)),0))</f>
        <v/>
      </c>
      <c r="F468">
        <f>IF($D468=0,"",MAXIFS(Assessments!J:J,Assessments!G:G,$A468,Assessments!B:B,"&gt;="&amp;$B$4,Assessments!B:B,"&lt;="&amp;$B$5,Assessments!C:C,IF($E$4="",$B468,$E$4),Assessments!D:D,IF($E$5="",$C468,$E$5)))</f>
        <v/>
      </c>
      <c r="G468">
        <f>IF($D468=0,"",MINIFS(Assessments!J:J,Assessments!G:G,$A468,Assessments!B:B,"&gt;="&amp;$B$4,Assessments!B:B,"&lt;="&amp;$B$5,Assessments!C:C,IF($E$4="",$B468,$E$4),Assessments!D:D,IF($E$5="",$C468,$E$5)))</f>
        <v/>
      </c>
      <c r="H468">
        <f>IF($E468="","",RANK($E468,$E$8:$E$507,0))</f>
        <v/>
      </c>
      <c r="I468">
        <f>IF($E468="","",IF($E468&gt;=85,"Excellent",IF($E468&gt;=70,"Good",IF($E468&gt;=50,"Fair","Needs Support"))))</f>
        <v/>
      </c>
    </row>
    <row r="469">
      <c r="A469">
        <f>IF(Students!A463="","",Students!A463)</f>
        <v/>
      </c>
      <c r="B469">
        <f>IF($A469="","",Students!B463)</f>
        <v/>
      </c>
      <c r="C469">
        <f>IF($A469="","",Students!C463)</f>
        <v/>
      </c>
      <c r="D469">
        <f>IF($A469="","",COUNTIFS(Assessments!G:G,$A469,Assessments!B:B,"&gt;="&amp;$B$4,Assessments!B:B,"&lt;="&amp;$B$5,Assessments!C:C,IF($E$4="",$B469,$E$4),Assessments!D:D,IF($E$5="",$C469,$E$5)))</f>
        <v/>
      </c>
      <c r="E469">
        <f>IF($D469=0,"",ROUND(AVERAGEIFS(Assessments!J:J,Assessments!G:G,$A469,Assessments!B:B,"&gt;="&amp;$B$4,Assessments!B:B,"&lt;="&amp;$B$5,Assessments!C:C,IF($E$4="",$B469,$E$4),Assessments!D:D,IF($E$5="",$C469,$E$5)),0))</f>
        <v/>
      </c>
      <c r="F469">
        <f>IF($D469=0,"",MAXIFS(Assessments!J:J,Assessments!G:G,$A469,Assessments!B:B,"&gt;="&amp;$B$4,Assessments!B:B,"&lt;="&amp;$B$5,Assessments!C:C,IF($E$4="",$B469,$E$4),Assessments!D:D,IF($E$5="",$C469,$E$5)))</f>
        <v/>
      </c>
      <c r="G469">
        <f>IF($D469=0,"",MINIFS(Assessments!J:J,Assessments!G:G,$A469,Assessments!B:B,"&gt;="&amp;$B$4,Assessments!B:B,"&lt;="&amp;$B$5,Assessments!C:C,IF($E$4="",$B469,$E$4),Assessments!D:D,IF($E$5="",$C469,$E$5)))</f>
        <v/>
      </c>
      <c r="H469">
        <f>IF($E469="","",RANK($E469,$E$8:$E$507,0))</f>
        <v/>
      </c>
      <c r="I469">
        <f>IF($E469="","",IF($E469&gt;=85,"Excellent",IF($E469&gt;=70,"Good",IF($E469&gt;=50,"Fair","Needs Support"))))</f>
        <v/>
      </c>
    </row>
    <row r="470">
      <c r="A470">
        <f>IF(Students!A464="","",Students!A464)</f>
        <v/>
      </c>
      <c r="B470">
        <f>IF($A470="","",Students!B464)</f>
        <v/>
      </c>
      <c r="C470">
        <f>IF($A470="","",Students!C464)</f>
        <v/>
      </c>
      <c r="D470">
        <f>IF($A470="","",COUNTIFS(Assessments!G:G,$A470,Assessments!B:B,"&gt;="&amp;$B$4,Assessments!B:B,"&lt;="&amp;$B$5,Assessments!C:C,IF($E$4="",$B470,$E$4),Assessments!D:D,IF($E$5="",$C470,$E$5)))</f>
        <v/>
      </c>
      <c r="E470">
        <f>IF($D470=0,"",ROUND(AVERAGEIFS(Assessments!J:J,Assessments!G:G,$A470,Assessments!B:B,"&gt;="&amp;$B$4,Assessments!B:B,"&lt;="&amp;$B$5,Assessments!C:C,IF($E$4="",$B470,$E$4),Assessments!D:D,IF($E$5="",$C470,$E$5)),0))</f>
        <v/>
      </c>
      <c r="F470">
        <f>IF($D470=0,"",MAXIFS(Assessments!J:J,Assessments!G:G,$A470,Assessments!B:B,"&gt;="&amp;$B$4,Assessments!B:B,"&lt;="&amp;$B$5,Assessments!C:C,IF($E$4="",$B470,$E$4),Assessments!D:D,IF($E$5="",$C470,$E$5)))</f>
        <v/>
      </c>
      <c r="G470">
        <f>IF($D470=0,"",MINIFS(Assessments!J:J,Assessments!G:G,$A470,Assessments!B:B,"&gt;="&amp;$B$4,Assessments!B:B,"&lt;="&amp;$B$5,Assessments!C:C,IF($E$4="",$B470,$E$4),Assessments!D:D,IF($E$5="",$C470,$E$5)))</f>
        <v/>
      </c>
      <c r="H470">
        <f>IF($E470="","",RANK($E470,$E$8:$E$507,0))</f>
        <v/>
      </c>
      <c r="I470">
        <f>IF($E470="","",IF($E470&gt;=85,"Excellent",IF($E470&gt;=70,"Good",IF($E470&gt;=50,"Fair","Needs Support"))))</f>
        <v/>
      </c>
    </row>
    <row r="471">
      <c r="A471">
        <f>IF(Students!A465="","",Students!A465)</f>
        <v/>
      </c>
      <c r="B471">
        <f>IF($A471="","",Students!B465)</f>
        <v/>
      </c>
      <c r="C471">
        <f>IF($A471="","",Students!C465)</f>
        <v/>
      </c>
      <c r="D471">
        <f>IF($A471="","",COUNTIFS(Assessments!G:G,$A471,Assessments!B:B,"&gt;="&amp;$B$4,Assessments!B:B,"&lt;="&amp;$B$5,Assessments!C:C,IF($E$4="",$B471,$E$4),Assessments!D:D,IF($E$5="",$C471,$E$5)))</f>
        <v/>
      </c>
      <c r="E471">
        <f>IF($D471=0,"",ROUND(AVERAGEIFS(Assessments!J:J,Assessments!G:G,$A471,Assessments!B:B,"&gt;="&amp;$B$4,Assessments!B:B,"&lt;="&amp;$B$5,Assessments!C:C,IF($E$4="",$B471,$E$4),Assessments!D:D,IF($E$5="",$C471,$E$5)),0))</f>
        <v/>
      </c>
      <c r="F471">
        <f>IF($D471=0,"",MAXIFS(Assessments!J:J,Assessments!G:G,$A471,Assessments!B:B,"&gt;="&amp;$B$4,Assessments!B:B,"&lt;="&amp;$B$5,Assessments!C:C,IF($E$4="",$B471,$E$4),Assessments!D:D,IF($E$5="",$C471,$E$5)))</f>
        <v/>
      </c>
      <c r="G471">
        <f>IF($D471=0,"",MINIFS(Assessments!J:J,Assessments!G:G,$A471,Assessments!B:B,"&gt;="&amp;$B$4,Assessments!B:B,"&lt;="&amp;$B$5,Assessments!C:C,IF($E$4="",$B471,$E$4),Assessments!D:D,IF($E$5="",$C471,$E$5)))</f>
        <v/>
      </c>
      <c r="H471">
        <f>IF($E471="","",RANK($E471,$E$8:$E$507,0))</f>
        <v/>
      </c>
      <c r="I471">
        <f>IF($E471="","",IF($E471&gt;=85,"Excellent",IF($E471&gt;=70,"Good",IF($E471&gt;=50,"Fair","Needs Support"))))</f>
        <v/>
      </c>
    </row>
    <row r="472">
      <c r="A472">
        <f>IF(Students!A466="","",Students!A466)</f>
        <v/>
      </c>
      <c r="B472">
        <f>IF($A472="","",Students!B466)</f>
        <v/>
      </c>
      <c r="C472">
        <f>IF($A472="","",Students!C466)</f>
        <v/>
      </c>
      <c r="D472">
        <f>IF($A472="","",COUNTIFS(Assessments!G:G,$A472,Assessments!B:B,"&gt;="&amp;$B$4,Assessments!B:B,"&lt;="&amp;$B$5,Assessments!C:C,IF($E$4="",$B472,$E$4),Assessments!D:D,IF($E$5="",$C472,$E$5)))</f>
        <v/>
      </c>
      <c r="E472">
        <f>IF($D472=0,"",ROUND(AVERAGEIFS(Assessments!J:J,Assessments!G:G,$A472,Assessments!B:B,"&gt;="&amp;$B$4,Assessments!B:B,"&lt;="&amp;$B$5,Assessments!C:C,IF($E$4="",$B472,$E$4),Assessments!D:D,IF($E$5="",$C472,$E$5)),0))</f>
        <v/>
      </c>
      <c r="F472">
        <f>IF($D472=0,"",MAXIFS(Assessments!J:J,Assessments!G:G,$A472,Assessments!B:B,"&gt;="&amp;$B$4,Assessments!B:B,"&lt;="&amp;$B$5,Assessments!C:C,IF($E$4="",$B472,$E$4),Assessments!D:D,IF($E$5="",$C472,$E$5)))</f>
        <v/>
      </c>
      <c r="G472">
        <f>IF($D472=0,"",MINIFS(Assessments!J:J,Assessments!G:G,$A472,Assessments!B:B,"&gt;="&amp;$B$4,Assessments!B:B,"&lt;="&amp;$B$5,Assessments!C:C,IF($E$4="",$B472,$E$4),Assessments!D:D,IF($E$5="",$C472,$E$5)))</f>
        <v/>
      </c>
      <c r="H472">
        <f>IF($E472="","",RANK($E472,$E$8:$E$507,0))</f>
        <v/>
      </c>
      <c r="I472">
        <f>IF($E472="","",IF($E472&gt;=85,"Excellent",IF($E472&gt;=70,"Good",IF($E472&gt;=50,"Fair","Needs Support"))))</f>
        <v/>
      </c>
    </row>
    <row r="473">
      <c r="A473">
        <f>IF(Students!A467="","",Students!A467)</f>
        <v/>
      </c>
      <c r="B473">
        <f>IF($A473="","",Students!B467)</f>
        <v/>
      </c>
      <c r="C473">
        <f>IF($A473="","",Students!C467)</f>
        <v/>
      </c>
      <c r="D473">
        <f>IF($A473="","",COUNTIFS(Assessments!G:G,$A473,Assessments!B:B,"&gt;="&amp;$B$4,Assessments!B:B,"&lt;="&amp;$B$5,Assessments!C:C,IF($E$4="",$B473,$E$4),Assessments!D:D,IF($E$5="",$C473,$E$5)))</f>
        <v/>
      </c>
      <c r="E473">
        <f>IF($D473=0,"",ROUND(AVERAGEIFS(Assessments!J:J,Assessments!G:G,$A473,Assessments!B:B,"&gt;="&amp;$B$4,Assessments!B:B,"&lt;="&amp;$B$5,Assessments!C:C,IF($E$4="",$B473,$E$4),Assessments!D:D,IF($E$5="",$C473,$E$5)),0))</f>
        <v/>
      </c>
      <c r="F473">
        <f>IF($D473=0,"",MAXIFS(Assessments!J:J,Assessments!G:G,$A473,Assessments!B:B,"&gt;="&amp;$B$4,Assessments!B:B,"&lt;="&amp;$B$5,Assessments!C:C,IF($E$4="",$B473,$E$4),Assessments!D:D,IF($E$5="",$C473,$E$5)))</f>
        <v/>
      </c>
      <c r="G473">
        <f>IF($D473=0,"",MINIFS(Assessments!J:J,Assessments!G:G,$A473,Assessments!B:B,"&gt;="&amp;$B$4,Assessments!B:B,"&lt;="&amp;$B$5,Assessments!C:C,IF($E$4="",$B473,$E$4),Assessments!D:D,IF($E$5="",$C473,$E$5)))</f>
        <v/>
      </c>
      <c r="H473">
        <f>IF($E473="","",RANK($E473,$E$8:$E$507,0))</f>
        <v/>
      </c>
      <c r="I473">
        <f>IF($E473="","",IF($E473&gt;=85,"Excellent",IF($E473&gt;=70,"Good",IF($E473&gt;=50,"Fair","Needs Support"))))</f>
        <v/>
      </c>
    </row>
    <row r="474">
      <c r="A474">
        <f>IF(Students!A468="","",Students!A468)</f>
        <v/>
      </c>
      <c r="B474">
        <f>IF($A474="","",Students!B468)</f>
        <v/>
      </c>
      <c r="C474">
        <f>IF($A474="","",Students!C468)</f>
        <v/>
      </c>
      <c r="D474">
        <f>IF($A474="","",COUNTIFS(Assessments!G:G,$A474,Assessments!B:B,"&gt;="&amp;$B$4,Assessments!B:B,"&lt;="&amp;$B$5,Assessments!C:C,IF($E$4="",$B474,$E$4),Assessments!D:D,IF($E$5="",$C474,$E$5)))</f>
        <v/>
      </c>
      <c r="E474">
        <f>IF($D474=0,"",ROUND(AVERAGEIFS(Assessments!J:J,Assessments!G:G,$A474,Assessments!B:B,"&gt;="&amp;$B$4,Assessments!B:B,"&lt;="&amp;$B$5,Assessments!C:C,IF($E$4="",$B474,$E$4),Assessments!D:D,IF($E$5="",$C474,$E$5)),0))</f>
        <v/>
      </c>
      <c r="F474">
        <f>IF($D474=0,"",MAXIFS(Assessments!J:J,Assessments!G:G,$A474,Assessments!B:B,"&gt;="&amp;$B$4,Assessments!B:B,"&lt;="&amp;$B$5,Assessments!C:C,IF($E$4="",$B474,$E$4),Assessments!D:D,IF($E$5="",$C474,$E$5)))</f>
        <v/>
      </c>
      <c r="G474">
        <f>IF($D474=0,"",MINIFS(Assessments!J:J,Assessments!G:G,$A474,Assessments!B:B,"&gt;="&amp;$B$4,Assessments!B:B,"&lt;="&amp;$B$5,Assessments!C:C,IF($E$4="",$B474,$E$4),Assessments!D:D,IF($E$5="",$C474,$E$5)))</f>
        <v/>
      </c>
      <c r="H474">
        <f>IF($E474="","",RANK($E474,$E$8:$E$507,0))</f>
        <v/>
      </c>
      <c r="I474">
        <f>IF($E474="","",IF($E474&gt;=85,"Excellent",IF($E474&gt;=70,"Good",IF($E474&gt;=50,"Fair","Needs Support"))))</f>
        <v/>
      </c>
    </row>
    <row r="475">
      <c r="A475">
        <f>IF(Students!A469="","",Students!A469)</f>
        <v/>
      </c>
      <c r="B475">
        <f>IF($A475="","",Students!B469)</f>
        <v/>
      </c>
      <c r="C475">
        <f>IF($A475="","",Students!C469)</f>
        <v/>
      </c>
      <c r="D475">
        <f>IF($A475="","",COUNTIFS(Assessments!G:G,$A475,Assessments!B:B,"&gt;="&amp;$B$4,Assessments!B:B,"&lt;="&amp;$B$5,Assessments!C:C,IF($E$4="",$B475,$E$4),Assessments!D:D,IF($E$5="",$C475,$E$5)))</f>
        <v/>
      </c>
      <c r="E475">
        <f>IF($D475=0,"",ROUND(AVERAGEIFS(Assessments!J:J,Assessments!G:G,$A475,Assessments!B:B,"&gt;="&amp;$B$4,Assessments!B:B,"&lt;="&amp;$B$5,Assessments!C:C,IF($E$4="",$B475,$E$4),Assessments!D:D,IF($E$5="",$C475,$E$5)),0))</f>
        <v/>
      </c>
      <c r="F475">
        <f>IF($D475=0,"",MAXIFS(Assessments!J:J,Assessments!G:G,$A475,Assessments!B:B,"&gt;="&amp;$B$4,Assessments!B:B,"&lt;="&amp;$B$5,Assessments!C:C,IF($E$4="",$B475,$E$4),Assessments!D:D,IF($E$5="",$C475,$E$5)))</f>
        <v/>
      </c>
      <c r="G475">
        <f>IF($D475=0,"",MINIFS(Assessments!J:J,Assessments!G:G,$A475,Assessments!B:B,"&gt;="&amp;$B$4,Assessments!B:B,"&lt;="&amp;$B$5,Assessments!C:C,IF($E$4="",$B475,$E$4),Assessments!D:D,IF($E$5="",$C475,$E$5)))</f>
        <v/>
      </c>
      <c r="H475">
        <f>IF($E475="","",RANK($E475,$E$8:$E$507,0))</f>
        <v/>
      </c>
      <c r="I475">
        <f>IF($E475="","",IF($E475&gt;=85,"Excellent",IF($E475&gt;=70,"Good",IF($E475&gt;=50,"Fair","Needs Support"))))</f>
        <v/>
      </c>
    </row>
    <row r="476">
      <c r="A476">
        <f>IF(Students!A470="","",Students!A470)</f>
        <v/>
      </c>
      <c r="B476">
        <f>IF($A476="","",Students!B470)</f>
        <v/>
      </c>
      <c r="C476">
        <f>IF($A476="","",Students!C470)</f>
        <v/>
      </c>
      <c r="D476">
        <f>IF($A476="","",COUNTIFS(Assessments!G:G,$A476,Assessments!B:B,"&gt;="&amp;$B$4,Assessments!B:B,"&lt;="&amp;$B$5,Assessments!C:C,IF($E$4="",$B476,$E$4),Assessments!D:D,IF($E$5="",$C476,$E$5)))</f>
        <v/>
      </c>
      <c r="E476">
        <f>IF($D476=0,"",ROUND(AVERAGEIFS(Assessments!J:J,Assessments!G:G,$A476,Assessments!B:B,"&gt;="&amp;$B$4,Assessments!B:B,"&lt;="&amp;$B$5,Assessments!C:C,IF($E$4="",$B476,$E$4),Assessments!D:D,IF($E$5="",$C476,$E$5)),0))</f>
        <v/>
      </c>
      <c r="F476">
        <f>IF($D476=0,"",MAXIFS(Assessments!J:J,Assessments!G:G,$A476,Assessments!B:B,"&gt;="&amp;$B$4,Assessments!B:B,"&lt;="&amp;$B$5,Assessments!C:C,IF($E$4="",$B476,$E$4),Assessments!D:D,IF($E$5="",$C476,$E$5)))</f>
        <v/>
      </c>
      <c r="G476">
        <f>IF($D476=0,"",MINIFS(Assessments!J:J,Assessments!G:G,$A476,Assessments!B:B,"&gt;="&amp;$B$4,Assessments!B:B,"&lt;="&amp;$B$5,Assessments!C:C,IF($E$4="",$B476,$E$4),Assessments!D:D,IF($E$5="",$C476,$E$5)))</f>
        <v/>
      </c>
      <c r="H476">
        <f>IF($E476="","",RANK($E476,$E$8:$E$507,0))</f>
        <v/>
      </c>
      <c r="I476">
        <f>IF($E476="","",IF($E476&gt;=85,"Excellent",IF($E476&gt;=70,"Good",IF($E476&gt;=50,"Fair","Needs Support"))))</f>
        <v/>
      </c>
    </row>
    <row r="477">
      <c r="A477">
        <f>IF(Students!A471="","",Students!A471)</f>
        <v/>
      </c>
      <c r="B477">
        <f>IF($A477="","",Students!B471)</f>
        <v/>
      </c>
      <c r="C477">
        <f>IF($A477="","",Students!C471)</f>
        <v/>
      </c>
      <c r="D477">
        <f>IF($A477="","",COUNTIFS(Assessments!G:G,$A477,Assessments!B:B,"&gt;="&amp;$B$4,Assessments!B:B,"&lt;="&amp;$B$5,Assessments!C:C,IF($E$4="",$B477,$E$4),Assessments!D:D,IF($E$5="",$C477,$E$5)))</f>
        <v/>
      </c>
      <c r="E477">
        <f>IF($D477=0,"",ROUND(AVERAGEIFS(Assessments!J:J,Assessments!G:G,$A477,Assessments!B:B,"&gt;="&amp;$B$4,Assessments!B:B,"&lt;="&amp;$B$5,Assessments!C:C,IF($E$4="",$B477,$E$4),Assessments!D:D,IF($E$5="",$C477,$E$5)),0))</f>
        <v/>
      </c>
      <c r="F477">
        <f>IF($D477=0,"",MAXIFS(Assessments!J:J,Assessments!G:G,$A477,Assessments!B:B,"&gt;="&amp;$B$4,Assessments!B:B,"&lt;="&amp;$B$5,Assessments!C:C,IF($E$4="",$B477,$E$4),Assessments!D:D,IF($E$5="",$C477,$E$5)))</f>
        <v/>
      </c>
      <c r="G477">
        <f>IF($D477=0,"",MINIFS(Assessments!J:J,Assessments!G:G,$A477,Assessments!B:B,"&gt;="&amp;$B$4,Assessments!B:B,"&lt;="&amp;$B$5,Assessments!C:C,IF($E$4="",$B477,$E$4),Assessments!D:D,IF($E$5="",$C477,$E$5)))</f>
        <v/>
      </c>
      <c r="H477">
        <f>IF($E477="","",RANK($E477,$E$8:$E$507,0))</f>
        <v/>
      </c>
      <c r="I477">
        <f>IF($E477="","",IF($E477&gt;=85,"Excellent",IF($E477&gt;=70,"Good",IF($E477&gt;=50,"Fair","Needs Support"))))</f>
        <v/>
      </c>
    </row>
    <row r="478">
      <c r="A478">
        <f>IF(Students!A472="","",Students!A472)</f>
        <v/>
      </c>
      <c r="B478">
        <f>IF($A478="","",Students!B472)</f>
        <v/>
      </c>
      <c r="C478">
        <f>IF($A478="","",Students!C472)</f>
        <v/>
      </c>
      <c r="D478">
        <f>IF($A478="","",COUNTIFS(Assessments!G:G,$A478,Assessments!B:B,"&gt;="&amp;$B$4,Assessments!B:B,"&lt;="&amp;$B$5,Assessments!C:C,IF($E$4="",$B478,$E$4),Assessments!D:D,IF($E$5="",$C478,$E$5)))</f>
        <v/>
      </c>
      <c r="E478">
        <f>IF($D478=0,"",ROUND(AVERAGEIFS(Assessments!J:J,Assessments!G:G,$A478,Assessments!B:B,"&gt;="&amp;$B$4,Assessments!B:B,"&lt;="&amp;$B$5,Assessments!C:C,IF($E$4="",$B478,$E$4),Assessments!D:D,IF($E$5="",$C478,$E$5)),0))</f>
        <v/>
      </c>
      <c r="F478">
        <f>IF($D478=0,"",MAXIFS(Assessments!J:J,Assessments!G:G,$A478,Assessments!B:B,"&gt;="&amp;$B$4,Assessments!B:B,"&lt;="&amp;$B$5,Assessments!C:C,IF($E$4="",$B478,$E$4),Assessments!D:D,IF($E$5="",$C478,$E$5)))</f>
        <v/>
      </c>
      <c r="G478">
        <f>IF($D478=0,"",MINIFS(Assessments!J:J,Assessments!G:G,$A478,Assessments!B:B,"&gt;="&amp;$B$4,Assessments!B:B,"&lt;="&amp;$B$5,Assessments!C:C,IF($E$4="",$B478,$E$4),Assessments!D:D,IF($E$5="",$C478,$E$5)))</f>
        <v/>
      </c>
      <c r="H478">
        <f>IF($E478="","",RANK($E478,$E$8:$E$507,0))</f>
        <v/>
      </c>
      <c r="I478">
        <f>IF($E478="","",IF($E478&gt;=85,"Excellent",IF($E478&gt;=70,"Good",IF($E478&gt;=50,"Fair","Needs Support"))))</f>
        <v/>
      </c>
    </row>
    <row r="479">
      <c r="A479">
        <f>IF(Students!A473="","",Students!A473)</f>
        <v/>
      </c>
      <c r="B479">
        <f>IF($A479="","",Students!B473)</f>
        <v/>
      </c>
      <c r="C479">
        <f>IF($A479="","",Students!C473)</f>
        <v/>
      </c>
      <c r="D479">
        <f>IF($A479="","",COUNTIFS(Assessments!G:G,$A479,Assessments!B:B,"&gt;="&amp;$B$4,Assessments!B:B,"&lt;="&amp;$B$5,Assessments!C:C,IF($E$4="",$B479,$E$4),Assessments!D:D,IF($E$5="",$C479,$E$5)))</f>
        <v/>
      </c>
      <c r="E479">
        <f>IF($D479=0,"",ROUND(AVERAGEIFS(Assessments!J:J,Assessments!G:G,$A479,Assessments!B:B,"&gt;="&amp;$B$4,Assessments!B:B,"&lt;="&amp;$B$5,Assessments!C:C,IF($E$4="",$B479,$E$4),Assessments!D:D,IF($E$5="",$C479,$E$5)),0))</f>
        <v/>
      </c>
      <c r="F479">
        <f>IF($D479=0,"",MAXIFS(Assessments!J:J,Assessments!G:G,$A479,Assessments!B:B,"&gt;="&amp;$B$4,Assessments!B:B,"&lt;="&amp;$B$5,Assessments!C:C,IF($E$4="",$B479,$E$4),Assessments!D:D,IF($E$5="",$C479,$E$5)))</f>
        <v/>
      </c>
      <c r="G479">
        <f>IF($D479=0,"",MINIFS(Assessments!J:J,Assessments!G:G,$A479,Assessments!B:B,"&gt;="&amp;$B$4,Assessments!B:B,"&lt;="&amp;$B$5,Assessments!C:C,IF($E$4="",$B479,$E$4),Assessments!D:D,IF($E$5="",$C479,$E$5)))</f>
        <v/>
      </c>
      <c r="H479">
        <f>IF($E479="","",RANK($E479,$E$8:$E$507,0))</f>
        <v/>
      </c>
      <c r="I479">
        <f>IF($E479="","",IF($E479&gt;=85,"Excellent",IF($E479&gt;=70,"Good",IF($E479&gt;=50,"Fair","Needs Support"))))</f>
        <v/>
      </c>
    </row>
    <row r="480">
      <c r="A480">
        <f>IF(Students!A474="","",Students!A474)</f>
        <v/>
      </c>
      <c r="B480">
        <f>IF($A480="","",Students!B474)</f>
        <v/>
      </c>
      <c r="C480">
        <f>IF($A480="","",Students!C474)</f>
        <v/>
      </c>
      <c r="D480">
        <f>IF($A480="","",COUNTIFS(Assessments!G:G,$A480,Assessments!B:B,"&gt;="&amp;$B$4,Assessments!B:B,"&lt;="&amp;$B$5,Assessments!C:C,IF($E$4="",$B480,$E$4),Assessments!D:D,IF($E$5="",$C480,$E$5)))</f>
        <v/>
      </c>
      <c r="E480">
        <f>IF($D480=0,"",ROUND(AVERAGEIFS(Assessments!J:J,Assessments!G:G,$A480,Assessments!B:B,"&gt;="&amp;$B$4,Assessments!B:B,"&lt;="&amp;$B$5,Assessments!C:C,IF($E$4="",$B480,$E$4),Assessments!D:D,IF($E$5="",$C480,$E$5)),0))</f>
        <v/>
      </c>
      <c r="F480">
        <f>IF($D480=0,"",MAXIFS(Assessments!J:J,Assessments!G:G,$A480,Assessments!B:B,"&gt;="&amp;$B$4,Assessments!B:B,"&lt;="&amp;$B$5,Assessments!C:C,IF($E$4="",$B480,$E$4),Assessments!D:D,IF($E$5="",$C480,$E$5)))</f>
        <v/>
      </c>
      <c r="G480">
        <f>IF($D480=0,"",MINIFS(Assessments!J:J,Assessments!G:G,$A480,Assessments!B:B,"&gt;="&amp;$B$4,Assessments!B:B,"&lt;="&amp;$B$5,Assessments!C:C,IF($E$4="",$B480,$E$4),Assessments!D:D,IF($E$5="",$C480,$E$5)))</f>
        <v/>
      </c>
      <c r="H480">
        <f>IF($E480="","",RANK($E480,$E$8:$E$507,0))</f>
        <v/>
      </c>
      <c r="I480">
        <f>IF($E480="","",IF($E480&gt;=85,"Excellent",IF($E480&gt;=70,"Good",IF($E480&gt;=50,"Fair","Needs Support"))))</f>
        <v/>
      </c>
    </row>
    <row r="481">
      <c r="A481">
        <f>IF(Students!A475="","",Students!A475)</f>
        <v/>
      </c>
      <c r="B481">
        <f>IF($A481="","",Students!B475)</f>
        <v/>
      </c>
      <c r="C481">
        <f>IF($A481="","",Students!C475)</f>
        <v/>
      </c>
      <c r="D481">
        <f>IF($A481="","",COUNTIFS(Assessments!G:G,$A481,Assessments!B:B,"&gt;="&amp;$B$4,Assessments!B:B,"&lt;="&amp;$B$5,Assessments!C:C,IF($E$4="",$B481,$E$4),Assessments!D:D,IF($E$5="",$C481,$E$5)))</f>
        <v/>
      </c>
      <c r="E481">
        <f>IF($D481=0,"",ROUND(AVERAGEIFS(Assessments!J:J,Assessments!G:G,$A481,Assessments!B:B,"&gt;="&amp;$B$4,Assessments!B:B,"&lt;="&amp;$B$5,Assessments!C:C,IF($E$4="",$B481,$E$4),Assessments!D:D,IF($E$5="",$C481,$E$5)),0))</f>
        <v/>
      </c>
      <c r="F481">
        <f>IF($D481=0,"",MAXIFS(Assessments!J:J,Assessments!G:G,$A481,Assessments!B:B,"&gt;="&amp;$B$4,Assessments!B:B,"&lt;="&amp;$B$5,Assessments!C:C,IF($E$4="",$B481,$E$4),Assessments!D:D,IF($E$5="",$C481,$E$5)))</f>
        <v/>
      </c>
      <c r="G481">
        <f>IF($D481=0,"",MINIFS(Assessments!J:J,Assessments!G:G,$A481,Assessments!B:B,"&gt;="&amp;$B$4,Assessments!B:B,"&lt;="&amp;$B$5,Assessments!C:C,IF($E$4="",$B481,$E$4),Assessments!D:D,IF($E$5="",$C481,$E$5)))</f>
        <v/>
      </c>
      <c r="H481">
        <f>IF($E481="","",RANK($E481,$E$8:$E$507,0))</f>
        <v/>
      </c>
      <c r="I481">
        <f>IF($E481="","",IF($E481&gt;=85,"Excellent",IF($E481&gt;=70,"Good",IF($E481&gt;=50,"Fair","Needs Support"))))</f>
        <v/>
      </c>
    </row>
    <row r="482">
      <c r="A482">
        <f>IF(Students!A476="","",Students!A476)</f>
        <v/>
      </c>
      <c r="B482">
        <f>IF($A482="","",Students!B476)</f>
        <v/>
      </c>
      <c r="C482">
        <f>IF($A482="","",Students!C476)</f>
        <v/>
      </c>
      <c r="D482">
        <f>IF($A482="","",COUNTIFS(Assessments!G:G,$A482,Assessments!B:B,"&gt;="&amp;$B$4,Assessments!B:B,"&lt;="&amp;$B$5,Assessments!C:C,IF($E$4="",$B482,$E$4),Assessments!D:D,IF($E$5="",$C482,$E$5)))</f>
        <v/>
      </c>
      <c r="E482">
        <f>IF($D482=0,"",ROUND(AVERAGEIFS(Assessments!J:J,Assessments!G:G,$A482,Assessments!B:B,"&gt;="&amp;$B$4,Assessments!B:B,"&lt;="&amp;$B$5,Assessments!C:C,IF($E$4="",$B482,$E$4),Assessments!D:D,IF($E$5="",$C482,$E$5)),0))</f>
        <v/>
      </c>
      <c r="F482">
        <f>IF($D482=0,"",MAXIFS(Assessments!J:J,Assessments!G:G,$A482,Assessments!B:B,"&gt;="&amp;$B$4,Assessments!B:B,"&lt;="&amp;$B$5,Assessments!C:C,IF($E$4="",$B482,$E$4),Assessments!D:D,IF($E$5="",$C482,$E$5)))</f>
        <v/>
      </c>
      <c r="G482">
        <f>IF($D482=0,"",MINIFS(Assessments!J:J,Assessments!G:G,$A482,Assessments!B:B,"&gt;="&amp;$B$4,Assessments!B:B,"&lt;="&amp;$B$5,Assessments!C:C,IF($E$4="",$B482,$E$4),Assessments!D:D,IF($E$5="",$C482,$E$5)))</f>
        <v/>
      </c>
      <c r="H482">
        <f>IF($E482="","",RANK($E482,$E$8:$E$507,0))</f>
        <v/>
      </c>
      <c r="I482">
        <f>IF($E482="","",IF($E482&gt;=85,"Excellent",IF($E482&gt;=70,"Good",IF($E482&gt;=50,"Fair","Needs Support"))))</f>
        <v/>
      </c>
    </row>
    <row r="483">
      <c r="A483">
        <f>IF(Students!A477="","",Students!A477)</f>
        <v/>
      </c>
      <c r="B483">
        <f>IF($A483="","",Students!B477)</f>
        <v/>
      </c>
      <c r="C483">
        <f>IF($A483="","",Students!C477)</f>
        <v/>
      </c>
      <c r="D483">
        <f>IF($A483="","",COUNTIFS(Assessments!G:G,$A483,Assessments!B:B,"&gt;="&amp;$B$4,Assessments!B:B,"&lt;="&amp;$B$5,Assessments!C:C,IF($E$4="",$B483,$E$4),Assessments!D:D,IF($E$5="",$C483,$E$5)))</f>
        <v/>
      </c>
      <c r="E483">
        <f>IF($D483=0,"",ROUND(AVERAGEIFS(Assessments!J:J,Assessments!G:G,$A483,Assessments!B:B,"&gt;="&amp;$B$4,Assessments!B:B,"&lt;="&amp;$B$5,Assessments!C:C,IF($E$4="",$B483,$E$4),Assessments!D:D,IF($E$5="",$C483,$E$5)),0))</f>
        <v/>
      </c>
      <c r="F483">
        <f>IF($D483=0,"",MAXIFS(Assessments!J:J,Assessments!G:G,$A483,Assessments!B:B,"&gt;="&amp;$B$4,Assessments!B:B,"&lt;="&amp;$B$5,Assessments!C:C,IF($E$4="",$B483,$E$4),Assessments!D:D,IF($E$5="",$C483,$E$5)))</f>
        <v/>
      </c>
      <c r="G483">
        <f>IF($D483=0,"",MINIFS(Assessments!J:J,Assessments!G:G,$A483,Assessments!B:B,"&gt;="&amp;$B$4,Assessments!B:B,"&lt;="&amp;$B$5,Assessments!C:C,IF($E$4="",$B483,$E$4),Assessments!D:D,IF($E$5="",$C483,$E$5)))</f>
        <v/>
      </c>
      <c r="H483">
        <f>IF($E483="","",RANK($E483,$E$8:$E$507,0))</f>
        <v/>
      </c>
      <c r="I483">
        <f>IF($E483="","",IF($E483&gt;=85,"Excellent",IF($E483&gt;=70,"Good",IF($E483&gt;=50,"Fair","Needs Support"))))</f>
        <v/>
      </c>
    </row>
    <row r="484">
      <c r="A484">
        <f>IF(Students!A478="","",Students!A478)</f>
        <v/>
      </c>
      <c r="B484">
        <f>IF($A484="","",Students!B478)</f>
        <v/>
      </c>
      <c r="C484">
        <f>IF($A484="","",Students!C478)</f>
        <v/>
      </c>
      <c r="D484">
        <f>IF($A484="","",COUNTIFS(Assessments!G:G,$A484,Assessments!B:B,"&gt;="&amp;$B$4,Assessments!B:B,"&lt;="&amp;$B$5,Assessments!C:C,IF($E$4="",$B484,$E$4),Assessments!D:D,IF($E$5="",$C484,$E$5)))</f>
        <v/>
      </c>
      <c r="E484">
        <f>IF($D484=0,"",ROUND(AVERAGEIFS(Assessments!J:J,Assessments!G:G,$A484,Assessments!B:B,"&gt;="&amp;$B$4,Assessments!B:B,"&lt;="&amp;$B$5,Assessments!C:C,IF($E$4="",$B484,$E$4),Assessments!D:D,IF($E$5="",$C484,$E$5)),0))</f>
        <v/>
      </c>
      <c r="F484">
        <f>IF($D484=0,"",MAXIFS(Assessments!J:J,Assessments!G:G,$A484,Assessments!B:B,"&gt;="&amp;$B$4,Assessments!B:B,"&lt;="&amp;$B$5,Assessments!C:C,IF($E$4="",$B484,$E$4),Assessments!D:D,IF($E$5="",$C484,$E$5)))</f>
        <v/>
      </c>
      <c r="G484">
        <f>IF($D484=0,"",MINIFS(Assessments!J:J,Assessments!G:G,$A484,Assessments!B:B,"&gt;="&amp;$B$4,Assessments!B:B,"&lt;="&amp;$B$5,Assessments!C:C,IF($E$4="",$B484,$E$4),Assessments!D:D,IF($E$5="",$C484,$E$5)))</f>
        <v/>
      </c>
      <c r="H484">
        <f>IF($E484="","",RANK($E484,$E$8:$E$507,0))</f>
        <v/>
      </c>
      <c r="I484">
        <f>IF($E484="","",IF($E484&gt;=85,"Excellent",IF($E484&gt;=70,"Good",IF($E484&gt;=50,"Fair","Needs Support"))))</f>
        <v/>
      </c>
    </row>
    <row r="485">
      <c r="A485">
        <f>IF(Students!A479="","",Students!A479)</f>
        <v/>
      </c>
      <c r="B485">
        <f>IF($A485="","",Students!B479)</f>
        <v/>
      </c>
      <c r="C485">
        <f>IF($A485="","",Students!C479)</f>
        <v/>
      </c>
      <c r="D485">
        <f>IF($A485="","",COUNTIFS(Assessments!G:G,$A485,Assessments!B:B,"&gt;="&amp;$B$4,Assessments!B:B,"&lt;="&amp;$B$5,Assessments!C:C,IF($E$4="",$B485,$E$4),Assessments!D:D,IF($E$5="",$C485,$E$5)))</f>
        <v/>
      </c>
      <c r="E485">
        <f>IF($D485=0,"",ROUND(AVERAGEIFS(Assessments!J:J,Assessments!G:G,$A485,Assessments!B:B,"&gt;="&amp;$B$4,Assessments!B:B,"&lt;="&amp;$B$5,Assessments!C:C,IF($E$4="",$B485,$E$4),Assessments!D:D,IF($E$5="",$C485,$E$5)),0))</f>
        <v/>
      </c>
      <c r="F485">
        <f>IF($D485=0,"",MAXIFS(Assessments!J:J,Assessments!G:G,$A485,Assessments!B:B,"&gt;="&amp;$B$4,Assessments!B:B,"&lt;="&amp;$B$5,Assessments!C:C,IF($E$4="",$B485,$E$4),Assessments!D:D,IF($E$5="",$C485,$E$5)))</f>
        <v/>
      </c>
      <c r="G485">
        <f>IF($D485=0,"",MINIFS(Assessments!J:J,Assessments!G:G,$A485,Assessments!B:B,"&gt;="&amp;$B$4,Assessments!B:B,"&lt;="&amp;$B$5,Assessments!C:C,IF($E$4="",$B485,$E$4),Assessments!D:D,IF($E$5="",$C485,$E$5)))</f>
        <v/>
      </c>
      <c r="H485">
        <f>IF($E485="","",RANK($E485,$E$8:$E$507,0))</f>
        <v/>
      </c>
      <c r="I485">
        <f>IF($E485="","",IF($E485&gt;=85,"Excellent",IF($E485&gt;=70,"Good",IF($E485&gt;=50,"Fair","Needs Support"))))</f>
        <v/>
      </c>
    </row>
    <row r="486">
      <c r="A486">
        <f>IF(Students!A480="","",Students!A480)</f>
        <v/>
      </c>
      <c r="B486">
        <f>IF($A486="","",Students!B480)</f>
        <v/>
      </c>
      <c r="C486">
        <f>IF($A486="","",Students!C480)</f>
        <v/>
      </c>
      <c r="D486">
        <f>IF($A486="","",COUNTIFS(Assessments!G:G,$A486,Assessments!B:B,"&gt;="&amp;$B$4,Assessments!B:B,"&lt;="&amp;$B$5,Assessments!C:C,IF($E$4="",$B486,$E$4),Assessments!D:D,IF($E$5="",$C486,$E$5)))</f>
        <v/>
      </c>
      <c r="E486">
        <f>IF($D486=0,"",ROUND(AVERAGEIFS(Assessments!J:J,Assessments!G:G,$A486,Assessments!B:B,"&gt;="&amp;$B$4,Assessments!B:B,"&lt;="&amp;$B$5,Assessments!C:C,IF($E$4="",$B486,$E$4),Assessments!D:D,IF($E$5="",$C486,$E$5)),0))</f>
        <v/>
      </c>
      <c r="F486">
        <f>IF($D486=0,"",MAXIFS(Assessments!J:J,Assessments!G:G,$A486,Assessments!B:B,"&gt;="&amp;$B$4,Assessments!B:B,"&lt;="&amp;$B$5,Assessments!C:C,IF($E$4="",$B486,$E$4),Assessments!D:D,IF($E$5="",$C486,$E$5)))</f>
        <v/>
      </c>
      <c r="G486">
        <f>IF($D486=0,"",MINIFS(Assessments!J:J,Assessments!G:G,$A486,Assessments!B:B,"&gt;="&amp;$B$4,Assessments!B:B,"&lt;="&amp;$B$5,Assessments!C:C,IF($E$4="",$B486,$E$4),Assessments!D:D,IF($E$5="",$C486,$E$5)))</f>
        <v/>
      </c>
      <c r="H486">
        <f>IF($E486="","",RANK($E486,$E$8:$E$507,0))</f>
        <v/>
      </c>
      <c r="I486">
        <f>IF($E486="","",IF($E486&gt;=85,"Excellent",IF($E486&gt;=70,"Good",IF($E486&gt;=50,"Fair","Needs Support"))))</f>
        <v/>
      </c>
    </row>
    <row r="487">
      <c r="A487">
        <f>IF(Students!A481="","",Students!A481)</f>
        <v/>
      </c>
      <c r="B487">
        <f>IF($A487="","",Students!B481)</f>
        <v/>
      </c>
      <c r="C487">
        <f>IF($A487="","",Students!C481)</f>
        <v/>
      </c>
      <c r="D487">
        <f>IF($A487="","",COUNTIFS(Assessments!G:G,$A487,Assessments!B:B,"&gt;="&amp;$B$4,Assessments!B:B,"&lt;="&amp;$B$5,Assessments!C:C,IF($E$4="",$B487,$E$4),Assessments!D:D,IF($E$5="",$C487,$E$5)))</f>
        <v/>
      </c>
      <c r="E487">
        <f>IF($D487=0,"",ROUND(AVERAGEIFS(Assessments!J:J,Assessments!G:G,$A487,Assessments!B:B,"&gt;="&amp;$B$4,Assessments!B:B,"&lt;="&amp;$B$5,Assessments!C:C,IF($E$4="",$B487,$E$4),Assessments!D:D,IF($E$5="",$C487,$E$5)),0))</f>
        <v/>
      </c>
      <c r="F487">
        <f>IF($D487=0,"",MAXIFS(Assessments!J:J,Assessments!G:G,$A487,Assessments!B:B,"&gt;="&amp;$B$4,Assessments!B:B,"&lt;="&amp;$B$5,Assessments!C:C,IF($E$4="",$B487,$E$4),Assessments!D:D,IF($E$5="",$C487,$E$5)))</f>
        <v/>
      </c>
      <c r="G487">
        <f>IF($D487=0,"",MINIFS(Assessments!J:J,Assessments!G:G,$A487,Assessments!B:B,"&gt;="&amp;$B$4,Assessments!B:B,"&lt;="&amp;$B$5,Assessments!C:C,IF($E$4="",$B487,$E$4),Assessments!D:D,IF($E$5="",$C487,$E$5)))</f>
        <v/>
      </c>
      <c r="H487">
        <f>IF($E487="","",RANK($E487,$E$8:$E$507,0))</f>
        <v/>
      </c>
      <c r="I487">
        <f>IF($E487="","",IF($E487&gt;=85,"Excellent",IF($E487&gt;=70,"Good",IF($E487&gt;=50,"Fair","Needs Support"))))</f>
        <v/>
      </c>
    </row>
    <row r="488">
      <c r="A488">
        <f>IF(Students!A482="","",Students!A482)</f>
        <v/>
      </c>
      <c r="B488">
        <f>IF($A488="","",Students!B482)</f>
        <v/>
      </c>
      <c r="C488">
        <f>IF($A488="","",Students!C482)</f>
        <v/>
      </c>
      <c r="D488">
        <f>IF($A488="","",COUNTIFS(Assessments!G:G,$A488,Assessments!B:B,"&gt;="&amp;$B$4,Assessments!B:B,"&lt;="&amp;$B$5,Assessments!C:C,IF($E$4="",$B488,$E$4),Assessments!D:D,IF($E$5="",$C488,$E$5)))</f>
        <v/>
      </c>
      <c r="E488">
        <f>IF($D488=0,"",ROUND(AVERAGEIFS(Assessments!J:J,Assessments!G:G,$A488,Assessments!B:B,"&gt;="&amp;$B$4,Assessments!B:B,"&lt;="&amp;$B$5,Assessments!C:C,IF($E$4="",$B488,$E$4),Assessments!D:D,IF($E$5="",$C488,$E$5)),0))</f>
        <v/>
      </c>
      <c r="F488">
        <f>IF($D488=0,"",MAXIFS(Assessments!J:J,Assessments!G:G,$A488,Assessments!B:B,"&gt;="&amp;$B$4,Assessments!B:B,"&lt;="&amp;$B$5,Assessments!C:C,IF($E$4="",$B488,$E$4),Assessments!D:D,IF($E$5="",$C488,$E$5)))</f>
        <v/>
      </c>
      <c r="G488">
        <f>IF($D488=0,"",MINIFS(Assessments!J:J,Assessments!G:G,$A488,Assessments!B:B,"&gt;="&amp;$B$4,Assessments!B:B,"&lt;="&amp;$B$5,Assessments!C:C,IF($E$4="",$B488,$E$4),Assessments!D:D,IF($E$5="",$C488,$E$5)))</f>
        <v/>
      </c>
      <c r="H488">
        <f>IF($E488="","",RANK($E488,$E$8:$E$507,0))</f>
        <v/>
      </c>
      <c r="I488">
        <f>IF($E488="","",IF($E488&gt;=85,"Excellent",IF($E488&gt;=70,"Good",IF($E488&gt;=50,"Fair","Needs Support"))))</f>
        <v/>
      </c>
    </row>
    <row r="489">
      <c r="A489">
        <f>IF(Students!A483="","",Students!A483)</f>
        <v/>
      </c>
      <c r="B489">
        <f>IF($A489="","",Students!B483)</f>
        <v/>
      </c>
      <c r="C489">
        <f>IF($A489="","",Students!C483)</f>
        <v/>
      </c>
      <c r="D489">
        <f>IF($A489="","",COUNTIFS(Assessments!G:G,$A489,Assessments!B:B,"&gt;="&amp;$B$4,Assessments!B:B,"&lt;="&amp;$B$5,Assessments!C:C,IF($E$4="",$B489,$E$4),Assessments!D:D,IF($E$5="",$C489,$E$5)))</f>
        <v/>
      </c>
      <c r="E489">
        <f>IF($D489=0,"",ROUND(AVERAGEIFS(Assessments!J:J,Assessments!G:G,$A489,Assessments!B:B,"&gt;="&amp;$B$4,Assessments!B:B,"&lt;="&amp;$B$5,Assessments!C:C,IF($E$4="",$B489,$E$4),Assessments!D:D,IF($E$5="",$C489,$E$5)),0))</f>
        <v/>
      </c>
      <c r="F489">
        <f>IF($D489=0,"",MAXIFS(Assessments!J:J,Assessments!G:G,$A489,Assessments!B:B,"&gt;="&amp;$B$4,Assessments!B:B,"&lt;="&amp;$B$5,Assessments!C:C,IF($E$4="",$B489,$E$4),Assessments!D:D,IF($E$5="",$C489,$E$5)))</f>
        <v/>
      </c>
      <c r="G489">
        <f>IF($D489=0,"",MINIFS(Assessments!J:J,Assessments!G:G,$A489,Assessments!B:B,"&gt;="&amp;$B$4,Assessments!B:B,"&lt;="&amp;$B$5,Assessments!C:C,IF($E$4="",$B489,$E$4),Assessments!D:D,IF($E$5="",$C489,$E$5)))</f>
        <v/>
      </c>
      <c r="H489">
        <f>IF($E489="","",RANK($E489,$E$8:$E$507,0))</f>
        <v/>
      </c>
      <c r="I489">
        <f>IF($E489="","",IF($E489&gt;=85,"Excellent",IF($E489&gt;=70,"Good",IF($E489&gt;=50,"Fair","Needs Support"))))</f>
        <v/>
      </c>
    </row>
    <row r="490">
      <c r="A490">
        <f>IF(Students!A484="","",Students!A484)</f>
        <v/>
      </c>
      <c r="B490">
        <f>IF($A490="","",Students!B484)</f>
        <v/>
      </c>
      <c r="C490">
        <f>IF($A490="","",Students!C484)</f>
        <v/>
      </c>
      <c r="D490">
        <f>IF($A490="","",COUNTIFS(Assessments!G:G,$A490,Assessments!B:B,"&gt;="&amp;$B$4,Assessments!B:B,"&lt;="&amp;$B$5,Assessments!C:C,IF($E$4="",$B490,$E$4),Assessments!D:D,IF($E$5="",$C490,$E$5)))</f>
        <v/>
      </c>
      <c r="E490">
        <f>IF($D490=0,"",ROUND(AVERAGEIFS(Assessments!J:J,Assessments!G:G,$A490,Assessments!B:B,"&gt;="&amp;$B$4,Assessments!B:B,"&lt;="&amp;$B$5,Assessments!C:C,IF($E$4="",$B490,$E$4),Assessments!D:D,IF($E$5="",$C490,$E$5)),0))</f>
        <v/>
      </c>
      <c r="F490">
        <f>IF($D490=0,"",MAXIFS(Assessments!J:J,Assessments!G:G,$A490,Assessments!B:B,"&gt;="&amp;$B$4,Assessments!B:B,"&lt;="&amp;$B$5,Assessments!C:C,IF($E$4="",$B490,$E$4),Assessments!D:D,IF($E$5="",$C490,$E$5)))</f>
        <v/>
      </c>
      <c r="G490">
        <f>IF($D490=0,"",MINIFS(Assessments!J:J,Assessments!G:G,$A490,Assessments!B:B,"&gt;="&amp;$B$4,Assessments!B:B,"&lt;="&amp;$B$5,Assessments!C:C,IF($E$4="",$B490,$E$4),Assessments!D:D,IF($E$5="",$C490,$E$5)))</f>
        <v/>
      </c>
      <c r="H490">
        <f>IF($E490="","",RANK($E490,$E$8:$E$507,0))</f>
        <v/>
      </c>
      <c r="I490">
        <f>IF($E490="","",IF($E490&gt;=85,"Excellent",IF($E490&gt;=70,"Good",IF($E490&gt;=50,"Fair","Needs Support"))))</f>
        <v/>
      </c>
    </row>
    <row r="491">
      <c r="A491">
        <f>IF(Students!A485="","",Students!A485)</f>
        <v/>
      </c>
      <c r="B491">
        <f>IF($A491="","",Students!B485)</f>
        <v/>
      </c>
      <c r="C491">
        <f>IF($A491="","",Students!C485)</f>
        <v/>
      </c>
      <c r="D491">
        <f>IF($A491="","",COUNTIFS(Assessments!G:G,$A491,Assessments!B:B,"&gt;="&amp;$B$4,Assessments!B:B,"&lt;="&amp;$B$5,Assessments!C:C,IF($E$4="",$B491,$E$4),Assessments!D:D,IF($E$5="",$C491,$E$5)))</f>
        <v/>
      </c>
      <c r="E491">
        <f>IF($D491=0,"",ROUND(AVERAGEIFS(Assessments!J:J,Assessments!G:G,$A491,Assessments!B:B,"&gt;="&amp;$B$4,Assessments!B:B,"&lt;="&amp;$B$5,Assessments!C:C,IF($E$4="",$B491,$E$4),Assessments!D:D,IF($E$5="",$C491,$E$5)),0))</f>
        <v/>
      </c>
      <c r="F491">
        <f>IF($D491=0,"",MAXIFS(Assessments!J:J,Assessments!G:G,$A491,Assessments!B:B,"&gt;="&amp;$B$4,Assessments!B:B,"&lt;="&amp;$B$5,Assessments!C:C,IF($E$4="",$B491,$E$4),Assessments!D:D,IF($E$5="",$C491,$E$5)))</f>
        <v/>
      </c>
      <c r="G491">
        <f>IF($D491=0,"",MINIFS(Assessments!J:J,Assessments!G:G,$A491,Assessments!B:B,"&gt;="&amp;$B$4,Assessments!B:B,"&lt;="&amp;$B$5,Assessments!C:C,IF($E$4="",$B491,$E$4),Assessments!D:D,IF($E$5="",$C491,$E$5)))</f>
        <v/>
      </c>
      <c r="H491">
        <f>IF($E491="","",RANK($E491,$E$8:$E$507,0))</f>
        <v/>
      </c>
      <c r="I491">
        <f>IF($E491="","",IF($E491&gt;=85,"Excellent",IF($E491&gt;=70,"Good",IF($E491&gt;=50,"Fair","Needs Support"))))</f>
        <v/>
      </c>
    </row>
    <row r="492">
      <c r="A492">
        <f>IF(Students!A486="","",Students!A486)</f>
        <v/>
      </c>
      <c r="B492">
        <f>IF($A492="","",Students!B486)</f>
        <v/>
      </c>
      <c r="C492">
        <f>IF($A492="","",Students!C486)</f>
        <v/>
      </c>
      <c r="D492">
        <f>IF($A492="","",COUNTIFS(Assessments!G:G,$A492,Assessments!B:B,"&gt;="&amp;$B$4,Assessments!B:B,"&lt;="&amp;$B$5,Assessments!C:C,IF($E$4="",$B492,$E$4),Assessments!D:D,IF($E$5="",$C492,$E$5)))</f>
        <v/>
      </c>
      <c r="E492">
        <f>IF($D492=0,"",ROUND(AVERAGEIFS(Assessments!J:J,Assessments!G:G,$A492,Assessments!B:B,"&gt;="&amp;$B$4,Assessments!B:B,"&lt;="&amp;$B$5,Assessments!C:C,IF($E$4="",$B492,$E$4),Assessments!D:D,IF($E$5="",$C492,$E$5)),0))</f>
        <v/>
      </c>
      <c r="F492">
        <f>IF($D492=0,"",MAXIFS(Assessments!J:J,Assessments!G:G,$A492,Assessments!B:B,"&gt;="&amp;$B$4,Assessments!B:B,"&lt;="&amp;$B$5,Assessments!C:C,IF($E$4="",$B492,$E$4),Assessments!D:D,IF($E$5="",$C492,$E$5)))</f>
        <v/>
      </c>
      <c r="G492">
        <f>IF($D492=0,"",MINIFS(Assessments!J:J,Assessments!G:G,$A492,Assessments!B:B,"&gt;="&amp;$B$4,Assessments!B:B,"&lt;="&amp;$B$5,Assessments!C:C,IF($E$4="",$B492,$E$4),Assessments!D:D,IF($E$5="",$C492,$E$5)))</f>
        <v/>
      </c>
      <c r="H492">
        <f>IF($E492="","",RANK($E492,$E$8:$E$507,0))</f>
        <v/>
      </c>
      <c r="I492">
        <f>IF($E492="","",IF($E492&gt;=85,"Excellent",IF($E492&gt;=70,"Good",IF($E492&gt;=50,"Fair","Needs Support"))))</f>
        <v/>
      </c>
    </row>
    <row r="493">
      <c r="A493">
        <f>IF(Students!A487="","",Students!A487)</f>
        <v/>
      </c>
      <c r="B493">
        <f>IF($A493="","",Students!B487)</f>
        <v/>
      </c>
      <c r="C493">
        <f>IF($A493="","",Students!C487)</f>
        <v/>
      </c>
      <c r="D493">
        <f>IF($A493="","",COUNTIFS(Assessments!G:G,$A493,Assessments!B:B,"&gt;="&amp;$B$4,Assessments!B:B,"&lt;="&amp;$B$5,Assessments!C:C,IF($E$4="",$B493,$E$4),Assessments!D:D,IF($E$5="",$C493,$E$5)))</f>
        <v/>
      </c>
      <c r="E493">
        <f>IF($D493=0,"",ROUND(AVERAGEIFS(Assessments!J:J,Assessments!G:G,$A493,Assessments!B:B,"&gt;="&amp;$B$4,Assessments!B:B,"&lt;="&amp;$B$5,Assessments!C:C,IF($E$4="",$B493,$E$4),Assessments!D:D,IF($E$5="",$C493,$E$5)),0))</f>
        <v/>
      </c>
      <c r="F493">
        <f>IF($D493=0,"",MAXIFS(Assessments!J:J,Assessments!G:G,$A493,Assessments!B:B,"&gt;="&amp;$B$4,Assessments!B:B,"&lt;="&amp;$B$5,Assessments!C:C,IF($E$4="",$B493,$E$4),Assessments!D:D,IF($E$5="",$C493,$E$5)))</f>
        <v/>
      </c>
      <c r="G493">
        <f>IF($D493=0,"",MINIFS(Assessments!J:J,Assessments!G:G,$A493,Assessments!B:B,"&gt;="&amp;$B$4,Assessments!B:B,"&lt;="&amp;$B$5,Assessments!C:C,IF($E$4="",$B493,$E$4),Assessments!D:D,IF($E$5="",$C493,$E$5)))</f>
        <v/>
      </c>
      <c r="H493">
        <f>IF($E493="","",RANK($E493,$E$8:$E$507,0))</f>
        <v/>
      </c>
      <c r="I493">
        <f>IF($E493="","",IF($E493&gt;=85,"Excellent",IF($E493&gt;=70,"Good",IF($E493&gt;=50,"Fair","Needs Support"))))</f>
        <v/>
      </c>
    </row>
    <row r="494">
      <c r="A494">
        <f>IF(Students!A488="","",Students!A488)</f>
        <v/>
      </c>
      <c r="B494">
        <f>IF($A494="","",Students!B488)</f>
        <v/>
      </c>
      <c r="C494">
        <f>IF($A494="","",Students!C488)</f>
        <v/>
      </c>
      <c r="D494">
        <f>IF($A494="","",COUNTIFS(Assessments!G:G,$A494,Assessments!B:B,"&gt;="&amp;$B$4,Assessments!B:B,"&lt;="&amp;$B$5,Assessments!C:C,IF($E$4="",$B494,$E$4),Assessments!D:D,IF($E$5="",$C494,$E$5)))</f>
        <v/>
      </c>
      <c r="E494">
        <f>IF($D494=0,"",ROUND(AVERAGEIFS(Assessments!J:J,Assessments!G:G,$A494,Assessments!B:B,"&gt;="&amp;$B$4,Assessments!B:B,"&lt;="&amp;$B$5,Assessments!C:C,IF($E$4="",$B494,$E$4),Assessments!D:D,IF($E$5="",$C494,$E$5)),0))</f>
        <v/>
      </c>
      <c r="F494">
        <f>IF($D494=0,"",MAXIFS(Assessments!J:J,Assessments!G:G,$A494,Assessments!B:B,"&gt;="&amp;$B$4,Assessments!B:B,"&lt;="&amp;$B$5,Assessments!C:C,IF($E$4="",$B494,$E$4),Assessments!D:D,IF($E$5="",$C494,$E$5)))</f>
        <v/>
      </c>
      <c r="G494">
        <f>IF($D494=0,"",MINIFS(Assessments!J:J,Assessments!G:G,$A494,Assessments!B:B,"&gt;="&amp;$B$4,Assessments!B:B,"&lt;="&amp;$B$5,Assessments!C:C,IF($E$4="",$B494,$E$4),Assessments!D:D,IF($E$5="",$C494,$E$5)))</f>
        <v/>
      </c>
      <c r="H494">
        <f>IF($E494="","",RANK($E494,$E$8:$E$507,0))</f>
        <v/>
      </c>
      <c r="I494">
        <f>IF($E494="","",IF($E494&gt;=85,"Excellent",IF($E494&gt;=70,"Good",IF($E494&gt;=50,"Fair","Needs Support"))))</f>
        <v/>
      </c>
    </row>
    <row r="495">
      <c r="A495">
        <f>IF(Students!A489="","",Students!A489)</f>
        <v/>
      </c>
      <c r="B495">
        <f>IF($A495="","",Students!B489)</f>
        <v/>
      </c>
      <c r="C495">
        <f>IF($A495="","",Students!C489)</f>
        <v/>
      </c>
      <c r="D495">
        <f>IF($A495="","",COUNTIFS(Assessments!G:G,$A495,Assessments!B:B,"&gt;="&amp;$B$4,Assessments!B:B,"&lt;="&amp;$B$5,Assessments!C:C,IF($E$4="",$B495,$E$4),Assessments!D:D,IF($E$5="",$C495,$E$5)))</f>
        <v/>
      </c>
      <c r="E495">
        <f>IF($D495=0,"",ROUND(AVERAGEIFS(Assessments!J:J,Assessments!G:G,$A495,Assessments!B:B,"&gt;="&amp;$B$4,Assessments!B:B,"&lt;="&amp;$B$5,Assessments!C:C,IF($E$4="",$B495,$E$4),Assessments!D:D,IF($E$5="",$C495,$E$5)),0))</f>
        <v/>
      </c>
      <c r="F495">
        <f>IF($D495=0,"",MAXIFS(Assessments!J:J,Assessments!G:G,$A495,Assessments!B:B,"&gt;="&amp;$B$4,Assessments!B:B,"&lt;="&amp;$B$5,Assessments!C:C,IF($E$4="",$B495,$E$4),Assessments!D:D,IF($E$5="",$C495,$E$5)))</f>
        <v/>
      </c>
      <c r="G495">
        <f>IF($D495=0,"",MINIFS(Assessments!J:J,Assessments!G:G,$A495,Assessments!B:B,"&gt;="&amp;$B$4,Assessments!B:B,"&lt;="&amp;$B$5,Assessments!C:C,IF($E$4="",$B495,$E$4),Assessments!D:D,IF($E$5="",$C495,$E$5)))</f>
        <v/>
      </c>
      <c r="H495">
        <f>IF($E495="","",RANK($E495,$E$8:$E$507,0))</f>
        <v/>
      </c>
      <c r="I495">
        <f>IF($E495="","",IF($E495&gt;=85,"Excellent",IF($E495&gt;=70,"Good",IF($E495&gt;=50,"Fair","Needs Support"))))</f>
        <v/>
      </c>
    </row>
    <row r="496">
      <c r="A496">
        <f>IF(Students!A490="","",Students!A490)</f>
        <v/>
      </c>
      <c r="B496">
        <f>IF($A496="","",Students!B490)</f>
        <v/>
      </c>
      <c r="C496">
        <f>IF($A496="","",Students!C490)</f>
        <v/>
      </c>
      <c r="D496">
        <f>IF($A496="","",COUNTIFS(Assessments!G:G,$A496,Assessments!B:B,"&gt;="&amp;$B$4,Assessments!B:B,"&lt;="&amp;$B$5,Assessments!C:C,IF($E$4="",$B496,$E$4),Assessments!D:D,IF($E$5="",$C496,$E$5)))</f>
        <v/>
      </c>
      <c r="E496">
        <f>IF($D496=0,"",ROUND(AVERAGEIFS(Assessments!J:J,Assessments!G:G,$A496,Assessments!B:B,"&gt;="&amp;$B$4,Assessments!B:B,"&lt;="&amp;$B$5,Assessments!C:C,IF($E$4="",$B496,$E$4),Assessments!D:D,IF($E$5="",$C496,$E$5)),0))</f>
        <v/>
      </c>
      <c r="F496">
        <f>IF($D496=0,"",MAXIFS(Assessments!J:J,Assessments!G:G,$A496,Assessments!B:B,"&gt;="&amp;$B$4,Assessments!B:B,"&lt;="&amp;$B$5,Assessments!C:C,IF($E$4="",$B496,$E$4),Assessments!D:D,IF($E$5="",$C496,$E$5)))</f>
        <v/>
      </c>
      <c r="G496">
        <f>IF($D496=0,"",MINIFS(Assessments!J:J,Assessments!G:G,$A496,Assessments!B:B,"&gt;="&amp;$B$4,Assessments!B:B,"&lt;="&amp;$B$5,Assessments!C:C,IF($E$4="",$B496,$E$4),Assessments!D:D,IF($E$5="",$C496,$E$5)))</f>
        <v/>
      </c>
      <c r="H496">
        <f>IF($E496="","",RANK($E496,$E$8:$E$507,0))</f>
        <v/>
      </c>
      <c r="I496">
        <f>IF($E496="","",IF($E496&gt;=85,"Excellent",IF($E496&gt;=70,"Good",IF($E496&gt;=50,"Fair","Needs Support"))))</f>
        <v/>
      </c>
    </row>
    <row r="497">
      <c r="A497">
        <f>IF(Students!A491="","",Students!A491)</f>
        <v/>
      </c>
      <c r="B497">
        <f>IF($A497="","",Students!B491)</f>
        <v/>
      </c>
      <c r="C497">
        <f>IF($A497="","",Students!C491)</f>
        <v/>
      </c>
      <c r="D497">
        <f>IF($A497="","",COUNTIFS(Assessments!G:G,$A497,Assessments!B:B,"&gt;="&amp;$B$4,Assessments!B:B,"&lt;="&amp;$B$5,Assessments!C:C,IF($E$4="",$B497,$E$4),Assessments!D:D,IF($E$5="",$C497,$E$5)))</f>
        <v/>
      </c>
      <c r="E497">
        <f>IF($D497=0,"",ROUND(AVERAGEIFS(Assessments!J:J,Assessments!G:G,$A497,Assessments!B:B,"&gt;="&amp;$B$4,Assessments!B:B,"&lt;="&amp;$B$5,Assessments!C:C,IF($E$4="",$B497,$E$4),Assessments!D:D,IF($E$5="",$C497,$E$5)),0))</f>
        <v/>
      </c>
      <c r="F497">
        <f>IF($D497=0,"",MAXIFS(Assessments!J:J,Assessments!G:G,$A497,Assessments!B:B,"&gt;="&amp;$B$4,Assessments!B:B,"&lt;="&amp;$B$5,Assessments!C:C,IF($E$4="",$B497,$E$4),Assessments!D:D,IF($E$5="",$C497,$E$5)))</f>
        <v/>
      </c>
      <c r="G497">
        <f>IF($D497=0,"",MINIFS(Assessments!J:J,Assessments!G:G,$A497,Assessments!B:B,"&gt;="&amp;$B$4,Assessments!B:B,"&lt;="&amp;$B$5,Assessments!C:C,IF($E$4="",$B497,$E$4),Assessments!D:D,IF($E$5="",$C497,$E$5)))</f>
        <v/>
      </c>
      <c r="H497">
        <f>IF($E497="","",RANK($E497,$E$8:$E$507,0))</f>
        <v/>
      </c>
      <c r="I497">
        <f>IF($E497="","",IF($E497&gt;=85,"Excellent",IF($E497&gt;=70,"Good",IF($E497&gt;=50,"Fair","Needs Support"))))</f>
        <v/>
      </c>
    </row>
    <row r="498">
      <c r="A498">
        <f>IF(Students!A492="","",Students!A492)</f>
        <v/>
      </c>
      <c r="B498">
        <f>IF($A498="","",Students!B492)</f>
        <v/>
      </c>
      <c r="C498">
        <f>IF($A498="","",Students!C492)</f>
        <v/>
      </c>
      <c r="D498">
        <f>IF($A498="","",COUNTIFS(Assessments!G:G,$A498,Assessments!B:B,"&gt;="&amp;$B$4,Assessments!B:B,"&lt;="&amp;$B$5,Assessments!C:C,IF($E$4="",$B498,$E$4),Assessments!D:D,IF($E$5="",$C498,$E$5)))</f>
        <v/>
      </c>
      <c r="E498">
        <f>IF($D498=0,"",ROUND(AVERAGEIFS(Assessments!J:J,Assessments!G:G,$A498,Assessments!B:B,"&gt;="&amp;$B$4,Assessments!B:B,"&lt;="&amp;$B$5,Assessments!C:C,IF($E$4="",$B498,$E$4),Assessments!D:D,IF($E$5="",$C498,$E$5)),0))</f>
        <v/>
      </c>
      <c r="F498">
        <f>IF($D498=0,"",MAXIFS(Assessments!J:J,Assessments!G:G,$A498,Assessments!B:B,"&gt;="&amp;$B$4,Assessments!B:B,"&lt;="&amp;$B$5,Assessments!C:C,IF($E$4="",$B498,$E$4),Assessments!D:D,IF($E$5="",$C498,$E$5)))</f>
        <v/>
      </c>
      <c r="G498">
        <f>IF($D498=0,"",MINIFS(Assessments!J:J,Assessments!G:G,$A498,Assessments!B:B,"&gt;="&amp;$B$4,Assessments!B:B,"&lt;="&amp;$B$5,Assessments!C:C,IF($E$4="",$B498,$E$4),Assessments!D:D,IF($E$5="",$C498,$E$5)))</f>
        <v/>
      </c>
      <c r="H498">
        <f>IF($E498="","",RANK($E498,$E$8:$E$507,0))</f>
        <v/>
      </c>
      <c r="I498">
        <f>IF($E498="","",IF($E498&gt;=85,"Excellent",IF($E498&gt;=70,"Good",IF($E498&gt;=50,"Fair","Needs Support"))))</f>
        <v/>
      </c>
    </row>
    <row r="499">
      <c r="A499">
        <f>IF(Students!A493="","",Students!A493)</f>
        <v/>
      </c>
      <c r="B499">
        <f>IF($A499="","",Students!B493)</f>
        <v/>
      </c>
      <c r="C499">
        <f>IF($A499="","",Students!C493)</f>
        <v/>
      </c>
      <c r="D499">
        <f>IF($A499="","",COUNTIFS(Assessments!G:G,$A499,Assessments!B:B,"&gt;="&amp;$B$4,Assessments!B:B,"&lt;="&amp;$B$5,Assessments!C:C,IF($E$4="",$B499,$E$4),Assessments!D:D,IF($E$5="",$C499,$E$5)))</f>
        <v/>
      </c>
      <c r="E499">
        <f>IF($D499=0,"",ROUND(AVERAGEIFS(Assessments!J:J,Assessments!G:G,$A499,Assessments!B:B,"&gt;="&amp;$B$4,Assessments!B:B,"&lt;="&amp;$B$5,Assessments!C:C,IF($E$4="",$B499,$E$4),Assessments!D:D,IF($E$5="",$C499,$E$5)),0))</f>
        <v/>
      </c>
      <c r="F499">
        <f>IF($D499=0,"",MAXIFS(Assessments!J:J,Assessments!G:G,$A499,Assessments!B:B,"&gt;="&amp;$B$4,Assessments!B:B,"&lt;="&amp;$B$5,Assessments!C:C,IF($E$4="",$B499,$E$4),Assessments!D:D,IF($E$5="",$C499,$E$5)))</f>
        <v/>
      </c>
      <c r="G499">
        <f>IF($D499=0,"",MINIFS(Assessments!J:J,Assessments!G:G,$A499,Assessments!B:B,"&gt;="&amp;$B$4,Assessments!B:B,"&lt;="&amp;$B$5,Assessments!C:C,IF($E$4="",$B499,$E$4),Assessments!D:D,IF($E$5="",$C499,$E$5)))</f>
        <v/>
      </c>
      <c r="H499">
        <f>IF($E499="","",RANK($E499,$E$8:$E$507,0))</f>
        <v/>
      </c>
      <c r="I499">
        <f>IF($E499="","",IF($E499&gt;=85,"Excellent",IF($E499&gt;=70,"Good",IF($E499&gt;=50,"Fair","Needs Support"))))</f>
        <v/>
      </c>
    </row>
    <row r="500">
      <c r="A500">
        <f>IF(Students!A494="","",Students!A494)</f>
        <v/>
      </c>
      <c r="B500">
        <f>IF($A500="","",Students!B494)</f>
        <v/>
      </c>
      <c r="C500">
        <f>IF($A500="","",Students!C494)</f>
        <v/>
      </c>
      <c r="D500">
        <f>IF($A500="","",COUNTIFS(Assessments!G:G,$A500,Assessments!B:B,"&gt;="&amp;$B$4,Assessments!B:B,"&lt;="&amp;$B$5,Assessments!C:C,IF($E$4="",$B500,$E$4),Assessments!D:D,IF($E$5="",$C500,$E$5)))</f>
        <v/>
      </c>
      <c r="E500">
        <f>IF($D500=0,"",ROUND(AVERAGEIFS(Assessments!J:J,Assessments!G:G,$A500,Assessments!B:B,"&gt;="&amp;$B$4,Assessments!B:B,"&lt;="&amp;$B$5,Assessments!C:C,IF($E$4="",$B500,$E$4),Assessments!D:D,IF($E$5="",$C500,$E$5)),0))</f>
        <v/>
      </c>
      <c r="F500">
        <f>IF($D500=0,"",MAXIFS(Assessments!J:J,Assessments!G:G,$A500,Assessments!B:B,"&gt;="&amp;$B$4,Assessments!B:B,"&lt;="&amp;$B$5,Assessments!C:C,IF($E$4="",$B500,$E$4),Assessments!D:D,IF($E$5="",$C500,$E$5)))</f>
        <v/>
      </c>
      <c r="G500">
        <f>IF($D500=0,"",MINIFS(Assessments!J:J,Assessments!G:G,$A500,Assessments!B:B,"&gt;="&amp;$B$4,Assessments!B:B,"&lt;="&amp;$B$5,Assessments!C:C,IF($E$4="",$B500,$E$4),Assessments!D:D,IF($E$5="",$C500,$E$5)))</f>
        <v/>
      </c>
      <c r="H500">
        <f>IF($E500="","",RANK($E500,$E$8:$E$507,0))</f>
        <v/>
      </c>
      <c r="I500">
        <f>IF($E500="","",IF($E500&gt;=85,"Excellent",IF($E500&gt;=70,"Good",IF($E500&gt;=50,"Fair","Needs Support"))))</f>
        <v/>
      </c>
    </row>
    <row r="501">
      <c r="A501">
        <f>IF(Students!A495="","",Students!A495)</f>
        <v/>
      </c>
      <c r="B501">
        <f>IF($A501="","",Students!B495)</f>
        <v/>
      </c>
      <c r="C501">
        <f>IF($A501="","",Students!C495)</f>
        <v/>
      </c>
      <c r="D501">
        <f>IF($A501="","",COUNTIFS(Assessments!G:G,$A501,Assessments!B:B,"&gt;="&amp;$B$4,Assessments!B:B,"&lt;="&amp;$B$5,Assessments!C:C,IF($E$4="",$B501,$E$4),Assessments!D:D,IF($E$5="",$C501,$E$5)))</f>
        <v/>
      </c>
      <c r="E501">
        <f>IF($D501=0,"",ROUND(AVERAGEIFS(Assessments!J:J,Assessments!G:G,$A501,Assessments!B:B,"&gt;="&amp;$B$4,Assessments!B:B,"&lt;="&amp;$B$5,Assessments!C:C,IF($E$4="",$B501,$E$4),Assessments!D:D,IF($E$5="",$C501,$E$5)),0))</f>
        <v/>
      </c>
      <c r="F501">
        <f>IF($D501=0,"",MAXIFS(Assessments!J:J,Assessments!G:G,$A501,Assessments!B:B,"&gt;="&amp;$B$4,Assessments!B:B,"&lt;="&amp;$B$5,Assessments!C:C,IF($E$4="",$B501,$E$4),Assessments!D:D,IF($E$5="",$C501,$E$5)))</f>
        <v/>
      </c>
      <c r="G501">
        <f>IF($D501=0,"",MINIFS(Assessments!J:J,Assessments!G:G,$A501,Assessments!B:B,"&gt;="&amp;$B$4,Assessments!B:B,"&lt;="&amp;$B$5,Assessments!C:C,IF($E$4="",$B501,$E$4),Assessments!D:D,IF($E$5="",$C501,$E$5)))</f>
        <v/>
      </c>
      <c r="H501">
        <f>IF($E501="","",RANK($E501,$E$8:$E$507,0))</f>
        <v/>
      </c>
      <c r="I501">
        <f>IF($E501="","",IF($E501&gt;=85,"Excellent",IF($E501&gt;=70,"Good",IF($E501&gt;=50,"Fair","Needs Support"))))</f>
        <v/>
      </c>
    </row>
    <row r="502">
      <c r="A502">
        <f>IF(Students!A496="","",Students!A496)</f>
        <v/>
      </c>
      <c r="B502">
        <f>IF($A502="","",Students!B496)</f>
        <v/>
      </c>
      <c r="C502">
        <f>IF($A502="","",Students!C496)</f>
        <v/>
      </c>
      <c r="D502">
        <f>IF($A502="","",COUNTIFS(Assessments!G:G,$A502,Assessments!B:B,"&gt;="&amp;$B$4,Assessments!B:B,"&lt;="&amp;$B$5,Assessments!C:C,IF($E$4="",$B502,$E$4),Assessments!D:D,IF($E$5="",$C502,$E$5)))</f>
        <v/>
      </c>
      <c r="E502">
        <f>IF($D502=0,"",ROUND(AVERAGEIFS(Assessments!J:J,Assessments!G:G,$A502,Assessments!B:B,"&gt;="&amp;$B$4,Assessments!B:B,"&lt;="&amp;$B$5,Assessments!C:C,IF($E$4="",$B502,$E$4),Assessments!D:D,IF($E$5="",$C502,$E$5)),0))</f>
        <v/>
      </c>
      <c r="F502">
        <f>IF($D502=0,"",MAXIFS(Assessments!J:J,Assessments!G:G,$A502,Assessments!B:B,"&gt;="&amp;$B$4,Assessments!B:B,"&lt;="&amp;$B$5,Assessments!C:C,IF($E$4="",$B502,$E$4),Assessments!D:D,IF($E$5="",$C502,$E$5)))</f>
        <v/>
      </c>
      <c r="G502">
        <f>IF($D502=0,"",MINIFS(Assessments!J:J,Assessments!G:G,$A502,Assessments!B:B,"&gt;="&amp;$B$4,Assessments!B:B,"&lt;="&amp;$B$5,Assessments!C:C,IF($E$4="",$B502,$E$4),Assessments!D:D,IF($E$5="",$C502,$E$5)))</f>
        <v/>
      </c>
      <c r="H502">
        <f>IF($E502="","",RANK($E502,$E$8:$E$507,0))</f>
        <v/>
      </c>
      <c r="I502">
        <f>IF($E502="","",IF($E502&gt;=85,"Excellent",IF($E502&gt;=70,"Good",IF($E502&gt;=50,"Fair","Needs Support"))))</f>
        <v/>
      </c>
    </row>
    <row r="503">
      <c r="A503">
        <f>IF(Students!A497="","",Students!A497)</f>
        <v/>
      </c>
      <c r="B503">
        <f>IF($A503="","",Students!B497)</f>
        <v/>
      </c>
      <c r="C503">
        <f>IF($A503="","",Students!C497)</f>
        <v/>
      </c>
      <c r="D503">
        <f>IF($A503="","",COUNTIFS(Assessments!G:G,$A503,Assessments!B:B,"&gt;="&amp;$B$4,Assessments!B:B,"&lt;="&amp;$B$5,Assessments!C:C,IF($E$4="",$B503,$E$4),Assessments!D:D,IF($E$5="",$C503,$E$5)))</f>
        <v/>
      </c>
      <c r="E503">
        <f>IF($D503=0,"",ROUND(AVERAGEIFS(Assessments!J:J,Assessments!G:G,$A503,Assessments!B:B,"&gt;="&amp;$B$4,Assessments!B:B,"&lt;="&amp;$B$5,Assessments!C:C,IF($E$4="",$B503,$E$4),Assessments!D:D,IF($E$5="",$C503,$E$5)),0))</f>
        <v/>
      </c>
      <c r="F503">
        <f>IF($D503=0,"",MAXIFS(Assessments!J:J,Assessments!G:G,$A503,Assessments!B:B,"&gt;="&amp;$B$4,Assessments!B:B,"&lt;="&amp;$B$5,Assessments!C:C,IF($E$4="",$B503,$E$4),Assessments!D:D,IF($E$5="",$C503,$E$5)))</f>
        <v/>
      </c>
      <c r="G503">
        <f>IF($D503=0,"",MINIFS(Assessments!J:J,Assessments!G:G,$A503,Assessments!B:B,"&gt;="&amp;$B$4,Assessments!B:B,"&lt;="&amp;$B$5,Assessments!C:C,IF($E$4="",$B503,$E$4),Assessments!D:D,IF($E$5="",$C503,$E$5)))</f>
        <v/>
      </c>
      <c r="H503">
        <f>IF($E503="","",RANK($E503,$E$8:$E$507,0))</f>
        <v/>
      </c>
      <c r="I503">
        <f>IF($E503="","",IF($E503&gt;=85,"Excellent",IF($E503&gt;=70,"Good",IF($E503&gt;=50,"Fair","Needs Support"))))</f>
        <v/>
      </c>
    </row>
    <row r="504">
      <c r="A504">
        <f>IF(Students!A498="","",Students!A498)</f>
        <v/>
      </c>
      <c r="B504">
        <f>IF($A504="","",Students!B498)</f>
        <v/>
      </c>
      <c r="C504">
        <f>IF($A504="","",Students!C498)</f>
        <v/>
      </c>
      <c r="D504">
        <f>IF($A504="","",COUNTIFS(Assessments!G:G,$A504,Assessments!B:B,"&gt;="&amp;$B$4,Assessments!B:B,"&lt;="&amp;$B$5,Assessments!C:C,IF($E$4="",$B504,$E$4),Assessments!D:D,IF($E$5="",$C504,$E$5)))</f>
        <v/>
      </c>
      <c r="E504">
        <f>IF($D504=0,"",ROUND(AVERAGEIFS(Assessments!J:J,Assessments!G:G,$A504,Assessments!B:B,"&gt;="&amp;$B$4,Assessments!B:B,"&lt;="&amp;$B$5,Assessments!C:C,IF($E$4="",$B504,$E$4),Assessments!D:D,IF($E$5="",$C504,$E$5)),0))</f>
        <v/>
      </c>
      <c r="F504">
        <f>IF($D504=0,"",MAXIFS(Assessments!J:J,Assessments!G:G,$A504,Assessments!B:B,"&gt;="&amp;$B$4,Assessments!B:B,"&lt;="&amp;$B$5,Assessments!C:C,IF($E$4="",$B504,$E$4),Assessments!D:D,IF($E$5="",$C504,$E$5)))</f>
        <v/>
      </c>
      <c r="G504">
        <f>IF($D504=0,"",MINIFS(Assessments!J:J,Assessments!G:G,$A504,Assessments!B:B,"&gt;="&amp;$B$4,Assessments!B:B,"&lt;="&amp;$B$5,Assessments!C:C,IF($E$4="",$B504,$E$4),Assessments!D:D,IF($E$5="",$C504,$E$5)))</f>
        <v/>
      </c>
      <c r="H504">
        <f>IF($E504="","",RANK($E504,$E$8:$E$507,0))</f>
        <v/>
      </c>
      <c r="I504">
        <f>IF($E504="","",IF($E504&gt;=85,"Excellent",IF($E504&gt;=70,"Good",IF($E504&gt;=50,"Fair","Needs Support"))))</f>
        <v/>
      </c>
    </row>
    <row r="505">
      <c r="A505">
        <f>IF(Students!A499="","",Students!A499)</f>
        <v/>
      </c>
      <c r="B505">
        <f>IF($A505="","",Students!B499)</f>
        <v/>
      </c>
      <c r="C505">
        <f>IF($A505="","",Students!C499)</f>
        <v/>
      </c>
      <c r="D505">
        <f>IF($A505="","",COUNTIFS(Assessments!G:G,$A505,Assessments!B:B,"&gt;="&amp;$B$4,Assessments!B:B,"&lt;="&amp;$B$5,Assessments!C:C,IF($E$4="",$B505,$E$4),Assessments!D:D,IF($E$5="",$C505,$E$5)))</f>
        <v/>
      </c>
      <c r="E505">
        <f>IF($D505=0,"",ROUND(AVERAGEIFS(Assessments!J:J,Assessments!G:G,$A505,Assessments!B:B,"&gt;="&amp;$B$4,Assessments!B:B,"&lt;="&amp;$B$5,Assessments!C:C,IF($E$4="",$B505,$E$4),Assessments!D:D,IF($E$5="",$C505,$E$5)),0))</f>
        <v/>
      </c>
      <c r="F505">
        <f>IF($D505=0,"",MAXIFS(Assessments!J:J,Assessments!G:G,$A505,Assessments!B:B,"&gt;="&amp;$B$4,Assessments!B:B,"&lt;="&amp;$B$5,Assessments!C:C,IF($E$4="",$B505,$E$4),Assessments!D:D,IF($E$5="",$C505,$E$5)))</f>
        <v/>
      </c>
      <c r="G505">
        <f>IF($D505=0,"",MINIFS(Assessments!J:J,Assessments!G:G,$A505,Assessments!B:B,"&gt;="&amp;$B$4,Assessments!B:B,"&lt;="&amp;$B$5,Assessments!C:C,IF($E$4="",$B505,$E$4),Assessments!D:D,IF($E$5="",$C505,$E$5)))</f>
        <v/>
      </c>
      <c r="H505">
        <f>IF($E505="","",RANK($E505,$E$8:$E$507,0))</f>
        <v/>
      </c>
      <c r="I505">
        <f>IF($E505="","",IF($E505&gt;=85,"Excellent",IF($E505&gt;=70,"Good",IF($E505&gt;=50,"Fair","Needs Support"))))</f>
        <v/>
      </c>
    </row>
    <row r="506">
      <c r="A506">
        <f>IF(Students!A500="","",Students!A500)</f>
        <v/>
      </c>
      <c r="B506">
        <f>IF($A506="","",Students!B500)</f>
        <v/>
      </c>
      <c r="C506">
        <f>IF($A506="","",Students!C500)</f>
        <v/>
      </c>
      <c r="D506">
        <f>IF($A506="","",COUNTIFS(Assessments!G:G,$A506,Assessments!B:B,"&gt;="&amp;$B$4,Assessments!B:B,"&lt;="&amp;$B$5,Assessments!C:C,IF($E$4="",$B506,$E$4),Assessments!D:D,IF($E$5="",$C506,$E$5)))</f>
        <v/>
      </c>
      <c r="E506">
        <f>IF($D506=0,"",ROUND(AVERAGEIFS(Assessments!J:J,Assessments!G:G,$A506,Assessments!B:B,"&gt;="&amp;$B$4,Assessments!B:B,"&lt;="&amp;$B$5,Assessments!C:C,IF($E$4="",$B506,$E$4),Assessments!D:D,IF($E$5="",$C506,$E$5)),0))</f>
        <v/>
      </c>
      <c r="F506">
        <f>IF($D506=0,"",MAXIFS(Assessments!J:J,Assessments!G:G,$A506,Assessments!B:B,"&gt;="&amp;$B$4,Assessments!B:B,"&lt;="&amp;$B$5,Assessments!C:C,IF($E$4="",$B506,$E$4),Assessments!D:D,IF($E$5="",$C506,$E$5)))</f>
        <v/>
      </c>
      <c r="G506">
        <f>IF($D506=0,"",MINIFS(Assessments!J:J,Assessments!G:G,$A506,Assessments!B:B,"&gt;="&amp;$B$4,Assessments!B:B,"&lt;="&amp;$B$5,Assessments!C:C,IF($E$4="",$B506,$E$4),Assessments!D:D,IF($E$5="",$C506,$E$5)))</f>
        <v/>
      </c>
      <c r="H506">
        <f>IF($E506="","",RANK($E506,$E$8:$E$507,0))</f>
        <v/>
      </c>
      <c r="I506">
        <f>IF($E506="","",IF($E506&gt;=85,"Excellent",IF($E506&gt;=70,"Good",IF($E506&gt;=50,"Fair","Needs Support"))))</f>
        <v/>
      </c>
    </row>
    <row r="507">
      <c r="A507">
        <f>IF(Students!A501="","",Students!A501)</f>
        <v/>
      </c>
      <c r="B507">
        <f>IF($A507="","",Students!B501)</f>
        <v/>
      </c>
      <c r="C507">
        <f>IF($A507="","",Students!C501)</f>
        <v/>
      </c>
      <c r="D507">
        <f>IF($A507="","",COUNTIFS(Assessments!G:G,$A507,Assessments!B:B,"&gt;="&amp;$B$4,Assessments!B:B,"&lt;="&amp;$B$5,Assessments!C:C,IF($E$4="",$B507,$E$4),Assessments!D:D,IF($E$5="",$C507,$E$5)))</f>
        <v/>
      </c>
      <c r="E507">
        <f>IF($D507=0,"",ROUND(AVERAGEIFS(Assessments!J:J,Assessments!G:G,$A507,Assessments!B:B,"&gt;="&amp;$B$4,Assessments!B:B,"&lt;="&amp;$B$5,Assessments!C:C,IF($E$4="",$B507,$E$4),Assessments!D:D,IF($E$5="",$C507,$E$5)),0))</f>
        <v/>
      </c>
      <c r="F507">
        <f>IF($D507=0,"",MAXIFS(Assessments!J:J,Assessments!G:G,$A507,Assessments!B:B,"&gt;="&amp;$B$4,Assessments!B:B,"&lt;="&amp;$B$5,Assessments!C:C,IF($E$4="",$B507,$E$4),Assessments!D:D,IF($E$5="",$C507,$E$5)))</f>
        <v/>
      </c>
      <c r="G507">
        <f>IF($D507=0,"",MINIFS(Assessments!J:J,Assessments!G:G,$A507,Assessments!B:B,"&gt;="&amp;$B$4,Assessments!B:B,"&lt;="&amp;$B$5,Assessments!C:C,IF($E$4="",$B507,$E$4),Assessments!D:D,IF($E$5="",$C507,$E$5)))</f>
        <v/>
      </c>
      <c r="H507">
        <f>IF($E507="","",RANK($E507,$E$8:$E$507,0))</f>
        <v/>
      </c>
      <c r="I507">
        <f>IF($E507="","",IF($E507&gt;=85,"Excellent",IF($E507&gt;=70,"Good",IF($E507&gt;=50,"Fair","Needs Support"))))</f>
        <v/>
      </c>
    </row>
    <row r="510">
      <c r="A510" s="3" t="inlineStr">
        <is>
          <t>How to use: 1) Fill Students sheet once. 2) Teachers enter marks in Assessments sheet. 3) Term Summary dates drive rankings.</t>
        </is>
      </c>
    </row>
  </sheetData>
  <dataValidations count="2">
    <dataValidation sqref="E4" showDropDown="0" showInputMessage="0" showErrorMessage="0" allowBlank="1" type="list">
      <formula1>"Upper,Lower"</formula1>
    </dataValidation>
    <dataValidation sqref="A8:A507" showDropDown="0" showInputMessage="0" showErrorMessage="0" allowBlank="1" type="list">
      <formula1>=Students!$A$2:$A$2000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5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8" customWidth="1" min="4" max="4"/>
    <col width="10" customWidth="1" min="5" max="5"/>
    <col width="22" customWidth="1" min="6" max="6"/>
    <col width="10" customWidth="1" min="7" max="7"/>
    <col width="10" customWidth="1" min="8" max="8"/>
    <col width="14" customWidth="1" min="10" max="10"/>
    <col width="26" customWidth="1" min="11" max="11"/>
    <col width="26" customWidth="1" min="12" max="12"/>
    <col width="14" customWidth="1" min="13" max="13"/>
    <col width="14" customWidth="1" min="14" max="14"/>
  </cols>
  <sheetData>
    <row r="1">
      <c r="A1" s="4" t="inlineStr">
        <is>
          <t>ROYAL KINGS PREMIER SCHOOL</t>
        </is>
      </c>
    </row>
    <row r="2">
      <c r="A2" s="3" t="inlineStr">
        <is>
          <t>STUDENT AWARDS (TERM)</t>
        </is>
      </c>
    </row>
    <row r="4">
      <c r="A4" s="2" t="inlineStr">
        <is>
          <t>Term Start (Week 1 Ending Date)</t>
        </is>
      </c>
      <c r="B4">
        <f>INDEX('Term Summary'!B:B,2)</f>
        <v/>
      </c>
      <c r="J4" s="3" t="inlineStr">
        <is>
          <t>AWARDS (TOP 10)</t>
        </is>
      </c>
    </row>
    <row r="5">
      <c r="A5" s="2" t="inlineStr">
        <is>
          <t>Term End (Week 14 Ending Date)</t>
        </is>
      </c>
      <c r="B5">
        <f>INDEX('Term Summary'!B:B,15)</f>
        <v/>
      </c>
    </row>
    <row r="6">
      <c r="J6" s="2" t="inlineStr">
        <is>
          <t>Top 10 Overall (Avg %)</t>
        </is>
      </c>
    </row>
    <row r="7">
      <c r="A7" s="1" t="inlineStr">
        <is>
          <t>Student Name</t>
        </is>
      </c>
      <c r="B7" s="1" t="inlineStr">
        <is>
          <t>Campus</t>
        </is>
      </c>
      <c r="C7" s="1" t="inlineStr">
        <is>
          <t>Class</t>
        </is>
      </c>
      <c r="D7" s="1" t="inlineStr">
        <is>
          <t>Assessments Count</t>
        </is>
      </c>
      <c r="E7" s="1" t="inlineStr">
        <is>
          <t>Avg %</t>
        </is>
      </c>
      <c r="F7" s="1" t="inlineStr">
        <is>
          <t>Most Improved (End-Start)</t>
        </is>
      </c>
      <c r="G7" s="1" t="inlineStr">
        <is>
          <t>Best %</t>
        </is>
      </c>
      <c r="H7" s="1" t="inlineStr">
        <is>
          <t>Worst %</t>
        </is>
      </c>
      <c r="J7" s="5" t="inlineStr">
        <is>
          <t>Rank</t>
        </is>
      </c>
      <c r="K7" s="5" t="inlineStr">
        <is>
          <t>Student</t>
        </is>
      </c>
      <c r="L7" s="5" t="inlineStr">
        <is>
          <t>Campus</t>
        </is>
      </c>
      <c r="M7" s="5" t="inlineStr">
        <is>
          <t>Class</t>
        </is>
      </c>
      <c r="N7" s="5" t="inlineStr">
        <is>
          <t>Avg %</t>
        </is>
      </c>
    </row>
    <row r="8">
      <c r="A8">
        <f>IF(Students!A2="","",Students!A2)</f>
        <v/>
      </c>
      <c r="B8">
        <f>IF($A8="","",Students!B2)</f>
        <v/>
      </c>
      <c r="C8">
        <f>IF($A8="","",Students!C2)</f>
        <v/>
      </c>
      <c r="D8">
        <f>IF($A8="","",COUNTIFS(Assessments!G:G,$A8,Assessments!B:B,"&gt;="&amp;$B$4,Assessments!B:B,"&lt;="&amp;$B$5))</f>
        <v/>
      </c>
      <c r="E8">
        <f>IF($D8=0,"",ROUND(AVERAGEIFS(Assessments!J:J,Assessments!G:G,$A8,Assessments!B:B,"&gt;="&amp;$B$4,Assessments!B:B,"&lt;="&amp;$B$5),0))</f>
        <v/>
      </c>
      <c r="F8">
        <f>IF($D8=0,"",IFERROR(AVERAGEIFS(Assessments!J:J,Assessments!G:G,$A8,Assessments!B:B,$B$5),0)-IFERROR(AVERAGEIFS(Assessments!J:J,Assessments!G:G,$A8,Assessments!B:B,$B$4),0))</f>
        <v/>
      </c>
      <c r="G8">
        <f>IF($D8=0,"",MAXIFS(Assessments!J:J,Assessments!G:G,$A8,Assessments!B:B,"&gt;="&amp;$B$4,Assessments!B:B,"&lt;="&amp;$B$5))</f>
        <v/>
      </c>
      <c r="H8">
        <f>IF($D8=0,"",MINIFS(Assessments!J:J,Assessments!G:G,$A8,Assessments!B:B,"&gt;="&amp;$B$4,Assessments!B:B,"&lt;="&amp;$B$5))</f>
        <v/>
      </c>
      <c r="J8" t="n">
        <v>1</v>
      </c>
      <c r="K8">
        <f>IF($N8="","",INDEX($A$8:$A$507,MATCH($N8,$E$8:$E$507,0)))</f>
        <v/>
      </c>
      <c r="L8">
        <f>IF($K8="","",INDEX($B$8:$B$507,MATCH($N8,$E$8:$E$507,0)))</f>
        <v/>
      </c>
      <c r="M8">
        <f>IF($K8="","",INDEX($C$8:$C$507,MATCH($N8,$E$8:$E$507,0)))</f>
        <v/>
      </c>
      <c r="N8">
        <f>IFERROR(LARGE($E$8:$E$507,1),"")</f>
        <v/>
      </c>
    </row>
    <row r="9">
      <c r="A9">
        <f>IF(Students!A3="","",Students!A3)</f>
        <v/>
      </c>
      <c r="B9">
        <f>IF($A9="","",Students!B3)</f>
        <v/>
      </c>
      <c r="C9">
        <f>IF($A9="","",Students!C3)</f>
        <v/>
      </c>
      <c r="D9">
        <f>IF($A9="","",COUNTIFS(Assessments!G:G,$A9,Assessments!B:B,"&gt;="&amp;$B$4,Assessments!B:B,"&lt;="&amp;$B$5))</f>
        <v/>
      </c>
      <c r="E9">
        <f>IF($D9=0,"",ROUND(AVERAGEIFS(Assessments!J:J,Assessments!G:G,$A9,Assessments!B:B,"&gt;="&amp;$B$4,Assessments!B:B,"&lt;="&amp;$B$5),0))</f>
        <v/>
      </c>
      <c r="F9">
        <f>IF($D9=0,"",IFERROR(AVERAGEIFS(Assessments!J:J,Assessments!G:G,$A9,Assessments!B:B,$B$5),0)-IFERROR(AVERAGEIFS(Assessments!J:J,Assessments!G:G,$A9,Assessments!B:B,$B$4),0))</f>
        <v/>
      </c>
      <c r="G9">
        <f>IF($D9=0,"",MAXIFS(Assessments!J:J,Assessments!G:G,$A9,Assessments!B:B,"&gt;="&amp;$B$4,Assessments!B:B,"&lt;="&amp;$B$5))</f>
        <v/>
      </c>
      <c r="H9">
        <f>IF($D9=0,"",MINIFS(Assessments!J:J,Assessments!G:G,$A9,Assessments!B:B,"&gt;="&amp;$B$4,Assessments!B:B,"&lt;="&amp;$B$5))</f>
        <v/>
      </c>
      <c r="J9" t="n">
        <v>2</v>
      </c>
      <c r="K9">
        <f>IF($N9="","",INDEX($A$8:$A$507,MATCH($N9,$E$8:$E$507,0)))</f>
        <v/>
      </c>
      <c r="L9">
        <f>IF($K9="","",INDEX($B$8:$B$507,MATCH($N9,$E$8:$E$507,0)))</f>
        <v/>
      </c>
      <c r="M9">
        <f>IF($K9="","",INDEX($C$8:$C$507,MATCH($N9,$E$8:$E$507,0)))</f>
        <v/>
      </c>
      <c r="N9">
        <f>IFERROR(LARGE($E$8:$E$507,2),"")</f>
        <v/>
      </c>
    </row>
    <row r="10">
      <c r="A10">
        <f>IF(Students!A4="","",Students!A4)</f>
        <v/>
      </c>
      <c r="B10">
        <f>IF($A10="","",Students!B4)</f>
        <v/>
      </c>
      <c r="C10">
        <f>IF($A10="","",Students!C4)</f>
        <v/>
      </c>
      <c r="D10">
        <f>IF($A10="","",COUNTIFS(Assessments!G:G,$A10,Assessments!B:B,"&gt;="&amp;$B$4,Assessments!B:B,"&lt;="&amp;$B$5))</f>
        <v/>
      </c>
      <c r="E10">
        <f>IF($D10=0,"",ROUND(AVERAGEIFS(Assessments!J:J,Assessments!G:G,$A10,Assessments!B:B,"&gt;="&amp;$B$4,Assessments!B:B,"&lt;="&amp;$B$5),0))</f>
        <v/>
      </c>
      <c r="F10">
        <f>IF($D10=0,"",IFERROR(AVERAGEIFS(Assessments!J:J,Assessments!G:G,$A10,Assessments!B:B,$B$5),0)-IFERROR(AVERAGEIFS(Assessments!J:J,Assessments!G:G,$A10,Assessments!B:B,$B$4),0))</f>
        <v/>
      </c>
      <c r="G10">
        <f>IF($D10=0,"",MAXIFS(Assessments!J:J,Assessments!G:G,$A10,Assessments!B:B,"&gt;="&amp;$B$4,Assessments!B:B,"&lt;="&amp;$B$5))</f>
        <v/>
      </c>
      <c r="H10">
        <f>IF($D10=0,"",MINIFS(Assessments!J:J,Assessments!G:G,$A10,Assessments!B:B,"&gt;="&amp;$B$4,Assessments!B:B,"&lt;="&amp;$B$5))</f>
        <v/>
      </c>
      <c r="J10" t="n">
        <v>3</v>
      </c>
      <c r="K10">
        <f>IF($N10="","",INDEX($A$8:$A$507,MATCH($N10,$E$8:$E$507,0)))</f>
        <v/>
      </c>
      <c r="L10">
        <f>IF($K10="","",INDEX($B$8:$B$507,MATCH($N10,$E$8:$E$507,0)))</f>
        <v/>
      </c>
      <c r="M10">
        <f>IF($K10="","",INDEX($C$8:$C$507,MATCH($N10,$E$8:$E$507,0)))</f>
        <v/>
      </c>
      <c r="N10">
        <f>IFERROR(LARGE($E$8:$E$507,3),"")</f>
        <v/>
      </c>
    </row>
    <row r="11">
      <c r="A11">
        <f>IF(Students!A5="","",Students!A5)</f>
        <v/>
      </c>
      <c r="B11">
        <f>IF($A11="","",Students!B5)</f>
        <v/>
      </c>
      <c r="C11">
        <f>IF($A11="","",Students!C5)</f>
        <v/>
      </c>
      <c r="D11">
        <f>IF($A11="","",COUNTIFS(Assessments!G:G,$A11,Assessments!B:B,"&gt;="&amp;$B$4,Assessments!B:B,"&lt;="&amp;$B$5))</f>
        <v/>
      </c>
      <c r="E11">
        <f>IF($D11=0,"",ROUND(AVERAGEIFS(Assessments!J:J,Assessments!G:G,$A11,Assessments!B:B,"&gt;="&amp;$B$4,Assessments!B:B,"&lt;="&amp;$B$5),0))</f>
        <v/>
      </c>
      <c r="F11">
        <f>IF($D11=0,"",IFERROR(AVERAGEIFS(Assessments!J:J,Assessments!G:G,$A11,Assessments!B:B,$B$5),0)-IFERROR(AVERAGEIFS(Assessments!J:J,Assessments!G:G,$A11,Assessments!B:B,$B$4),0))</f>
        <v/>
      </c>
      <c r="G11">
        <f>IF($D11=0,"",MAXIFS(Assessments!J:J,Assessments!G:G,$A11,Assessments!B:B,"&gt;="&amp;$B$4,Assessments!B:B,"&lt;="&amp;$B$5))</f>
        <v/>
      </c>
      <c r="H11">
        <f>IF($D11=0,"",MINIFS(Assessments!J:J,Assessments!G:G,$A11,Assessments!B:B,"&gt;="&amp;$B$4,Assessments!B:B,"&lt;="&amp;$B$5))</f>
        <v/>
      </c>
      <c r="J11" t="n">
        <v>4</v>
      </c>
      <c r="K11">
        <f>IF($N11="","",INDEX($A$8:$A$507,MATCH($N11,$E$8:$E$507,0)))</f>
        <v/>
      </c>
      <c r="L11">
        <f>IF($K11="","",INDEX($B$8:$B$507,MATCH($N11,$E$8:$E$507,0)))</f>
        <v/>
      </c>
      <c r="M11">
        <f>IF($K11="","",INDEX($C$8:$C$507,MATCH($N11,$E$8:$E$507,0)))</f>
        <v/>
      </c>
      <c r="N11">
        <f>IFERROR(LARGE($E$8:$E$507,4),"")</f>
        <v/>
      </c>
    </row>
    <row r="12">
      <c r="A12">
        <f>IF(Students!A6="","",Students!A6)</f>
        <v/>
      </c>
      <c r="B12">
        <f>IF($A12="","",Students!B6)</f>
        <v/>
      </c>
      <c r="C12">
        <f>IF($A12="","",Students!C6)</f>
        <v/>
      </c>
      <c r="D12">
        <f>IF($A12="","",COUNTIFS(Assessments!G:G,$A12,Assessments!B:B,"&gt;="&amp;$B$4,Assessments!B:B,"&lt;="&amp;$B$5))</f>
        <v/>
      </c>
      <c r="E12">
        <f>IF($D12=0,"",ROUND(AVERAGEIFS(Assessments!J:J,Assessments!G:G,$A12,Assessments!B:B,"&gt;="&amp;$B$4,Assessments!B:B,"&lt;="&amp;$B$5),0))</f>
        <v/>
      </c>
      <c r="F12">
        <f>IF($D12=0,"",IFERROR(AVERAGEIFS(Assessments!J:J,Assessments!G:G,$A12,Assessments!B:B,$B$5),0)-IFERROR(AVERAGEIFS(Assessments!J:J,Assessments!G:G,$A12,Assessments!B:B,$B$4),0))</f>
        <v/>
      </c>
      <c r="G12">
        <f>IF($D12=0,"",MAXIFS(Assessments!J:J,Assessments!G:G,$A12,Assessments!B:B,"&gt;="&amp;$B$4,Assessments!B:B,"&lt;="&amp;$B$5))</f>
        <v/>
      </c>
      <c r="H12">
        <f>IF($D12=0,"",MINIFS(Assessments!J:J,Assessments!G:G,$A12,Assessments!B:B,"&gt;="&amp;$B$4,Assessments!B:B,"&lt;="&amp;$B$5))</f>
        <v/>
      </c>
      <c r="J12" t="n">
        <v>5</v>
      </c>
      <c r="K12">
        <f>IF($N12="","",INDEX($A$8:$A$507,MATCH($N12,$E$8:$E$507,0)))</f>
        <v/>
      </c>
      <c r="L12">
        <f>IF($K12="","",INDEX($B$8:$B$507,MATCH($N12,$E$8:$E$507,0)))</f>
        <v/>
      </c>
      <c r="M12">
        <f>IF($K12="","",INDEX($C$8:$C$507,MATCH($N12,$E$8:$E$507,0)))</f>
        <v/>
      </c>
      <c r="N12">
        <f>IFERROR(LARGE($E$8:$E$507,5),"")</f>
        <v/>
      </c>
    </row>
    <row r="13">
      <c r="A13">
        <f>IF(Students!A7="","",Students!A7)</f>
        <v/>
      </c>
      <c r="B13">
        <f>IF($A13="","",Students!B7)</f>
        <v/>
      </c>
      <c r="C13">
        <f>IF($A13="","",Students!C7)</f>
        <v/>
      </c>
      <c r="D13">
        <f>IF($A13="","",COUNTIFS(Assessments!G:G,$A13,Assessments!B:B,"&gt;="&amp;$B$4,Assessments!B:B,"&lt;="&amp;$B$5))</f>
        <v/>
      </c>
      <c r="E13">
        <f>IF($D13=0,"",ROUND(AVERAGEIFS(Assessments!J:J,Assessments!G:G,$A13,Assessments!B:B,"&gt;="&amp;$B$4,Assessments!B:B,"&lt;="&amp;$B$5),0))</f>
        <v/>
      </c>
      <c r="F13">
        <f>IF($D13=0,"",IFERROR(AVERAGEIFS(Assessments!J:J,Assessments!G:G,$A13,Assessments!B:B,$B$5),0)-IFERROR(AVERAGEIFS(Assessments!J:J,Assessments!G:G,$A13,Assessments!B:B,$B$4),0))</f>
        <v/>
      </c>
      <c r="G13">
        <f>IF($D13=0,"",MAXIFS(Assessments!J:J,Assessments!G:G,$A13,Assessments!B:B,"&gt;="&amp;$B$4,Assessments!B:B,"&lt;="&amp;$B$5))</f>
        <v/>
      </c>
      <c r="H13">
        <f>IF($D13=0,"",MINIFS(Assessments!J:J,Assessments!G:G,$A13,Assessments!B:B,"&gt;="&amp;$B$4,Assessments!B:B,"&lt;="&amp;$B$5))</f>
        <v/>
      </c>
      <c r="J13" t="n">
        <v>6</v>
      </c>
      <c r="K13">
        <f>IF($N13="","",INDEX($A$8:$A$507,MATCH($N13,$E$8:$E$507,0)))</f>
        <v/>
      </c>
      <c r="L13">
        <f>IF($K13="","",INDEX($B$8:$B$507,MATCH($N13,$E$8:$E$507,0)))</f>
        <v/>
      </c>
      <c r="M13">
        <f>IF($K13="","",INDEX($C$8:$C$507,MATCH($N13,$E$8:$E$507,0)))</f>
        <v/>
      </c>
      <c r="N13">
        <f>IFERROR(LARGE($E$8:$E$507,6),"")</f>
        <v/>
      </c>
    </row>
    <row r="14">
      <c r="A14">
        <f>IF(Students!A8="","",Students!A8)</f>
        <v/>
      </c>
      <c r="B14">
        <f>IF($A14="","",Students!B8)</f>
        <v/>
      </c>
      <c r="C14">
        <f>IF($A14="","",Students!C8)</f>
        <v/>
      </c>
      <c r="D14">
        <f>IF($A14="","",COUNTIFS(Assessments!G:G,$A14,Assessments!B:B,"&gt;="&amp;$B$4,Assessments!B:B,"&lt;="&amp;$B$5))</f>
        <v/>
      </c>
      <c r="E14">
        <f>IF($D14=0,"",ROUND(AVERAGEIFS(Assessments!J:J,Assessments!G:G,$A14,Assessments!B:B,"&gt;="&amp;$B$4,Assessments!B:B,"&lt;="&amp;$B$5),0))</f>
        <v/>
      </c>
      <c r="F14">
        <f>IF($D14=0,"",IFERROR(AVERAGEIFS(Assessments!J:J,Assessments!G:G,$A14,Assessments!B:B,$B$5),0)-IFERROR(AVERAGEIFS(Assessments!J:J,Assessments!G:G,$A14,Assessments!B:B,$B$4),0))</f>
        <v/>
      </c>
      <c r="G14">
        <f>IF($D14=0,"",MAXIFS(Assessments!J:J,Assessments!G:G,$A14,Assessments!B:B,"&gt;="&amp;$B$4,Assessments!B:B,"&lt;="&amp;$B$5))</f>
        <v/>
      </c>
      <c r="H14">
        <f>IF($D14=0,"",MINIFS(Assessments!J:J,Assessments!G:G,$A14,Assessments!B:B,"&gt;="&amp;$B$4,Assessments!B:B,"&lt;="&amp;$B$5))</f>
        <v/>
      </c>
      <c r="J14" t="n">
        <v>7</v>
      </c>
      <c r="K14">
        <f>IF($N14="","",INDEX($A$8:$A$507,MATCH($N14,$E$8:$E$507,0)))</f>
        <v/>
      </c>
      <c r="L14">
        <f>IF($K14="","",INDEX($B$8:$B$507,MATCH($N14,$E$8:$E$507,0)))</f>
        <v/>
      </c>
      <c r="M14">
        <f>IF($K14="","",INDEX($C$8:$C$507,MATCH($N14,$E$8:$E$507,0)))</f>
        <v/>
      </c>
      <c r="N14">
        <f>IFERROR(LARGE($E$8:$E$507,7),"")</f>
        <v/>
      </c>
    </row>
    <row r="15">
      <c r="A15">
        <f>IF(Students!A9="","",Students!A9)</f>
        <v/>
      </c>
      <c r="B15">
        <f>IF($A15="","",Students!B9)</f>
        <v/>
      </c>
      <c r="C15">
        <f>IF($A15="","",Students!C9)</f>
        <v/>
      </c>
      <c r="D15">
        <f>IF($A15="","",COUNTIFS(Assessments!G:G,$A15,Assessments!B:B,"&gt;="&amp;$B$4,Assessments!B:B,"&lt;="&amp;$B$5))</f>
        <v/>
      </c>
      <c r="E15">
        <f>IF($D15=0,"",ROUND(AVERAGEIFS(Assessments!J:J,Assessments!G:G,$A15,Assessments!B:B,"&gt;="&amp;$B$4,Assessments!B:B,"&lt;="&amp;$B$5),0))</f>
        <v/>
      </c>
      <c r="F15">
        <f>IF($D15=0,"",IFERROR(AVERAGEIFS(Assessments!J:J,Assessments!G:G,$A15,Assessments!B:B,$B$5),0)-IFERROR(AVERAGEIFS(Assessments!J:J,Assessments!G:G,$A15,Assessments!B:B,$B$4),0))</f>
        <v/>
      </c>
      <c r="G15">
        <f>IF($D15=0,"",MAXIFS(Assessments!J:J,Assessments!G:G,$A15,Assessments!B:B,"&gt;="&amp;$B$4,Assessments!B:B,"&lt;="&amp;$B$5))</f>
        <v/>
      </c>
      <c r="H15">
        <f>IF($D15=0,"",MINIFS(Assessments!J:J,Assessments!G:G,$A15,Assessments!B:B,"&gt;="&amp;$B$4,Assessments!B:B,"&lt;="&amp;$B$5))</f>
        <v/>
      </c>
      <c r="J15" t="n">
        <v>8</v>
      </c>
      <c r="K15">
        <f>IF($N15="","",INDEX($A$8:$A$507,MATCH($N15,$E$8:$E$507,0)))</f>
        <v/>
      </c>
      <c r="L15">
        <f>IF($K15="","",INDEX($B$8:$B$507,MATCH($N15,$E$8:$E$507,0)))</f>
        <v/>
      </c>
      <c r="M15">
        <f>IF($K15="","",INDEX($C$8:$C$507,MATCH($N15,$E$8:$E$507,0)))</f>
        <v/>
      </c>
      <c r="N15">
        <f>IFERROR(LARGE($E$8:$E$507,8),"")</f>
        <v/>
      </c>
    </row>
    <row r="16">
      <c r="A16">
        <f>IF(Students!A10="","",Students!A10)</f>
        <v/>
      </c>
      <c r="B16">
        <f>IF($A16="","",Students!B10)</f>
        <v/>
      </c>
      <c r="C16">
        <f>IF($A16="","",Students!C10)</f>
        <v/>
      </c>
      <c r="D16">
        <f>IF($A16="","",COUNTIFS(Assessments!G:G,$A16,Assessments!B:B,"&gt;="&amp;$B$4,Assessments!B:B,"&lt;="&amp;$B$5))</f>
        <v/>
      </c>
      <c r="E16">
        <f>IF($D16=0,"",ROUND(AVERAGEIFS(Assessments!J:J,Assessments!G:G,$A16,Assessments!B:B,"&gt;="&amp;$B$4,Assessments!B:B,"&lt;="&amp;$B$5),0))</f>
        <v/>
      </c>
      <c r="F16">
        <f>IF($D16=0,"",IFERROR(AVERAGEIFS(Assessments!J:J,Assessments!G:G,$A16,Assessments!B:B,$B$5),0)-IFERROR(AVERAGEIFS(Assessments!J:J,Assessments!G:G,$A16,Assessments!B:B,$B$4),0))</f>
        <v/>
      </c>
      <c r="G16">
        <f>IF($D16=0,"",MAXIFS(Assessments!J:J,Assessments!G:G,$A16,Assessments!B:B,"&gt;="&amp;$B$4,Assessments!B:B,"&lt;="&amp;$B$5))</f>
        <v/>
      </c>
      <c r="H16">
        <f>IF($D16=0,"",MINIFS(Assessments!J:J,Assessments!G:G,$A16,Assessments!B:B,"&gt;="&amp;$B$4,Assessments!B:B,"&lt;="&amp;$B$5))</f>
        <v/>
      </c>
      <c r="J16" t="n">
        <v>9</v>
      </c>
      <c r="K16">
        <f>IF($N16="","",INDEX($A$8:$A$507,MATCH($N16,$E$8:$E$507,0)))</f>
        <v/>
      </c>
      <c r="L16">
        <f>IF($K16="","",INDEX($B$8:$B$507,MATCH($N16,$E$8:$E$507,0)))</f>
        <v/>
      </c>
      <c r="M16">
        <f>IF($K16="","",INDEX($C$8:$C$507,MATCH($N16,$E$8:$E$507,0)))</f>
        <v/>
      </c>
      <c r="N16">
        <f>IFERROR(LARGE($E$8:$E$507,9),"")</f>
        <v/>
      </c>
    </row>
    <row r="17">
      <c r="A17">
        <f>IF(Students!A11="","",Students!A11)</f>
        <v/>
      </c>
      <c r="B17">
        <f>IF($A17="","",Students!B11)</f>
        <v/>
      </c>
      <c r="C17">
        <f>IF($A17="","",Students!C11)</f>
        <v/>
      </c>
      <c r="D17">
        <f>IF($A17="","",COUNTIFS(Assessments!G:G,$A17,Assessments!B:B,"&gt;="&amp;$B$4,Assessments!B:B,"&lt;="&amp;$B$5))</f>
        <v/>
      </c>
      <c r="E17">
        <f>IF($D17=0,"",ROUND(AVERAGEIFS(Assessments!J:J,Assessments!G:G,$A17,Assessments!B:B,"&gt;="&amp;$B$4,Assessments!B:B,"&lt;="&amp;$B$5),0))</f>
        <v/>
      </c>
      <c r="F17">
        <f>IF($D17=0,"",IFERROR(AVERAGEIFS(Assessments!J:J,Assessments!G:G,$A17,Assessments!B:B,$B$5),0)-IFERROR(AVERAGEIFS(Assessments!J:J,Assessments!G:G,$A17,Assessments!B:B,$B$4),0))</f>
        <v/>
      </c>
      <c r="G17">
        <f>IF($D17=0,"",MAXIFS(Assessments!J:J,Assessments!G:G,$A17,Assessments!B:B,"&gt;="&amp;$B$4,Assessments!B:B,"&lt;="&amp;$B$5))</f>
        <v/>
      </c>
      <c r="H17">
        <f>IF($D17=0,"",MINIFS(Assessments!J:J,Assessments!G:G,$A17,Assessments!B:B,"&gt;="&amp;$B$4,Assessments!B:B,"&lt;="&amp;$B$5))</f>
        <v/>
      </c>
      <c r="J17" t="n">
        <v>10</v>
      </c>
      <c r="K17">
        <f>IF($N17="","",INDEX($A$8:$A$507,MATCH($N17,$E$8:$E$507,0)))</f>
        <v/>
      </c>
      <c r="L17">
        <f>IF($K17="","",INDEX($B$8:$B$507,MATCH($N17,$E$8:$E$507,0)))</f>
        <v/>
      </c>
      <c r="M17">
        <f>IF($K17="","",INDEX($C$8:$C$507,MATCH($N17,$E$8:$E$507,0)))</f>
        <v/>
      </c>
      <c r="N17">
        <f>IFERROR(LARGE($E$8:$E$507,10),"")</f>
        <v/>
      </c>
    </row>
    <row r="18">
      <c r="A18">
        <f>IF(Students!A12="","",Students!A12)</f>
        <v/>
      </c>
      <c r="B18">
        <f>IF($A18="","",Students!B12)</f>
        <v/>
      </c>
      <c r="C18">
        <f>IF($A18="","",Students!C12)</f>
        <v/>
      </c>
      <c r="D18">
        <f>IF($A18="","",COUNTIFS(Assessments!G:G,$A18,Assessments!B:B,"&gt;="&amp;$B$4,Assessments!B:B,"&lt;="&amp;$B$5))</f>
        <v/>
      </c>
      <c r="E18">
        <f>IF($D18=0,"",ROUND(AVERAGEIFS(Assessments!J:J,Assessments!G:G,$A18,Assessments!B:B,"&gt;="&amp;$B$4,Assessments!B:B,"&lt;="&amp;$B$5),0))</f>
        <v/>
      </c>
      <c r="F18">
        <f>IF($D18=0,"",IFERROR(AVERAGEIFS(Assessments!J:J,Assessments!G:G,$A18,Assessments!B:B,$B$5),0)-IFERROR(AVERAGEIFS(Assessments!J:J,Assessments!G:G,$A18,Assessments!B:B,$B$4),0))</f>
        <v/>
      </c>
      <c r="G18">
        <f>IF($D18=0,"",MAXIFS(Assessments!J:J,Assessments!G:G,$A18,Assessments!B:B,"&gt;="&amp;$B$4,Assessments!B:B,"&lt;="&amp;$B$5))</f>
        <v/>
      </c>
      <c r="H18">
        <f>IF($D18=0,"",MINIFS(Assessments!J:J,Assessments!G:G,$A18,Assessments!B:B,"&gt;="&amp;$B$4,Assessments!B:B,"&lt;="&amp;$B$5))</f>
        <v/>
      </c>
    </row>
    <row r="19">
      <c r="A19">
        <f>IF(Students!A13="","",Students!A13)</f>
        <v/>
      </c>
      <c r="B19">
        <f>IF($A19="","",Students!B13)</f>
        <v/>
      </c>
      <c r="C19">
        <f>IF($A19="","",Students!C13)</f>
        <v/>
      </c>
      <c r="D19">
        <f>IF($A19="","",COUNTIFS(Assessments!G:G,$A19,Assessments!B:B,"&gt;="&amp;$B$4,Assessments!B:B,"&lt;="&amp;$B$5))</f>
        <v/>
      </c>
      <c r="E19">
        <f>IF($D19=0,"",ROUND(AVERAGEIFS(Assessments!J:J,Assessments!G:G,$A19,Assessments!B:B,"&gt;="&amp;$B$4,Assessments!B:B,"&lt;="&amp;$B$5),0))</f>
        <v/>
      </c>
      <c r="F19">
        <f>IF($D19=0,"",IFERROR(AVERAGEIFS(Assessments!J:J,Assessments!G:G,$A19,Assessments!B:B,$B$5),0)-IFERROR(AVERAGEIFS(Assessments!J:J,Assessments!G:G,$A19,Assessments!B:B,$B$4),0))</f>
        <v/>
      </c>
      <c r="G19">
        <f>IF($D19=0,"",MAXIFS(Assessments!J:J,Assessments!G:G,$A19,Assessments!B:B,"&gt;="&amp;$B$4,Assessments!B:B,"&lt;="&amp;$B$5))</f>
        <v/>
      </c>
      <c r="H19">
        <f>IF($D19=0,"",MINIFS(Assessments!J:J,Assessments!G:G,$A19,Assessments!B:B,"&gt;="&amp;$B$4,Assessments!B:B,"&lt;="&amp;$B$5))</f>
        <v/>
      </c>
      <c r="J19" s="2" t="inlineStr">
        <is>
          <t>Top 10 Most Improved (End-Start)</t>
        </is>
      </c>
    </row>
    <row r="20">
      <c r="A20">
        <f>IF(Students!A14="","",Students!A14)</f>
        <v/>
      </c>
      <c r="B20">
        <f>IF($A20="","",Students!B14)</f>
        <v/>
      </c>
      <c r="C20">
        <f>IF($A20="","",Students!C14)</f>
        <v/>
      </c>
      <c r="D20">
        <f>IF($A20="","",COUNTIFS(Assessments!G:G,$A20,Assessments!B:B,"&gt;="&amp;$B$4,Assessments!B:B,"&lt;="&amp;$B$5))</f>
        <v/>
      </c>
      <c r="E20">
        <f>IF($D20=0,"",ROUND(AVERAGEIFS(Assessments!J:J,Assessments!G:G,$A20,Assessments!B:B,"&gt;="&amp;$B$4,Assessments!B:B,"&lt;="&amp;$B$5),0))</f>
        <v/>
      </c>
      <c r="F20">
        <f>IF($D20=0,"",IFERROR(AVERAGEIFS(Assessments!J:J,Assessments!G:G,$A20,Assessments!B:B,$B$5),0)-IFERROR(AVERAGEIFS(Assessments!J:J,Assessments!G:G,$A20,Assessments!B:B,$B$4),0))</f>
        <v/>
      </c>
      <c r="G20">
        <f>IF($D20=0,"",MAXIFS(Assessments!J:J,Assessments!G:G,$A20,Assessments!B:B,"&gt;="&amp;$B$4,Assessments!B:B,"&lt;="&amp;$B$5))</f>
        <v/>
      </c>
      <c r="H20">
        <f>IF($D20=0,"",MINIFS(Assessments!J:J,Assessments!G:G,$A20,Assessments!B:B,"&gt;="&amp;$B$4,Assessments!B:B,"&lt;="&amp;$B$5))</f>
        <v/>
      </c>
      <c r="J20" s="5" t="inlineStr">
        <is>
          <t>Rank</t>
        </is>
      </c>
      <c r="K20" s="5" t="inlineStr">
        <is>
          <t>Student</t>
        </is>
      </c>
      <c r="L20" s="5" t="inlineStr">
        <is>
          <t>Campus</t>
        </is>
      </c>
      <c r="M20" s="5" t="inlineStr">
        <is>
          <t>Class</t>
        </is>
      </c>
      <c r="N20" s="5" t="inlineStr">
        <is>
          <t>Improvement</t>
        </is>
      </c>
    </row>
    <row r="21">
      <c r="A21">
        <f>IF(Students!A15="","",Students!A15)</f>
        <v/>
      </c>
      <c r="B21">
        <f>IF($A21="","",Students!B15)</f>
        <v/>
      </c>
      <c r="C21">
        <f>IF($A21="","",Students!C15)</f>
        <v/>
      </c>
      <c r="D21">
        <f>IF($A21="","",COUNTIFS(Assessments!G:G,$A21,Assessments!B:B,"&gt;="&amp;$B$4,Assessments!B:B,"&lt;="&amp;$B$5))</f>
        <v/>
      </c>
      <c r="E21">
        <f>IF($D21=0,"",ROUND(AVERAGEIFS(Assessments!J:J,Assessments!G:G,$A21,Assessments!B:B,"&gt;="&amp;$B$4,Assessments!B:B,"&lt;="&amp;$B$5),0))</f>
        <v/>
      </c>
      <c r="F21">
        <f>IF($D21=0,"",IFERROR(AVERAGEIFS(Assessments!J:J,Assessments!G:G,$A21,Assessments!B:B,$B$5),0)-IFERROR(AVERAGEIFS(Assessments!J:J,Assessments!G:G,$A21,Assessments!B:B,$B$4),0))</f>
        <v/>
      </c>
      <c r="G21">
        <f>IF($D21=0,"",MAXIFS(Assessments!J:J,Assessments!G:G,$A21,Assessments!B:B,"&gt;="&amp;$B$4,Assessments!B:B,"&lt;="&amp;$B$5))</f>
        <v/>
      </c>
      <c r="H21">
        <f>IF($D21=0,"",MINIFS(Assessments!J:J,Assessments!G:G,$A21,Assessments!B:B,"&gt;="&amp;$B$4,Assessments!B:B,"&lt;="&amp;$B$5))</f>
        <v/>
      </c>
      <c r="J21" t="n">
        <v>1</v>
      </c>
      <c r="K21">
        <f>IF($N21="","",INDEX($A$8:$A$507,MATCH($N21,$F$8:$F$507,0)))</f>
        <v/>
      </c>
      <c r="L21">
        <f>IF($K21="","",INDEX($B$8:$B$507,MATCH($N21,$F$8:$F$507,0)))</f>
        <v/>
      </c>
      <c r="M21">
        <f>IF($K21="","",INDEX($C$8:$C$507,MATCH($N21,$F$8:$F$507,0)))</f>
        <v/>
      </c>
      <c r="N21">
        <f>IFERROR(LARGE($F$8:$F$507,1),"")</f>
        <v/>
      </c>
    </row>
    <row r="22">
      <c r="A22">
        <f>IF(Students!A16="","",Students!A16)</f>
        <v/>
      </c>
      <c r="B22">
        <f>IF($A22="","",Students!B16)</f>
        <v/>
      </c>
      <c r="C22">
        <f>IF($A22="","",Students!C16)</f>
        <v/>
      </c>
      <c r="D22">
        <f>IF($A22="","",COUNTIFS(Assessments!G:G,$A22,Assessments!B:B,"&gt;="&amp;$B$4,Assessments!B:B,"&lt;="&amp;$B$5))</f>
        <v/>
      </c>
      <c r="E22">
        <f>IF($D22=0,"",ROUND(AVERAGEIFS(Assessments!J:J,Assessments!G:G,$A22,Assessments!B:B,"&gt;="&amp;$B$4,Assessments!B:B,"&lt;="&amp;$B$5),0))</f>
        <v/>
      </c>
      <c r="F22">
        <f>IF($D22=0,"",IFERROR(AVERAGEIFS(Assessments!J:J,Assessments!G:G,$A22,Assessments!B:B,$B$5),0)-IFERROR(AVERAGEIFS(Assessments!J:J,Assessments!G:G,$A22,Assessments!B:B,$B$4),0))</f>
        <v/>
      </c>
      <c r="G22">
        <f>IF($D22=0,"",MAXIFS(Assessments!J:J,Assessments!G:G,$A22,Assessments!B:B,"&gt;="&amp;$B$4,Assessments!B:B,"&lt;="&amp;$B$5))</f>
        <v/>
      </c>
      <c r="H22">
        <f>IF($D22=0,"",MINIFS(Assessments!J:J,Assessments!G:G,$A22,Assessments!B:B,"&gt;="&amp;$B$4,Assessments!B:B,"&lt;="&amp;$B$5))</f>
        <v/>
      </c>
      <c r="J22" t="n">
        <v>2</v>
      </c>
      <c r="K22">
        <f>IF($N22="","",INDEX($A$8:$A$507,MATCH($N22,$F$8:$F$507,0)))</f>
        <v/>
      </c>
      <c r="L22">
        <f>IF($K22="","",INDEX($B$8:$B$507,MATCH($N22,$F$8:$F$507,0)))</f>
        <v/>
      </c>
      <c r="M22">
        <f>IF($K22="","",INDEX($C$8:$C$507,MATCH($N22,$F$8:$F$507,0)))</f>
        <v/>
      </c>
      <c r="N22">
        <f>IFERROR(LARGE($F$8:$F$507,2),"")</f>
        <v/>
      </c>
    </row>
    <row r="23">
      <c r="A23">
        <f>IF(Students!A17="","",Students!A17)</f>
        <v/>
      </c>
      <c r="B23">
        <f>IF($A23="","",Students!B17)</f>
        <v/>
      </c>
      <c r="C23">
        <f>IF($A23="","",Students!C17)</f>
        <v/>
      </c>
      <c r="D23">
        <f>IF($A23="","",COUNTIFS(Assessments!G:G,$A23,Assessments!B:B,"&gt;="&amp;$B$4,Assessments!B:B,"&lt;="&amp;$B$5))</f>
        <v/>
      </c>
      <c r="E23">
        <f>IF($D23=0,"",ROUND(AVERAGEIFS(Assessments!J:J,Assessments!G:G,$A23,Assessments!B:B,"&gt;="&amp;$B$4,Assessments!B:B,"&lt;="&amp;$B$5),0))</f>
        <v/>
      </c>
      <c r="F23">
        <f>IF($D23=0,"",IFERROR(AVERAGEIFS(Assessments!J:J,Assessments!G:G,$A23,Assessments!B:B,$B$5),0)-IFERROR(AVERAGEIFS(Assessments!J:J,Assessments!G:G,$A23,Assessments!B:B,$B$4),0))</f>
        <v/>
      </c>
      <c r="G23">
        <f>IF($D23=0,"",MAXIFS(Assessments!J:J,Assessments!G:G,$A23,Assessments!B:B,"&gt;="&amp;$B$4,Assessments!B:B,"&lt;="&amp;$B$5))</f>
        <v/>
      </c>
      <c r="H23">
        <f>IF($D23=0,"",MINIFS(Assessments!J:J,Assessments!G:G,$A23,Assessments!B:B,"&gt;="&amp;$B$4,Assessments!B:B,"&lt;="&amp;$B$5))</f>
        <v/>
      </c>
      <c r="J23" t="n">
        <v>3</v>
      </c>
      <c r="K23">
        <f>IF($N23="","",INDEX($A$8:$A$507,MATCH($N23,$F$8:$F$507,0)))</f>
        <v/>
      </c>
      <c r="L23">
        <f>IF($K23="","",INDEX($B$8:$B$507,MATCH($N23,$F$8:$F$507,0)))</f>
        <v/>
      </c>
      <c r="M23">
        <f>IF($K23="","",INDEX($C$8:$C$507,MATCH($N23,$F$8:$F$507,0)))</f>
        <v/>
      </c>
      <c r="N23">
        <f>IFERROR(LARGE($F$8:$F$507,3),"")</f>
        <v/>
      </c>
    </row>
    <row r="24">
      <c r="A24">
        <f>IF(Students!A18="","",Students!A18)</f>
        <v/>
      </c>
      <c r="B24">
        <f>IF($A24="","",Students!B18)</f>
        <v/>
      </c>
      <c r="C24">
        <f>IF($A24="","",Students!C18)</f>
        <v/>
      </c>
      <c r="D24">
        <f>IF($A24="","",COUNTIFS(Assessments!G:G,$A24,Assessments!B:B,"&gt;="&amp;$B$4,Assessments!B:B,"&lt;="&amp;$B$5))</f>
        <v/>
      </c>
      <c r="E24">
        <f>IF($D24=0,"",ROUND(AVERAGEIFS(Assessments!J:J,Assessments!G:G,$A24,Assessments!B:B,"&gt;="&amp;$B$4,Assessments!B:B,"&lt;="&amp;$B$5),0))</f>
        <v/>
      </c>
      <c r="F24">
        <f>IF($D24=0,"",IFERROR(AVERAGEIFS(Assessments!J:J,Assessments!G:G,$A24,Assessments!B:B,$B$5),0)-IFERROR(AVERAGEIFS(Assessments!J:J,Assessments!G:G,$A24,Assessments!B:B,$B$4),0))</f>
        <v/>
      </c>
      <c r="G24">
        <f>IF($D24=0,"",MAXIFS(Assessments!J:J,Assessments!G:G,$A24,Assessments!B:B,"&gt;="&amp;$B$4,Assessments!B:B,"&lt;="&amp;$B$5))</f>
        <v/>
      </c>
      <c r="H24">
        <f>IF($D24=0,"",MINIFS(Assessments!J:J,Assessments!G:G,$A24,Assessments!B:B,"&gt;="&amp;$B$4,Assessments!B:B,"&lt;="&amp;$B$5))</f>
        <v/>
      </c>
      <c r="J24" t="n">
        <v>4</v>
      </c>
      <c r="K24">
        <f>IF($N24="","",INDEX($A$8:$A$507,MATCH($N24,$F$8:$F$507,0)))</f>
        <v/>
      </c>
      <c r="L24">
        <f>IF($K24="","",INDEX($B$8:$B$507,MATCH($N24,$F$8:$F$507,0)))</f>
        <v/>
      </c>
      <c r="M24">
        <f>IF($K24="","",INDEX($C$8:$C$507,MATCH($N24,$F$8:$F$507,0)))</f>
        <v/>
      </c>
      <c r="N24">
        <f>IFERROR(LARGE($F$8:$F$507,4),"")</f>
        <v/>
      </c>
    </row>
    <row r="25">
      <c r="A25">
        <f>IF(Students!A19="","",Students!A19)</f>
        <v/>
      </c>
      <c r="B25">
        <f>IF($A25="","",Students!B19)</f>
        <v/>
      </c>
      <c r="C25">
        <f>IF($A25="","",Students!C19)</f>
        <v/>
      </c>
      <c r="D25">
        <f>IF($A25="","",COUNTIFS(Assessments!G:G,$A25,Assessments!B:B,"&gt;="&amp;$B$4,Assessments!B:B,"&lt;="&amp;$B$5))</f>
        <v/>
      </c>
      <c r="E25">
        <f>IF($D25=0,"",ROUND(AVERAGEIFS(Assessments!J:J,Assessments!G:G,$A25,Assessments!B:B,"&gt;="&amp;$B$4,Assessments!B:B,"&lt;="&amp;$B$5),0))</f>
        <v/>
      </c>
      <c r="F25">
        <f>IF($D25=0,"",IFERROR(AVERAGEIFS(Assessments!J:J,Assessments!G:G,$A25,Assessments!B:B,$B$5),0)-IFERROR(AVERAGEIFS(Assessments!J:J,Assessments!G:G,$A25,Assessments!B:B,$B$4),0))</f>
        <v/>
      </c>
      <c r="G25">
        <f>IF($D25=0,"",MAXIFS(Assessments!J:J,Assessments!G:G,$A25,Assessments!B:B,"&gt;="&amp;$B$4,Assessments!B:B,"&lt;="&amp;$B$5))</f>
        <v/>
      </c>
      <c r="H25">
        <f>IF($D25=0,"",MINIFS(Assessments!J:J,Assessments!G:G,$A25,Assessments!B:B,"&gt;="&amp;$B$4,Assessments!B:B,"&lt;="&amp;$B$5))</f>
        <v/>
      </c>
      <c r="J25" t="n">
        <v>5</v>
      </c>
      <c r="K25">
        <f>IF($N25="","",INDEX($A$8:$A$507,MATCH($N25,$F$8:$F$507,0)))</f>
        <v/>
      </c>
      <c r="L25">
        <f>IF($K25="","",INDEX($B$8:$B$507,MATCH($N25,$F$8:$F$507,0)))</f>
        <v/>
      </c>
      <c r="M25">
        <f>IF($K25="","",INDEX($C$8:$C$507,MATCH($N25,$F$8:$F$507,0)))</f>
        <v/>
      </c>
      <c r="N25">
        <f>IFERROR(LARGE($F$8:$F$507,5),"")</f>
        <v/>
      </c>
    </row>
    <row r="26">
      <c r="A26">
        <f>IF(Students!A20="","",Students!A20)</f>
        <v/>
      </c>
      <c r="B26">
        <f>IF($A26="","",Students!B20)</f>
        <v/>
      </c>
      <c r="C26">
        <f>IF($A26="","",Students!C20)</f>
        <v/>
      </c>
      <c r="D26">
        <f>IF($A26="","",COUNTIFS(Assessments!G:G,$A26,Assessments!B:B,"&gt;="&amp;$B$4,Assessments!B:B,"&lt;="&amp;$B$5))</f>
        <v/>
      </c>
      <c r="E26">
        <f>IF($D26=0,"",ROUND(AVERAGEIFS(Assessments!J:J,Assessments!G:G,$A26,Assessments!B:B,"&gt;="&amp;$B$4,Assessments!B:B,"&lt;="&amp;$B$5),0))</f>
        <v/>
      </c>
      <c r="F26">
        <f>IF($D26=0,"",IFERROR(AVERAGEIFS(Assessments!J:J,Assessments!G:G,$A26,Assessments!B:B,$B$5),0)-IFERROR(AVERAGEIFS(Assessments!J:J,Assessments!G:G,$A26,Assessments!B:B,$B$4),0))</f>
        <v/>
      </c>
      <c r="G26">
        <f>IF($D26=0,"",MAXIFS(Assessments!J:J,Assessments!G:G,$A26,Assessments!B:B,"&gt;="&amp;$B$4,Assessments!B:B,"&lt;="&amp;$B$5))</f>
        <v/>
      </c>
      <c r="H26">
        <f>IF($D26=0,"",MINIFS(Assessments!J:J,Assessments!G:G,$A26,Assessments!B:B,"&gt;="&amp;$B$4,Assessments!B:B,"&lt;="&amp;$B$5))</f>
        <v/>
      </c>
      <c r="J26" t="n">
        <v>6</v>
      </c>
      <c r="K26">
        <f>IF($N26="","",INDEX($A$8:$A$507,MATCH($N26,$F$8:$F$507,0)))</f>
        <v/>
      </c>
      <c r="L26">
        <f>IF($K26="","",INDEX($B$8:$B$507,MATCH($N26,$F$8:$F$507,0)))</f>
        <v/>
      </c>
      <c r="M26">
        <f>IF($K26="","",INDEX($C$8:$C$507,MATCH($N26,$F$8:$F$507,0)))</f>
        <v/>
      </c>
      <c r="N26">
        <f>IFERROR(LARGE($F$8:$F$507,6),"")</f>
        <v/>
      </c>
    </row>
    <row r="27">
      <c r="A27">
        <f>IF(Students!A21="","",Students!A21)</f>
        <v/>
      </c>
      <c r="B27">
        <f>IF($A27="","",Students!B21)</f>
        <v/>
      </c>
      <c r="C27">
        <f>IF($A27="","",Students!C21)</f>
        <v/>
      </c>
      <c r="D27">
        <f>IF($A27="","",COUNTIFS(Assessments!G:G,$A27,Assessments!B:B,"&gt;="&amp;$B$4,Assessments!B:B,"&lt;="&amp;$B$5))</f>
        <v/>
      </c>
      <c r="E27">
        <f>IF($D27=0,"",ROUND(AVERAGEIFS(Assessments!J:J,Assessments!G:G,$A27,Assessments!B:B,"&gt;="&amp;$B$4,Assessments!B:B,"&lt;="&amp;$B$5),0))</f>
        <v/>
      </c>
      <c r="F27">
        <f>IF($D27=0,"",IFERROR(AVERAGEIFS(Assessments!J:J,Assessments!G:G,$A27,Assessments!B:B,$B$5),0)-IFERROR(AVERAGEIFS(Assessments!J:J,Assessments!G:G,$A27,Assessments!B:B,$B$4),0))</f>
        <v/>
      </c>
      <c r="G27">
        <f>IF($D27=0,"",MAXIFS(Assessments!J:J,Assessments!G:G,$A27,Assessments!B:B,"&gt;="&amp;$B$4,Assessments!B:B,"&lt;="&amp;$B$5))</f>
        <v/>
      </c>
      <c r="H27">
        <f>IF($D27=0,"",MINIFS(Assessments!J:J,Assessments!G:G,$A27,Assessments!B:B,"&gt;="&amp;$B$4,Assessments!B:B,"&lt;="&amp;$B$5))</f>
        <v/>
      </c>
      <c r="J27" t="n">
        <v>7</v>
      </c>
      <c r="K27">
        <f>IF($N27="","",INDEX($A$8:$A$507,MATCH($N27,$F$8:$F$507,0)))</f>
        <v/>
      </c>
      <c r="L27">
        <f>IF($K27="","",INDEX($B$8:$B$507,MATCH($N27,$F$8:$F$507,0)))</f>
        <v/>
      </c>
      <c r="M27">
        <f>IF($K27="","",INDEX($C$8:$C$507,MATCH($N27,$F$8:$F$507,0)))</f>
        <v/>
      </c>
      <c r="N27">
        <f>IFERROR(LARGE($F$8:$F$507,7),"")</f>
        <v/>
      </c>
    </row>
    <row r="28">
      <c r="A28">
        <f>IF(Students!A22="","",Students!A22)</f>
        <v/>
      </c>
      <c r="B28">
        <f>IF($A28="","",Students!B22)</f>
        <v/>
      </c>
      <c r="C28">
        <f>IF($A28="","",Students!C22)</f>
        <v/>
      </c>
      <c r="D28">
        <f>IF($A28="","",COUNTIFS(Assessments!G:G,$A28,Assessments!B:B,"&gt;="&amp;$B$4,Assessments!B:B,"&lt;="&amp;$B$5))</f>
        <v/>
      </c>
      <c r="E28">
        <f>IF($D28=0,"",ROUND(AVERAGEIFS(Assessments!J:J,Assessments!G:G,$A28,Assessments!B:B,"&gt;="&amp;$B$4,Assessments!B:B,"&lt;="&amp;$B$5),0))</f>
        <v/>
      </c>
      <c r="F28">
        <f>IF($D28=0,"",IFERROR(AVERAGEIFS(Assessments!J:J,Assessments!G:G,$A28,Assessments!B:B,$B$5),0)-IFERROR(AVERAGEIFS(Assessments!J:J,Assessments!G:G,$A28,Assessments!B:B,$B$4),0))</f>
        <v/>
      </c>
      <c r="G28">
        <f>IF($D28=0,"",MAXIFS(Assessments!J:J,Assessments!G:G,$A28,Assessments!B:B,"&gt;="&amp;$B$4,Assessments!B:B,"&lt;="&amp;$B$5))</f>
        <v/>
      </c>
      <c r="H28">
        <f>IF($D28=0,"",MINIFS(Assessments!J:J,Assessments!G:G,$A28,Assessments!B:B,"&gt;="&amp;$B$4,Assessments!B:B,"&lt;="&amp;$B$5))</f>
        <v/>
      </c>
      <c r="J28" t="n">
        <v>8</v>
      </c>
      <c r="K28">
        <f>IF($N28="","",INDEX($A$8:$A$507,MATCH($N28,$F$8:$F$507,0)))</f>
        <v/>
      </c>
      <c r="L28">
        <f>IF($K28="","",INDEX($B$8:$B$507,MATCH($N28,$F$8:$F$507,0)))</f>
        <v/>
      </c>
      <c r="M28">
        <f>IF($K28="","",INDEX($C$8:$C$507,MATCH($N28,$F$8:$F$507,0)))</f>
        <v/>
      </c>
      <c r="N28">
        <f>IFERROR(LARGE($F$8:$F$507,8),"")</f>
        <v/>
      </c>
    </row>
    <row r="29">
      <c r="A29">
        <f>IF(Students!A23="","",Students!A23)</f>
        <v/>
      </c>
      <c r="B29">
        <f>IF($A29="","",Students!B23)</f>
        <v/>
      </c>
      <c r="C29">
        <f>IF($A29="","",Students!C23)</f>
        <v/>
      </c>
      <c r="D29">
        <f>IF($A29="","",COUNTIFS(Assessments!G:G,$A29,Assessments!B:B,"&gt;="&amp;$B$4,Assessments!B:B,"&lt;="&amp;$B$5))</f>
        <v/>
      </c>
      <c r="E29">
        <f>IF($D29=0,"",ROUND(AVERAGEIFS(Assessments!J:J,Assessments!G:G,$A29,Assessments!B:B,"&gt;="&amp;$B$4,Assessments!B:B,"&lt;="&amp;$B$5),0))</f>
        <v/>
      </c>
      <c r="F29">
        <f>IF($D29=0,"",IFERROR(AVERAGEIFS(Assessments!J:J,Assessments!G:G,$A29,Assessments!B:B,$B$5),0)-IFERROR(AVERAGEIFS(Assessments!J:J,Assessments!G:G,$A29,Assessments!B:B,$B$4),0))</f>
        <v/>
      </c>
      <c r="G29">
        <f>IF($D29=0,"",MAXIFS(Assessments!J:J,Assessments!G:G,$A29,Assessments!B:B,"&gt;="&amp;$B$4,Assessments!B:B,"&lt;="&amp;$B$5))</f>
        <v/>
      </c>
      <c r="H29">
        <f>IF($D29=0,"",MINIFS(Assessments!J:J,Assessments!G:G,$A29,Assessments!B:B,"&gt;="&amp;$B$4,Assessments!B:B,"&lt;="&amp;$B$5))</f>
        <v/>
      </c>
      <c r="J29" t="n">
        <v>9</v>
      </c>
      <c r="K29">
        <f>IF($N29="","",INDEX($A$8:$A$507,MATCH($N29,$F$8:$F$507,0)))</f>
        <v/>
      </c>
      <c r="L29">
        <f>IF($K29="","",INDEX($B$8:$B$507,MATCH($N29,$F$8:$F$507,0)))</f>
        <v/>
      </c>
      <c r="M29">
        <f>IF($K29="","",INDEX($C$8:$C$507,MATCH($N29,$F$8:$F$507,0)))</f>
        <v/>
      </c>
      <c r="N29">
        <f>IFERROR(LARGE($F$8:$F$507,9),"")</f>
        <v/>
      </c>
    </row>
    <row r="30">
      <c r="A30">
        <f>IF(Students!A24="","",Students!A24)</f>
        <v/>
      </c>
      <c r="B30">
        <f>IF($A30="","",Students!B24)</f>
        <v/>
      </c>
      <c r="C30">
        <f>IF($A30="","",Students!C24)</f>
        <v/>
      </c>
      <c r="D30">
        <f>IF($A30="","",COUNTIFS(Assessments!G:G,$A30,Assessments!B:B,"&gt;="&amp;$B$4,Assessments!B:B,"&lt;="&amp;$B$5))</f>
        <v/>
      </c>
      <c r="E30">
        <f>IF($D30=0,"",ROUND(AVERAGEIFS(Assessments!J:J,Assessments!G:G,$A30,Assessments!B:B,"&gt;="&amp;$B$4,Assessments!B:B,"&lt;="&amp;$B$5),0))</f>
        <v/>
      </c>
      <c r="F30">
        <f>IF($D30=0,"",IFERROR(AVERAGEIFS(Assessments!J:J,Assessments!G:G,$A30,Assessments!B:B,$B$5),0)-IFERROR(AVERAGEIFS(Assessments!J:J,Assessments!G:G,$A30,Assessments!B:B,$B$4),0))</f>
        <v/>
      </c>
      <c r="G30">
        <f>IF($D30=0,"",MAXIFS(Assessments!J:J,Assessments!G:G,$A30,Assessments!B:B,"&gt;="&amp;$B$4,Assessments!B:B,"&lt;="&amp;$B$5))</f>
        <v/>
      </c>
      <c r="H30">
        <f>IF($D30=0,"",MINIFS(Assessments!J:J,Assessments!G:G,$A30,Assessments!B:B,"&gt;="&amp;$B$4,Assessments!B:B,"&lt;="&amp;$B$5))</f>
        <v/>
      </c>
      <c r="J30" t="n">
        <v>10</v>
      </c>
      <c r="K30">
        <f>IF($N30="","",INDEX($A$8:$A$507,MATCH($N30,$F$8:$F$507,0)))</f>
        <v/>
      </c>
      <c r="L30">
        <f>IF($K30="","",INDEX($B$8:$B$507,MATCH($N30,$F$8:$F$507,0)))</f>
        <v/>
      </c>
      <c r="M30">
        <f>IF($K30="","",INDEX($C$8:$C$507,MATCH($N30,$F$8:$F$507,0)))</f>
        <v/>
      </c>
      <c r="N30">
        <f>IFERROR(LARGE($F$8:$F$507,10),"")</f>
        <v/>
      </c>
    </row>
    <row r="31">
      <c r="A31">
        <f>IF(Students!A25="","",Students!A25)</f>
        <v/>
      </c>
      <c r="B31">
        <f>IF($A31="","",Students!B25)</f>
        <v/>
      </c>
      <c r="C31">
        <f>IF($A31="","",Students!C25)</f>
        <v/>
      </c>
      <c r="D31">
        <f>IF($A31="","",COUNTIFS(Assessments!G:G,$A31,Assessments!B:B,"&gt;="&amp;$B$4,Assessments!B:B,"&lt;="&amp;$B$5))</f>
        <v/>
      </c>
      <c r="E31">
        <f>IF($D31=0,"",ROUND(AVERAGEIFS(Assessments!J:J,Assessments!G:G,$A31,Assessments!B:B,"&gt;="&amp;$B$4,Assessments!B:B,"&lt;="&amp;$B$5),0))</f>
        <v/>
      </c>
      <c r="F31">
        <f>IF($D31=0,"",IFERROR(AVERAGEIFS(Assessments!J:J,Assessments!G:G,$A31,Assessments!B:B,$B$5),0)-IFERROR(AVERAGEIFS(Assessments!J:J,Assessments!G:G,$A31,Assessments!B:B,$B$4),0))</f>
        <v/>
      </c>
      <c r="G31">
        <f>IF($D31=0,"",MAXIFS(Assessments!J:J,Assessments!G:G,$A31,Assessments!B:B,"&gt;="&amp;$B$4,Assessments!B:B,"&lt;="&amp;$B$5))</f>
        <v/>
      </c>
      <c r="H31">
        <f>IF($D31=0,"",MINIFS(Assessments!J:J,Assessments!G:G,$A31,Assessments!B:B,"&gt;="&amp;$B$4,Assessments!B:B,"&lt;="&amp;$B$5))</f>
        <v/>
      </c>
    </row>
    <row r="32">
      <c r="A32">
        <f>IF(Students!A26="","",Students!A26)</f>
        <v/>
      </c>
      <c r="B32">
        <f>IF($A32="","",Students!B26)</f>
        <v/>
      </c>
      <c r="C32">
        <f>IF($A32="","",Students!C26)</f>
        <v/>
      </c>
      <c r="D32">
        <f>IF($A32="","",COUNTIFS(Assessments!G:G,$A32,Assessments!B:B,"&gt;="&amp;$B$4,Assessments!B:B,"&lt;="&amp;$B$5))</f>
        <v/>
      </c>
      <c r="E32">
        <f>IF($D32=0,"",ROUND(AVERAGEIFS(Assessments!J:J,Assessments!G:G,$A32,Assessments!B:B,"&gt;="&amp;$B$4,Assessments!B:B,"&lt;="&amp;$B$5),0))</f>
        <v/>
      </c>
      <c r="F32">
        <f>IF($D32=0,"",IFERROR(AVERAGEIFS(Assessments!J:J,Assessments!G:G,$A32,Assessments!B:B,$B$5),0)-IFERROR(AVERAGEIFS(Assessments!J:J,Assessments!G:G,$A32,Assessments!B:B,$B$4),0))</f>
        <v/>
      </c>
      <c r="G32">
        <f>IF($D32=0,"",MAXIFS(Assessments!J:J,Assessments!G:G,$A32,Assessments!B:B,"&gt;="&amp;$B$4,Assessments!B:B,"&lt;="&amp;$B$5))</f>
        <v/>
      </c>
      <c r="H32">
        <f>IF($D32=0,"",MINIFS(Assessments!J:J,Assessments!G:G,$A32,Assessments!B:B,"&gt;="&amp;$B$4,Assessments!B:B,"&lt;="&amp;$B$5))</f>
        <v/>
      </c>
      <c r="J32" s="2" t="inlineStr">
        <is>
          <t>Best Student Per Class &amp; Subject (Top 20 list)</t>
        </is>
      </c>
    </row>
    <row r="33">
      <c r="A33">
        <f>IF(Students!A27="","",Students!A27)</f>
        <v/>
      </c>
      <c r="B33">
        <f>IF($A33="","",Students!B27)</f>
        <v/>
      </c>
      <c r="C33">
        <f>IF($A33="","",Students!C27)</f>
        <v/>
      </c>
      <c r="D33">
        <f>IF($A33="","",COUNTIFS(Assessments!G:G,$A33,Assessments!B:B,"&gt;="&amp;$B$4,Assessments!B:B,"&lt;="&amp;$B$5))</f>
        <v/>
      </c>
      <c r="E33">
        <f>IF($D33=0,"",ROUND(AVERAGEIFS(Assessments!J:J,Assessments!G:G,$A33,Assessments!B:B,"&gt;="&amp;$B$4,Assessments!B:B,"&lt;="&amp;$B$5),0))</f>
        <v/>
      </c>
      <c r="F33">
        <f>IF($D33=0,"",IFERROR(AVERAGEIFS(Assessments!J:J,Assessments!G:G,$A33,Assessments!B:B,$B$5),0)-IFERROR(AVERAGEIFS(Assessments!J:J,Assessments!G:G,$A33,Assessments!B:B,$B$4),0))</f>
        <v/>
      </c>
      <c r="G33">
        <f>IF($D33=0,"",MAXIFS(Assessments!J:J,Assessments!G:G,$A33,Assessments!B:B,"&gt;="&amp;$B$4,Assessments!B:B,"&lt;="&amp;$B$5))</f>
        <v/>
      </c>
      <c r="H33">
        <f>IF($D33=0,"",MINIFS(Assessments!J:J,Assessments!G:G,$A33,Assessments!B:B,"&gt;="&amp;$B$4,Assessments!B:B,"&lt;="&amp;$B$5))</f>
        <v/>
      </c>
      <c r="J33" s="5" t="inlineStr">
        <is>
          <t>Class</t>
        </is>
      </c>
      <c r="K33" s="5" t="inlineStr">
        <is>
          <t>Subject</t>
        </is>
      </c>
      <c r="L33" s="5" t="inlineStr">
        <is>
          <t>Student</t>
        </is>
      </c>
      <c r="M33" s="5" t="inlineStr">
        <is>
          <t>Avg % (Subject)</t>
        </is>
      </c>
    </row>
    <row r="34">
      <c r="A34">
        <f>IF(Students!A28="","",Students!A28)</f>
        <v/>
      </c>
      <c r="B34">
        <f>IF($A34="","",Students!B28)</f>
        <v/>
      </c>
      <c r="C34">
        <f>IF($A34="","",Students!C28)</f>
        <v/>
      </c>
      <c r="D34">
        <f>IF($A34="","",COUNTIFS(Assessments!G:G,$A34,Assessments!B:B,"&gt;="&amp;$B$4,Assessments!B:B,"&lt;="&amp;$B$5))</f>
        <v/>
      </c>
      <c r="E34">
        <f>IF($D34=0,"",ROUND(AVERAGEIFS(Assessments!J:J,Assessments!G:G,$A34,Assessments!B:B,"&gt;="&amp;$B$4,Assessments!B:B,"&lt;="&amp;$B$5),0))</f>
        <v/>
      </c>
      <c r="F34">
        <f>IF($D34=0,"",IFERROR(AVERAGEIFS(Assessments!J:J,Assessments!G:G,$A34,Assessments!B:B,$B$5),0)-IFERROR(AVERAGEIFS(Assessments!J:J,Assessments!G:G,$A34,Assessments!B:B,$B$4),0))</f>
        <v/>
      </c>
      <c r="G34">
        <f>IF($D34=0,"",MAXIFS(Assessments!J:J,Assessments!G:G,$A34,Assessments!B:B,"&gt;="&amp;$B$4,Assessments!B:B,"&lt;="&amp;$B$5))</f>
        <v/>
      </c>
      <c r="H34">
        <f>IF($D34=0,"",MINIFS(Assessments!J:J,Assessments!G:G,$A34,Assessments!B:B,"&gt;="&amp;$B$4,Assessments!B:B,"&lt;="&amp;$B$5))</f>
        <v/>
      </c>
      <c r="L34">
        <f>IF(OR($J34="", $K34=""),"",INDEX(Assessments!G:G,MATCH(MAXIFS(Assessments!J:J,Assessments!D:D,$J34,Assessments!E:E,$K34,Assessments!B:B,"&gt;="&amp;$B$4,Assessments!B:B,"&lt;="&amp;$B$5),FILTER(Assessments!J:J,(Assessments!D:D=$J34)*(Assessments!E:E=$K34)*(Assessments!B:B&gt;=$B$4)*(Assessments!B:B&lt;=$B$5)),0)))</f>
        <v/>
      </c>
      <c r="M34">
        <f>IF(OR($J34="", $K34=""),"",MAXIFS(Assessments!J:J,Assessments!D:D,$J34,Assessments!E:E,$K34,Assessments!B:B,"&gt;="&amp;$B$4,Assessments!B:B,"&lt;="&amp;$B$5))</f>
        <v/>
      </c>
    </row>
    <row r="35">
      <c r="A35">
        <f>IF(Students!A29="","",Students!A29)</f>
        <v/>
      </c>
      <c r="B35">
        <f>IF($A35="","",Students!B29)</f>
        <v/>
      </c>
      <c r="C35">
        <f>IF($A35="","",Students!C29)</f>
        <v/>
      </c>
      <c r="D35">
        <f>IF($A35="","",COUNTIFS(Assessments!G:G,$A35,Assessments!B:B,"&gt;="&amp;$B$4,Assessments!B:B,"&lt;="&amp;$B$5))</f>
        <v/>
      </c>
      <c r="E35">
        <f>IF($D35=0,"",ROUND(AVERAGEIFS(Assessments!J:J,Assessments!G:G,$A35,Assessments!B:B,"&gt;="&amp;$B$4,Assessments!B:B,"&lt;="&amp;$B$5),0))</f>
        <v/>
      </c>
      <c r="F35">
        <f>IF($D35=0,"",IFERROR(AVERAGEIFS(Assessments!J:J,Assessments!G:G,$A35,Assessments!B:B,$B$5),0)-IFERROR(AVERAGEIFS(Assessments!J:J,Assessments!G:G,$A35,Assessments!B:B,$B$4),0))</f>
        <v/>
      </c>
      <c r="G35">
        <f>IF($D35=0,"",MAXIFS(Assessments!J:J,Assessments!G:G,$A35,Assessments!B:B,"&gt;="&amp;$B$4,Assessments!B:B,"&lt;="&amp;$B$5))</f>
        <v/>
      </c>
      <c r="H35">
        <f>IF($D35=0,"",MINIFS(Assessments!J:J,Assessments!G:G,$A35,Assessments!B:B,"&gt;="&amp;$B$4,Assessments!B:B,"&lt;="&amp;$B$5))</f>
        <v/>
      </c>
      <c r="L35">
        <f>IF(OR($J35="", $K35=""),"",INDEX(Assessments!G:G,MATCH(MAXIFS(Assessments!J:J,Assessments!D:D,$J35,Assessments!E:E,$K35,Assessments!B:B,"&gt;="&amp;$B$4,Assessments!B:B,"&lt;="&amp;$B$5),FILTER(Assessments!J:J,(Assessments!D:D=$J35)*(Assessments!E:E=$K35)*(Assessments!B:B&gt;=$B$4)*(Assessments!B:B&lt;=$B$5)),0)))</f>
        <v/>
      </c>
      <c r="M35">
        <f>IF(OR($J35="", $K35=""),"",MAXIFS(Assessments!J:J,Assessments!D:D,$J35,Assessments!E:E,$K35,Assessments!B:B,"&gt;="&amp;$B$4,Assessments!B:B,"&lt;="&amp;$B$5))</f>
        <v/>
      </c>
    </row>
    <row r="36">
      <c r="A36">
        <f>IF(Students!A30="","",Students!A30)</f>
        <v/>
      </c>
      <c r="B36">
        <f>IF($A36="","",Students!B30)</f>
        <v/>
      </c>
      <c r="C36">
        <f>IF($A36="","",Students!C30)</f>
        <v/>
      </c>
      <c r="D36">
        <f>IF($A36="","",COUNTIFS(Assessments!G:G,$A36,Assessments!B:B,"&gt;="&amp;$B$4,Assessments!B:B,"&lt;="&amp;$B$5))</f>
        <v/>
      </c>
      <c r="E36">
        <f>IF($D36=0,"",ROUND(AVERAGEIFS(Assessments!J:J,Assessments!G:G,$A36,Assessments!B:B,"&gt;="&amp;$B$4,Assessments!B:B,"&lt;="&amp;$B$5),0))</f>
        <v/>
      </c>
      <c r="F36">
        <f>IF($D36=0,"",IFERROR(AVERAGEIFS(Assessments!J:J,Assessments!G:G,$A36,Assessments!B:B,$B$5),0)-IFERROR(AVERAGEIFS(Assessments!J:J,Assessments!G:G,$A36,Assessments!B:B,$B$4),0))</f>
        <v/>
      </c>
      <c r="G36">
        <f>IF($D36=0,"",MAXIFS(Assessments!J:J,Assessments!G:G,$A36,Assessments!B:B,"&gt;="&amp;$B$4,Assessments!B:B,"&lt;="&amp;$B$5))</f>
        <v/>
      </c>
      <c r="H36">
        <f>IF($D36=0,"",MINIFS(Assessments!J:J,Assessments!G:G,$A36,Assessments!B:B,"&gt;="&amp;$B$4,Assessments!B:B,"&lt;="&amp;$B$5))</f>
        <v/>
      </c>
      <c r="L36">
        <f>IF(OR($J36="", $K36=""),"",INDEX(Assessments!G:G,MATCH(MAXIFS(Assessments!J:J,Assessments!D:D,$J36,Assessments!E:E,$K36,Assessments!B:B,"&gt;="&amp;$B$4,Assessments!B:B,"&lt;="&amp;$B$5),FILTER(Assessments!J:J,(Assessments!D:D=$J36)*(Assessments!E:E=$K36)*(Assessments!B:B&gt;=$B$4)*(Assessments!B:B&lt;=$B$5)),0)))</f>
        <v/>
      </c>
      <c r="M36">
        <f>IF(OR($J36="", $K36=""),"",MAXIFS(Assessments!J:J,Assessments!D:D,$J36,Assessments!E:E,$K36,Assessments!B:B,"&gt;="&amp;$B$4,Assessments!B:B,"&lt;="&amp;$B$5))</f>
        <v/>
      </c>
    </row>
    <row r="37">
      <c r="A37">
        <f>IF(Students!A31="","",Students!A31)</f>
        <v/>
      </c>
      <c r="B37">
        <f>IF($A37="","",Students!B31)</f>
        <v/>
      </c>
      <c r="C37">
        <f>IF($A37="","",Students!C31)</f>
        <v/>
      </c>
      <c r="D37">
        <f>IF($A37="","",COUNTIFS(Assessments!G:G,$A37,Assessments!B:B,"&gt;="&amp;$B$4,Assessments!B:B,"&lt;="&amp;$B$5))</f>
        <v/>
      </c>
      <c r="E37">
        <f>IF($D37=0,"",ROUND(AVERAGEIFS(Assessments!J:J,Assessments!G:G,$A37,Assessments!B:B,"&gt;="&amp;$B$4,Assessments!B:B,"&lt;="&amp;$B$5),0))</f>
        <v/>
      </c>
      <c r="F37">
        <f>IF($D37=0,"",IFERROR(AVERAGEIFS(Assessments!J:J,Assessments!G:G,$A37,Assessments!B:B,$B$5),0)-IFERROR(AVERAGEIFS(Assessments!J:J,Assessments!G:G,$A37,Assessments!B:B,$B$4),0))</f>
        <v/>
      </c>
      <c r="G37">
        <f>IF($D37=0,"",MAXIFS(Assessments!J:J,Assessments!G:G,$A37,Assessments!B:B,"&gt;="&amp;$B$4,Assessments!B:B,"&lt;="&amp;$B$5))</f>
        <v/>
      </c>
      <c r="H37">
        <f>IF($D37=0,"",MINIFS(Assessments!J:J,Assessments!G:G,$A37,Assessments!B:B,"&gt;="&amp;$B$4,Assessments!B:B,"&lt;="&amp;$B$5))</f>
        <v/>
      </c>
      <c r="L37">
        <f>IF(OR($J37="", $K37=""),"",INDEX(Assessments!G:G,MATCH(MAXIFS(Assessments!J:J,Assessments!D:D,$J37,Assessments!E:E,$K37,Assessments!B:B,"&gt;="&amp;$B$4,Assessments!B:B,"&lt;="&amp;$B$5),FILTER(Assessments!J:J,(Assessments!D:D=$J37)*(Assessments!E:E=$K37)*(Assessments!B:B&gt;=$B$4)*(Assessments!B:B&lt;=$B$5)),0)))</f>
        <v/>
      </c>
      <c r="M37">
        <f>IF(OR($J37="", $K37=""),"",MAXIFS(Assessments!J:J,Assessments!D:D,$J37,Assessments!E:E,$K37,Assessments!B:B,"&gt;="&amp;$B$4,Assessments!B:B,"&lt;="&amp;$B$5))</f>
        <v/>
      </c>
    </row>
    <row r="38">
      <c r="A38">
        <f>IF(Students!A32="","",Students!A32)</f>
        <v/>
      </c>
      <c r="B38">
        <f>IF($A38="","",Students!B32)</f>
        <v/>
      </c>
      <c r="C38">
        <f>IF($A38="","",Students!C32)</f>
        <v/>
      </c>
      <c r="D38">
        <f>IF($A38="","",COUNTIFS(Assessments!G:G,$A38,Assessments!B:B,"&gt;="&amp;$B$4,Assessments!B:B,"&lt;="&amp;$B$5))</f>
        <v/>
      </c>
      <c r="E38">
        <f>IF($D38=0,"",ROUND(AVERAGEIFS(Assessments!J:J,Assessments!G:G,$A38,Assessments!B:B,"&gt;="&amp;$B$4,Assessments!B:B,"&lt;="&amp;$B$5),0))</f>
        <v/>
      </c>
      <c r="F38">
        <f>IF($D38=0,"",IFERROR(AVERAGEIFS(Assessments!J:J,Assessments!G:G,$A38,Assessments!B:B,$B$5),0)-IFERROR(AVERAGEIFS(Assessments!J:J,Assessments!G:G,$A38,Assessments!B:B,$B$4),0))</f>
        <v/>
      </c>
      <c r="G38">
        <f>IF($D38=0,"",MAXIFS(Assessments!J:J,Assessments!G:G,$A38,Assessments!B:B,"&gt;="&amp;$B$4,Assessments!B:B,"&lt;="&amp;$B$5))</f>
        <v/>
      </c>
      <c r="H38">
        <f>IF($D38=0,"",MINIFS(Assessments!J:J,Assessments!G:G,$A38,Assessments!B:B,"&gt;="&amp;$B$4,Assessments!B:B,"&lt;="&amp;$B$5))</f>
        <v/>
      </c>
      <c r="L38">
        <f>IF(OR($J38="", $K38=""),"",INDEX(Assessments!G:G,MATCH(MAXIFS(Assessments!J:J,Assessments!D:D,$J38,Assessments!E:E,$K38,Assessments!B:B,"&gt;="&amp;$B$4,Assessments!B:B,"&lt;="&amp;$B$5),FILTER(Assessments!J:J,(Assessments!D:D=$J38)*(Assessments!E:E=$K38)*(Assessments!B:B&gt;=$B$4)*(Assessments!B:B&lt;=$B$5)),0)))</f>
        <v/>
      </c>
      <c r="M38">
        <f>IF(OR($J38="", $K38=""),"",MAXIFS(Assessments!J:J,Assessments!D:D,$J38,Assessments!E:E,$K38,Assessments!B:B,"&gt;="&amp;$B$4,Assessments!B:B,"&lt;="&amp;$B$5))</f>
        <v/>
      </c>
    </row>
    <row r="39">
      <c r="A39">
        <f>IF(Students!A33="","",Students!A33)</f>
        <v/>
      </c>
      <c r="B39">
        <f>IF($A39="","",Students!B33)</f>
        <v/>
      </c>
      <c r="C39">
        <f>IF($A39="","",Students!C33)</f>
        <v/>
      </c>
      <c r="D39">
        <f>IF($A39="","",COUNTIFS(Assessments!G:G,$A39,Assessments!B:B,"&gt;="&amp;$B$4,Assessments!B:B,"&lt;="&amp;$B$5))</f>
        <v/>
      </c>
      <c r="E39">
        <f>IF($D39=0,"",ROUND(AVERAGEIFS(Assessments!J:J,Assessments!G:G,$A39,Assessments!B:B,"&gt;="&amp;$B$4,Assessments!B:B,"&lt;="&amp;$B$5),0))</f>
        <v/>
      </c>
      <c r="F39">
        <f>IF($D39=0,"",IFERROR(AVERAGEIFS(Assessments!J:J,Assessments!G:G,$A39,Assessments!B:B,$B$5),0)-IFERROR(AVERAGEIFS(Assessments!J:J,Assessments!G:G,$A39,Assessments!B:B,$B$4),0))</f>
        <v/>
      </c>
      <c r="G39">
        <f>IF($D39=0,"",MAXIFS(Assessments!J:J,Assessments!G:G,$A39,Assessments!B:B,"&gt;="&amp;$B$4,Assessments!B:B,"&lt;="&amp;$B$5))</f>
        <v/>
      </c>
      <c r="H39">
        <f>IF($D39=0,"",MINIFS(Assessments!J:J,Assessments!G:G,$A39,Assessments!B:B,"&gt;="&amp;$B$4,Assessments!B:B,"&lt;="&amp;$B$5))</f>
        <v/>
      </c>
      <c r="L39">
        <f>IF(OR($J39="", $K39=""),"",INDEX(Assessments!G:G,MATCH(MAXIFS(Assessments!J:J,Assessments!D:D,$J39,Assessments!E:E,$K39,Assessments!B:B,"&gt;="&amp;$B$4,Assessments!B:B,"&lt;="&amp;$B$5),FILTER(Assessments!J:J,(Assessments!D:D=$J39)*(Assessments!E:E=$K39)*(Assessments!B:B&gt;=$B$4)*(Assessments!B:B&lt;=$B$5)),0)))</f>
        <v/>
      </c>
      <c r="M39">
        <f>IF(OR($J39="", $K39=""),"",MAXIFS(Assessments!J:J,Assessments!D:D,$J39,Assessments!E:E,$K39,Assessments!B:B,"&gt;="&amp;$B$4,Assessments!B:B,"&lt;="&amp;$B$5))</f>
        <v/>
      </c>
    </row>
    <row r="40">
      <c r="A40">
        <f>IF(Students!A34="","",Students!A34)</f>
        <v/>
      </c>
      <c r="B40">
        <f>IF($A40="","",Students!B34)</f>
        <v/>
      </c>
      <c r="C40">
        <f>IF($A40="","",Students!C34)</f>
        <v/>
      </c>
      <c r="D40">
        <f>IF($A40="","",COUNTIFS(Assessments!G:G,$A40,Assessments!B:B,"&gt;="&amp;$B$4,Assessments!B:B,"&lt;="&amp;$B$5))</f>
        <v/>
      </c>
      <c r="E40">
        <f>IF($D40=0,"",ROUND(AVERAGEIFS(Assessments!J:J,Assessments!G:G,$A40,Assessments!B:B,"&gt;="&amp;$B$4,Assessments!B:B,"&lt;="&amp;$B$5),0))</f>
        <v/>
      </c>
      <c r="F40">
        <f>IF($D40=0,"",IFERROR(AVERAGEIFS(Assessments!J:J,Assessments!G:G,$A40,Assessments!B:B,$B$5),0)-IFERROR(AVERAGEIFS(Assessments!J:J,Assessments!G:G,$A40,Assessments!B:B,$B$4),0))</f>
        <v/>
      </c>
      <c r="G40">
        <f>IF($D40=0,"",MAXIFS(Assessments!J:J,Assessments!G:G,$A40,Assessments!B:B,"&gt;="&amp;$B$4,Assessments!B:B,"&lt;="&amp;$B$5))</f>
        <v/>
      </c>
      <c r="H40">
        <f>IF($D40=0,"",MINIFS(Assessments!J:J,Assessments!G:G,$A40,Assessments!B:B,"&gt;="&amp;$B$4,Assessments!B:B,"&lt;="&amp;$B$5))</f>
        <v/>
      </c>
      <c r="L40">
        <f>IF(OR($J40="", $K40=""),"",INDEX(Assessments!G:G,MATCH(MAXIFS(Assessments!J:J,Assessments!D:D,$J40,Assessments!E:E,$K40,Assessments!B:B,"&gt;="&amp;$B$4,Assessments!B:B,"&lt;="&amp;$B$5),FILTER(Assessments!J:J,(Assessments!D:D=$J40)*(Assessments!E:E=$K40)*(Assessments!B:B&gt;=$B$4)*(Assessments!B:B&lt;=$B$5)),0)))</f>
        <v/>
      </c>
      <c r="M40">
        <f>IF(OR($J40="", $K40=""),"",MAXIFS(Assessments!J:J,Assessments!D:D,$J40,Assessments!E:E,$K40,Assessments!B:B,"&gt;="&amp;$B$4,Assessments!B:B,"&lt;="&amp;$B$5))</f>
        <v/>
      </c>
    </row>
    <row r="41">
      <c r="A41">
        <f>IF(Students!A35="","",Students!A35)</f>
        <v/>
      </c>
      <c r="B41">
        <f>IF($A41="","",Students!B35)</f>
        <v/>
      </c>
      <c r="C41">
        <f>IF($A41="","",Students!C35)</f>
        <v/>
      </c>
      <c r="D41">
        <f>IF($A41="","",COUNTIFS(Assessments!G:G,$A41,Assessments!B:B,"&gt;="&amp;$B$4,Assessments!B:B,"&lt;="&amp;$B$5))</f>
        <v/>
      </c>
      <c r="E41">
        <f>IF($D41=0,"",ROUND(AVERAGEIFS(Assessments!J:J,Assessments!G:G,$A41,Assessments!B:B,"&gt;="&amp;$B$4,Assessments!B:B,"&lt;="&amp;$B$5),0))</f>
        <v/>
      </c>
      <c r="F41">
        <f>IF($D41=0,"",IFERROR(AVERAGEIFS(Assessments!J:J,Assessments!G:G,$A41,Assessments!B:B,$B$5),0)-IFERROR(AVERAGEIFS(Assessments!J:J,Assessments!G:G,$A41,Assessments!B:B,$B$4),0))</f>
        <v/>
      </c>
      <c r="G41">
        <f>IF($D41=0,"",MAXIFS(Assessments!J:J,Assessments!G:G,$A41,Assessments!B:B,"&gt;="&amp;$B$4,Assessments!B:B,"&lt;="&amp;$B$5))</f>
        <v/>
      </c>
      <c r="H41">
        <f>IF($D41=0,"",MINIFS(Assessments!J:J,Assessments!G:G,$A41,Assessments!B:B,"&gt;="&amp;$B$4,Assessments!B:B,"&lt;="&amp;$B$5))</f>
        <v/>
      </c>
      <c r="L41">
        <f>IF(OR($J41="", $K41=""),"",INDEX(Assessments!G:G,MATCH(MAXIFS(Assessments!J:J,Assessments!D:D,$J41,Assessments!E:E,$K41,Assessments!B:B,"&gt;="&amp;$B$4,Assessments!B:B,"&lt;="&amp;$B$5),FILTER(Assessments!J:J,(Assessments!D:D=$J41)*(Assessments!E:E=$K41)*(Assessments!B:B&gt;=$B$4)*(Assessments!B:B&lt;=$B$5)),0)))</f>
        <v/>
      </c>
      <c r="M41">
        <f>IF(OR($J41="", $K41=""),"",MAXIFS(Assessments!J:J,Assessments!D:D,$J41,Assessments!E:E,$K41,Assessments!B:B,"&gt;="&amp;$B$4,Assessments!B:B,"&lt;="&amp;$B$5))</f>
        <v/>
      </c>
    </row>
    <row r="42">
      <c r="A42">
        <f>IF(Students!A36="","",Students!A36)</f>
        <v/>
      </c>
      <c r="B42">
        <f>IF($A42="","",Students!B36)</f>
        <v/>
      </c>
      <c r="C42">
        <f>IF($A42="","",Students!C36)</f>
        <v/>
      </c>
      <c r="D42">
        <f>IF($A42="","",COUNTIFS(Assessments!G:G,$A42,Assessments!B:B,"&gt;="&amp;$B$4,Assessments!B:B,"&lt;="&amp;$B$5))</f>
        <v/>
      </c>
      <c r="E42">
        <f>IF($D42=0,"",ROUND(AVERAGEIFS(Assessments!J:J,Assessments!G:G,$A42,Assessments!B:B,"&gt;="&amp;$B$4,Assessments!B:B,"&lt;="&amp;$B$5),0))</f>
        <v/>
      </c>
      <c r="F42">
        <f>IF($D42=0,"",IFERROR(AVERAGEIFS(Assessments!J:J,Assessments!G:G,$A42,Assessments!B:B,$B$5),0)-IFERROR(AVERAGEIFS(Assessments!J:J,Assessments!G:G,$A42,Assessments!B:B,$B$4),0))</f>
        <v/>
      </c>
      <c r="G42">
        <f>IF($D42=0,"",MAXIFS(Assessments!J:J,Assessments!G:G,$A42,Assessments!B:B,"&gt;="&amp;$B$4,Assessments!B:B,"&lt;="&amp;$B$5))</f>
        <v/>
      </c>
      <c r="H42">
        <f>IF($D42=0,"",MINIFS(Assessments!J:J,Assessments!G:G,$A42,Assessments!B:B,"&gt;="&amp;$B$4,Assessments!B:B,"&lt;="&amp;$B$5))</f>
        <v/>
      </c>
      <c r="L42">
        <f>IF(OR($J42="", $K42=""),"",INDEX(Assessments!G:G,MATCH(MAXIFS(Assessments!J:J,Assessments!D:D,$J42,Assessments!E:E,$K42,Assessments!B:B,"&gt;="&amp;$B$4,Assessments!B:B,"&lt;="&amp;$B$5),FILTER(Assessments!J:J,(Assessments!D:D=$J42)*(Assessments!E:E=$K42)*(Assessments!B:B&gt;=$B$4)*(Assessments!B:B&lt;=$B$5)),0)))</f>
        <v/>
      </c>
      <c r="M42">
        <f>IF(OR($J42="", $K42=""),"",MAXIFS(Assessments!J:J,Assessments!D:D,$J42,Assessments!E:E,$K42,Assessments!B:B,"&gt;="&amp;$B$4,Assessments!B:B,"&lt;="&amp;$B$5))</f>
        <v/>
      </c>
    </row>
    <row r="43">
      <c r="A43">
        <f>IF(Students!A37="","",Students!A37)</f>
        <v/>
      </c>
      <c r="B43">
        <f>IF($A43="","",Students!B37)</f>
        <v/>
      </c>
      <c r="C43">
        <f>IF($A43="","",Students!C37)</f>
        <v/>
      </c>
      <c r="D43">
        <f>IF($A43="","",COUNTIFS(Assessments!G:G,$A43,Assessments!B:B,"&gt;="&amp;$B$4,Assessments!B:B,"&lt;="&amp;$B$5))</f>
        <v/>
      </c>
      <c r="E43">
        <f>IF($D43=0,"",ROUND(AVERAGEIFS(Assessments!J:J,Assessments!G:G,$A43,Assessments!B:B,"&gt;="&amp;$B$4,Assessments!B:B,"&lt;="&amp;$B$5),0))</f>
        <v/>
      </c>
      <c r="F43">
        <f>IF($D43=0,"",IFERROR(AVERAGEIFS(Assessments!J:J,Assessments!G:G,$A43,Assessments!B:B,$B$5),0)-IFERROR(AVERAGEIFS(Assessments!J:J,Assessments!G:G,$A43,Assessments!B:B,$B$4),0))</f>
        <v/>
      </c>
      <c r="G43">
        <f>IF($D43=0,"",MAXIFS(Assessments!J:J,Assessments!G:G,$A43,Assessments!B:B,"&gt;="&amp;$B$4,Assessments!B:B,"&lt;="&amp;$B$5))</f>
        <v/>
      </c>
      <c r="H43">
        <f>IF($D43=0,"",MINIFS(Assessments!J:J,Assessments!G:G,$A43,Assessments!B:B,"&gt;="&amp;$B$4,Assessments!B:B,"&lt;="&amp;$B$5))</f>
        <v/>
      </c>
      <c r="L43">
        <f>IF(OR($J43="", $K43=""),"",INDEX(Assessments!G:G,MATCH(MAXIFS(Assessments!J:J,Assessments!D:D,$J43,Assessments!E:E,$K43,Assessments!B:B,"&gt;="&amp;$B$4,Assessments!B:B,"&lt;="&amp;$B$5),FILTER(Assessments!J:J,(Assessments!D:D=$J43)*(Assessments!E:E=$K43)*(Assessments!B:B&gt;=$B$4)*(Assessments!B:B&lt;=$B$5)),0)))</f>
        <v/>
      </c>
      <c r="M43">
        <f>IF(OR($J43="", $K43=""),"",MAXIFS(Assessments!J:J,Assessments!D:D,$J43,Assessments!E:E,$K43,Assessments!B:B,"&gt;="&amp;$B$4,Assessments!B:B,"&lt;="&amp;$B$5))</f>
        <v/>
      </c>
    </row>
    <row r="44">
      <c r="A44">
        <f>IF(Students!A38="","",Students!A38)</f>
        <v/>
      </c>
      <c r="B44">
        <f>IF($A44="","",Students!B38)</f>
        <v/>
      </c>
      <c r="C44">
        <f>IF($A44="","",Students!C38)</f>
        <v/>
      </c>
      <c r="D44">
        <f>IF($A44="","",COUNTIFS(Assessments!G:G,$A44,Assessments!B:B,"&gt;="&amp;$B$4,Assessments!B:B,"&lt;="&amp;$B$5))</f>
        <v/>
      </c>
      <c r="E44">
        <f>IF($D44=0,"",ROUND(AVERAGEIFS(Assessments!J:J,Assessments!G:G,$A44,Assessments!B:B,"&gt;="&amp;$B$4,Assessments!B:B,"&lt;="&amp;$B$5),0))</f>
        <v/>
      </c>
      <c r="F44">
        <f>IF($D44=0,"",IFERROR(AVERAGEIFS(Assessments!J:J,Assessments!G:G,$A44,Assessments!B:B,$B$5),0)-IFERROR(AVERAGEIFS(Assessments!J:J,Assessments!G:G,$A44,Assessments!B:B,$B$4),0))</f>
        <v/>
      </c>
      <c r="G44">
        <f>IF($D44=0,"",MAXIFS(Assessments!J:J,Assessments!G:G,$A44,Assessments!B:B,"&gt;="&amp;$B$4,Assessments!B:B,"&lt;="&amp;$B$5))</f>
        <v/>
      </c>
      <c r="H44">
        <f>IF($D44=0,"",MINIFS(Assessments!J:J,Assessments!G:G,$A44,Assessments!B:B,"&gt;="&amp;$B$4,Assessments!B:B,"&lt;="&amp;$B$5))</f>
        <v/>
      </c>
      <c r="L44">
        <f>IF(OR($J44="", $K44=""),"",INDEX(Assessments!G:G,MATCH(MAXIFS(Assessments!J:J,Assessments!D:D,$J44,Assessments!E:E,$K44,Assessments!B:B,"&gt;="&amp;$B$4,Assessments!B:B,"&lt;="&amp;$B$5),FILTER(Assessments!J:J,(Assessments!D:D=$J44)*(Assessments!E:E=$K44)*(Assessments!B:B&gt;=$B$4)*(Assessments!B:B&lt;=$B$5)),0)))</f>
        <v/>
      </c>
      <c r="M44">
        <f>IF(OR($J44="", $K44=""),"",MAXIFS(Assessments!J:J,Assessments!D:D,$J44,Assessments!E:E,$K44,Assessments!B:B,"&gt;="&amp;$B$4,Assessments!B:B,"&lt;="&amp;$B$5))</f>
        <v/>
      </c>
    </row>
    <row r="45">
      <c r="A45">
        <f>IF(Students!A39="","",Students!A39)</f>
        <v/>
      </c>
      <c r="B45">
        <f>IF($A45="","",Students!B39)</f>
        <v/>
      </c>
      <c r="C45">
        <f>IF($A45="","",Students!C39)</f>
        <v/>
      </c>
      <c r="D45">
        <f>IF($A45="","",COUNTIFS(Assessments!G:G,$A45,Assessments!B:B,"&gt;="&amp;$B$4,Assessments!B:B,"&lt;="&amp;$B$5))</f>
        <v/>
      </c>
      <c r="E45">
        <f>IF($D45=0,"",ROUND(AVERAGEIFS(Assessments!J:J,Assessments!G:G,$A45,Assessments!B:B,"&gt;="&amp;$B$4,Assessments!B:B,"&lt;="&amp;$B$5),0))</f>
        <v/>
      </c>
      <c r="F45">
        <f>IF($D45=0,"",IFERROR(AVERAGEIFS(Assessments!J:J,Assessments!G:G,$A45,Assessments!B:B,$B$5),0)-IFERROR(AVERAGEIFS(Assessments!J:J,Assessments!G:G,$A45,Assessments!B:B,$B$4),0))</f>
        <v/>
      </c>
      <c r="G45">
        <f>IF($D45=0,"",MAXIFS(Assessments!J:J,Assessments!G:G,$A45,Assessments!B:B,"&gt;="&amp;$B$4,Assessments!B:B,"&lt;="&amp;$B$5))</f>
        <v/>
      </c>
      <c r="H45">
        <f>IF($D45=0,"",MINIFS(Assessments!J:J,Assessments!G:G,$A45,Assessments!B:B,"&gt;="&amp;$B$4,Assessments!B:B,"&lt;="&amp;$B$5))</f>
        <v/>
      </c>
      <c r="L45">
        <f>IF(OR($J45="", $K45=""),"",INDEX(Assessments!G:G,MATCH(MAXIFS(Assessments!J:J,Assessments!D:D,$J45,Assessments!E:E,$K45,Assessments!B:B,"&gt;="&amp;$B$4,Assessments!B:B,"&lt;="&amp;$B$5),FILTER(Assessments!J:J,(Assessments!D:D=$J45)*(Assessments!E:E=$K45)*(Assessments!B:B&gt;=$B$4)*(Assessments!B:B&lt;=$B$5)),0)))</f>
        <v/>
      </c>
      <c r="M45">
        <f>IF(OR($J45="", $K45=""),"",MAXIFS(Assessments!J:J,Assessments!D:D,$J45,Assessments!E:E,$K45,Assessments!B:B,"&gt;="&amp;$B$4,Assessments!B:B,"&lt;="&amp;$B$5))</f>
        <v/>
      </c>
    </row>
    <row r="46">
      <c r="A46">
        <f>IF(Students!A40="","",Students!A40)</f>
        <v/>
      </c>
      <c r="B46">
        <f>IF($A46="","",Students!B40)</f>
        <v/>
      </c>
      <c r="C46">
        <f>IF($A46="","",Students!C40)</f>
        <v/>
      </c>
      <c r="D46">
        <f>IF($A46="","",COUNTIFS(Assessments!G:G,$A46,Assessments!B:B,"&gt;="&amp;$B$4,Assessments!B:B,"&lt;="&amp;$B$5))</f>
        <v/>
      </c>
      <c r="E46">
        <f>IF($D46=0,"",ROUND(AVERAGEIFS(Assessments!J:J,Assessments!G:G,$A46,Assessments!B:B,"&gt;="&amp;$B$4,Assessments!B:B,"&lt;="&amp;$B$5),0))</f>
        <v/>
      </c>
      <c r="F46">
        <f>IF($D46=0,"",IFERROR(AVERAGEIFS(Assessments!J:J,Assessments!G:G,$A46,Assessments!B:B,$B$5),0)-IFERROR(AVERAGEIFS(Assessments!J:J,Assessments!G:G,$A46,Assessments!B:B,$B$4),0))</f>
        <v/>
      </c>
      <c r="G46">
        <f>IF($D46=0,"",MAXIFS(Assessments!J:J,Assessments!G:G,$A46,Assessments!B:B,"&gt;="&amp;$B$4,Assessments!B:B,"&lt;="&amp;$B$5))</f>
        <v/>
      </c>
      <c r="H46">
        <f>IF($D46=0,"",MINIFS(Assessments!J:J,Assessments!G:G,$A46,Assessments!B:B,"&gt;="&amp;$B$4,Assessments!B:B,"&lt;="&amp;$B$5))</f>
        <v/>
      </c>
      <c r="L46">
        <f>IF(OR($J46="", $K46=""),"",INDEX(Assessments!G:G,MATCH(MAXIFS(Assessments!J:J,Assessments!D:D,$J46,Assessments!E:E,$K46,Assessments!B:B,"&gt;="&amp;$B$4,Assessments!B:B,"&lt;="&amp;$B$5),FILTER(Assessments!J:J,(Assessments!D:D=$J46)*(Assessments!E:E=$K46)*(Assessments!B:B&gt;=$B$4)*(Assessments!B:B&lt;=$B$5)),0)))</f>
        <v/>
      </c>
      <c r="M46">
        <f>IF(OR($J46="", $K46=""),"",MAXIFS(Assessments!J:J,Assessments!D:D,$J46,Assessments!E:E,$K46,Assessments!B:B,"&gt;="&amp;$B$4,Assessments!B:B,"&lt;="&amp;$B$5))</f>
        <v/>
      </c>
    </row>
    <row r="47">
      <c r="A47">
        <f>IF(Students!A41="","",Students!A41)</f>
        <v/>
      </c>
      <c r="B47">
        <f>IF($A47="","",Students!B41)</f>
        <v/>
      </c>
      <c r="C47">
        <f>IF($A47="","",Students!C41)</f>
        <v/>
      </c>
      <c r="D47">
        <f>IF($A47="","",COUNTIFS(Assessments!G:G,$A47,Assessments!B:B,"&gt;="&amp;$B$4,Assessments!B:B,"&lt;="&amp;$B$5))</f>
        <v/>
      </c>
      <c r="E47">
        <f>IF($D47=0,"",ROUND(AVERAGEIFS(Assessments!J:J,Assessments!G:G,$A47,Assessments!B:B,"&gt;="&amp;$B$4,Assessments!B:B,"&lt;="&amp;$B$5),0))</f>
        <v/>
      </c>
      <c r="F47">
        <f>IF($D47=0,"",IFERROR(AVERAGEIFS(Assessments!J:J,Assessments!G:G,$A47,Assessments!B:B,$B$5),0)-IFERROR(AVERAGEIFS(Assessments!J:J,Assessments!G:G,$A47,Assessments!B:B,$B$4),0))</f>
        <v/>
      </c>
      <c r="G47">
        <f>IF($D47=0,"",MAXIFS(Assessments!J:J,Assessments!G:G,$A47,Assessments!B:B,"&gt;="&amp;$B$4,Assessments!B:B,"&lt;="&amp;$B$5))</f>
        <v/>
      </c>
      <c r="H47">
        <f>IF($D47=0,"",MINIFS(Assessments!J:J,Assessments!G:G,$A47,Assessments!B:B,"&gt;="&amp;$B$4,Assessments!B:B,"&lt;="&amp;$B$5))</f>
        <v/>
      </c>
      <c r="L47">
        <f>IF(OR($J47="", $K47=""),"",INDEX(Assessments!G:G,MATCH(MAXIFS(Assessments!J:J,Assessments!D:D,$J47,Assessments!E:E,$K47,Assessments!B:B,"&gt;="&amp;$B$4,Assessments!B:B,"&lt;="&amp;$B$5),FILTER(Assessments!J:J,(Assessments!D:D=$J47)*(Assessments!E:E=$K47)*(Assessments!B:B&gt;=$B$4)*(Assessments!B:B&lt;=$B$5)),0)))</f>
        <v/>
      </c>
      <c r="M47">
        <f>IF(OR($J47="", $K47=""),"",MAXIFS(Assessments!J:J,Assessments!D:D,$J47,Assessments!E:E,$K47,Assessments!B:B,"&gt;="&amp;$B$4,Assessments!B:B,"&lt;="&amp;$B$5))</f>
        <v/>
      </c>
    </row>
    <row r="48">
      <c r="A48">
        <f>IF(Students!A42="","",Students!A42)</f>
        <v/>
      </c>
      <c r="B48">
        <f>IF($A48="","",Students!B42)</f>
        <v/>
      </c>
      <c r="C48">
        <f>IF($A48="","",Students!C42)</f>
        <v/>
      </c>
      <c r="D48">
        <f>IF($A48="","",COUNTIFS(Assessments!G:G,$A48,Assessments!B:B,"&gt;="&amp;$B$4,Assessments!B:B,"&lt;="&amp;$B$5))</f>
        <v/>
      </c>
      <c r="E48">
        <f>IF($D48=0,"",ROUND(AVERAGEIFS(Assessments!J:J,Assessments!G:G,$A48,Assessments!B:B,"&gt;="&amp;$B$4,Assessments!B:B,"&lt;="&amp;$B$5),0))</f>
        <v/>
      </c>
      <c r="F48">
        <f>IF($D48=0,"",IFERROR(AVERAGEIFS(Assessments!J:J,Assessments!G:G,$A48,Assessments!B:B,$B$5),0)-IFERROR(AVERAGEIFS(Assessments!J:J,Assessments!G:G,$A48,Assessments!B:B,$B$4),0))</f>
        <v/>
      </c>
      <c r="G48">
        <f>IF($D48=0,"",MAXIFS(Assessments!J:J,Assessments!G:G,$A48,Assessments!B:B,"&gt;="&amp;$B$4,Assessments!B:B,"&lt;="&amp;$B$5))</f>
        <v/>
      </c>
      <c r="H48">
        <f>IF($D48=0,"",MINIFS(Assessments!J:J,Assessments!G:G,$A48,Assessments!B:B,"&gt;="&amp;$B$4,Assessments!B:B,"&lt;="&amp;$B$5))</f>
        <v/>
      </c>
      <c r="L48">
        <f>IF(OR($J48="", $K48=""),"",INDEX(Assessments!G:G,MATCH(MAXIFS(Assessments!J:J,Assessments!D:D,$J48,Assessments!E:E,$K48,Assessments!B:B,"&gt;="&amp;$B$4,Assessments!B:B,"&lt;="&amp;$B$5),FILTER(Assessments!J:J,(Assessments!D:D=$J48)*(Assessments!E:E=$K48)*(Assessments!B:B&gt;=$B$4)*(Assessments!B:B&lt;=$B$5)),0)))</f>
        <v/>
      </c>
      <c r="M48">
        <f>IF(OR($J48="", $K48=""),"",MAXIFS(Assessments!J:J,Assessments!D:D,$J48,Assessments!E:E,$K48,Assessments!B:B,"&gt;="&amp;$B$4,Assessments!B:B,"&lt;="&amp;$B$5))</f>
        <v/>
      </c>
    </row>
    <row r="49">
      <c r="A49">
        <f>IF(Students!A43="","",Students!A43)</f>
        <v/>
      </c>
      <c r="B49">
        <f>IF($A49="","",Students!B43)</f>
        <v/>
      </c>
      <c r="C49">
        <f>IF($A49="","",Students!C43)</f>
        <v/>
      </c>
      <c r="D49">
        <f>IF($A49="","",COUNTIFS(Assessments!G:G,$A49,Assessments!B:B,"&gt;="&amp;$B$4,Assessments!B:B,"&lt;="&amp;$B$5))</f>
        <v/>
      </c>
      <c r="E49">
        <f>IF($D49=0,"",ROUND(AVERAGEIFS(Assessments!J:J,Assessments!G:G,$A49,Assessments!B:B,"&gt;="&amp;$B$4,Assessments!B:B,"&lt;="&amp;$B$5),0))</f>
        <v/>
      </c>
      <c r="F49">
        <f>IF($D49=0,"",IFERROR(AVERAGEIFS(Assessments!J:J,Assessments!G:G,$A49,Assessments!B:B,$B$5),0)-IFERROR(AVERAGEIFS(Assessments!J:J,Assessments!G:G,$A49,Assessments!B:B,$B$4),0))</f>
        <v/>
      </c>
      <c r="G49">
        <f>IF($D49=0,"",MAXIFS(Assessments!J:J,Assessments!G:G,$A49,Assessments!B:B,"&gt;="&amp;$B$4,Assessments!B:B,"&lt;="&amp;$B$5))</f>
        <v/>
      </c>
      <c r="H49">
        <f>IF($D49=0,"",MINIFS(Assessments!J:J,Assessments!G:G,$A49,Assessments!B:B,"&gt;="&amp;$B$4,Assessments!B:B,"&lt;="&amp;$B$5))</f>
        <v/>
      </c>
      <c r="L49">
        <f>IF(OR($J49="", $K49=""),"",INDEX(Assessments!G:G,MATCH(MAXIFS(Assessments!J:J,Assessments!D:D,$J49,Assessments!E:E,$K49,Assessments!B:B,"&gt;="&amp;$B$4,Assessments!B:B,"&lt;="&amp;$B$5),FILTER(Assessments!J:J,(Assessments!D:D=$J49)*(Assessments!E:E=$K49)*(Assessments!B:B&gt;=$B$4)*(Assessments!B:B&lt;=$B$5)),0)))</f>
        <v/>
      </c>
      <c r="M49">
        <f>IF(OR($J49="", $K49=""),"",MAXIFS(Assessments!J:J,Assessments!D:D,$J49,Assessments!E:E,$K49,Assessments!B:B,"&gt;="&amp;$B$4,Assessments!B:B,"&lt;="&amp;$B$5))</f>
        <v/>
      </c>
    </row>
    <row r="50">
      <c r="A50">
        <f>IF(Students!A44="","",Students!A44)</f>
        <v/>
      </c>
      <c r="B50">
        <f>IF($A50="","",Students!B44)</f>
        <v/>
      </c>
      <c r="C50">
        <f>IF($A50="","",Students!C44)</f>
        <v/>
      </c>
      <c r="D50">
        <f>IF($A50="","",COUNTIFS(Assessments!G:G,$A50,Assessments!B:B,"&gt;="&amp;$B$4,Assessments!B:B,"&lt;="&amp;$B$5))</f>
        <v/>
      </c>
      <c r="E50">
        <f>IF($D50=0,"",ROUND(AVERAGEIFS(Assessments!J:J,Assessments!G:G,$A50,Assessments!B:B,"&gt;="&amp;$B$4,Assessments!B:B,"&lt;="&amp;$B$5),0))</f>
        <v/>
      </c>
      <c r="F50">
        <f>IF($D50=0,"",IFERROR(AVERAGEIFS(Assessments!J:J,Assessments!G:G,$A50,Assessments!B:B,$B$5),0)-IFERROR(AVERAGEIFS(Assessments!J:J,Assessments!G:G,$A50,Assessments!B:B,$B$4),0))</f>
        <v/>
      </c>
      <c r="G50">
        <f>IF($D50=0,"",MAXIFS(Assessments!J:J,Assessments!G:G,$A50,Assessments!B:B,"&gt;="&amp;$B$4,Assessments!B:B,"&lt;="&amp;$B$5))</f>
        <v/>
      </c>
      <c r="H50">
        <f>IF($D50=0,"",MINIFS(Assessments!J:J,Assessments!G:G,$A50,Assessments!B:B,"&gt;="&amp;$B$4,Assessments!B:B,"&lt;="&amp;$B$5))</f>
        <v/>
      </c>
      <c r="L50">
        <f>IF(OR($J50="", $K50=""),"",INDEX(Assessments!G:G,MATCH(MAXIFS(Assessments!J:J,Assessments!D:D,$J50,Assessments!E:E,$K50,Assessments!B:B,"&gt;="&amp;$B$4,Assessments!B:B,"&lt;="&amp;$B$5),FILTER(Assessments!J:J,(Assessments!D:D=$J50)*(Assessments!E:E=$K50)*(Assessments!B:B&gt;=$B$4)*(Assessments!B:B&lt;=$B$5)),0)))</f>
        <v/>
      </c>
      <c r="M50">
        <f>IF(OR($J50="", $K50=""),"",MAXIFS(Assessments!J:J,Assessments!D:D,$J50,Assessments!E:E,$K50,Assessments!B:B,"&gt;="&amp;$B$4,Assessments!B:B,"&lt;="&amp;$B$5))</f>
        <v/>
      </c>
    </row>
    <row r="51">
      <c r="A51">
        <f>IF(Students!A45="","",Students!A45)</f>
        <v/>
      </c>
      <c r="B51">
        <f>IF($A51="","",Students!B45)</f>
        <v/>
      </c>
      <c r="C51">
        <f>IF($A51="","",Students!C45)</f>
        <v/>
      </c>
      <c r="D51">
        <f>IF($A51="","",COUNTIFS(Assessments!G:G,$A51,Assessments!B:B,"&gt;="&amp;$B$4,Assessments!B:B,"&lt;="&amp;$B$5))</f>
        <v/>
      </c>
      <c r="E51">
        <f>IF($D51=0,"",ROUND(AVERAGEIFS(Assessments!J:J,Assessments!G:G,$A51,Assessments!B:B,"&gt;="&amp;$B$4,Assessments!B:B,"&lt;="&amp;$B$5),0))</f>
        <v/>
      </c>
      <c r="F51">
        <f>IF($D51=0,"",IFERROR(AVERAGEIFS(Assessments!J:J,Assessments!G:G,$A51,Assessments!B:B,$B$5),0)-IFERROR(AVERAGEIFS(Assessments!J:J,Assessments!G:G,$A51,Assessments!B:B,$B$4),0))</f>
        <v/>
      </c>
      <c r="G51">
        <f>IF($D51=0,"",MAXIFS(Assessments!J:J,Assessments!G:G,$A51,Assessments!B:B,"&gt;="&amp;$B$4,Assessments!B:B,"&lt;="&amp;$B$5))</f>
        <v/>
      </c>
      <c r="H51">
        <f>IF($D51=0,"",MINIFS(Assessments!J:J,Assessments!G:G,$A51,Assessments!B:B,"&gt;="&amp;$B$4,Assessments!B:B,"&lt;="&amp;$B$5))</f>
        <v/>
      </c>
      <c r="L51">
        <f>IF(OR($J51="", $K51=""),"",INDEX(Assessments!G:G,MATCH(MAXIFS(Assessments!J:J,Assessments!D:D,$J51,Assessments!E:E,$K51,Assessments!B:B,"&gt;="&amp;$B$4,Assessments!B:B,"&lt;="&amp;$B$5),FILTER(Assessments!J:J,(Assessments!D:D=$J51)*(Assessments!E:E=$K51)*(Assessments!B:B&gt;=$B$4)*(Assessments!B:B&lt;=$B$5)),0)))</f>
        <v/>
      </c>
      <c r="M51">
        <f>IF(OR($J51="", $K51=""),"",MAXIFS(Assessments!J:J,Assessments!D:D,$J51,Assessments!E:E,$K51,Assessments!B:B,"&gt;="&amp;$B$4,Assessments!B:B,"&lt;="&amp;$B$5))</f>
        <v/>
      </c>
    </row>
    <row r="52">
      <c r="A52">
        <f>IF(Students!A46="","",Students!A46)</f>
        <v/>
      </c>
      <c r="B52">
        <f>IF($A52="","",Students!B46)</f>
        <v/>
      </c>
      <c r="C52">
        <f>IF($A52="","",Students!C46)</f>
        <v/>
      </c>
      <c r="D52">
        <f>IF($A52="","",COUNTIFS(Assessments!G:G,$A52,Assessments!B:B,"&gt;="&amp;$B$4,Assessments!B:B,"&lt;="&amp;$B$5))</f>
        <v/>
      </c>
      <c r="E52">
        <f>IF($D52=0,"",ROUND(AVERAGEIFS(Assessments!J:J,Assessments!G:G,$A52,Assessments!B:B,"&gt;="&amp;$B$4,Assessments!B:B,"&lt;="&amp;$B$5),0))</f>
        <v/>
      </c>
      <c r="F52">
        <f>IF($D52=0,"",IFERROR(AVERAGEIFS(Assessments!J:J,Assessments!G:G,$A52,Assessments!B:B,$B$5),0)-IFERROR(AVERAGEIFS(Assessments!J:J,Assessments!G:G,$A52,Assessments!B:B,$B$4),0))</f>
        <v/>
      </c>
      <c r="G52">
        <f>IF($D52=0,"",MAXIFS(Assessments!J:J,Assessments!G:G,$A52,Assessments!B:B,"&gt;="&amp;$B$4,Assessments!B:B,"&lt;="&amp;$B$5))</f>
        <v/>
      </c>
      <c r="H52">
        <f>IF($D52=0,"",MINIFS(Assessments!J:J,Assessments!G:G,$A52,Assessments!B:B,"&gt;="&amp;$B$4,Assessments!B:B,"&lt;="&amp;$B$5))</f>
        <v/>
      </c>
      <c r="L52">
        <f>IF(OR($J52="", $K52=""),"",INDEX(Assessments!G:G,MATCH(MAXIFS(Assessments!J:J,Assessments!D:D,$J52,Assessments!E:E,$K52,Assessments!B:B,"&gt;="&amp;$B$4,Assessments!B:B,"&lt;="&amp;$B$5),FILTER(Assessments!J:J,(Assessments!D:D=$J52)*(Assessments!E:E=$K52)*(Assessments!B:B&gt;=$B$4)*(Assessments!B:B&lt;=$B$5)),0)))</f>
        <v/>
      </c>
      <c r="M52">
        <f>IF(OR($J52="", $K52=""),"",MAXIFS(Assessments!J:J,Assessments!D:D,$J52,Assessments!E:E,$K52,Assessments!B:B,"&gt;="&amp;$B$4,Assessments!B:B,"&lt;="&amp;$B$5))</f>
        <v/>
      </c>
    </row>
    <row r="53">
      <c r="A53">
        <f>IF(Students!A47="","",Students!A47)</f>
        <v/>
      </c>
      <c r="B53">
        <f>IF($A53="","",Students!B47)</f>
        <v/>
      </c>
      <c r="C53">
        <f>IF($A53="","",Students!C47)</f>
        <v/>
      </c>
      <c r="D53">
        <f>IF($A53="","",COUNTIFS(Assessments!G:G,$A53,Assessments!B:B,"&gt;="&amp;$B$4,Assessments!B:B,"&lt;="&amp;$B$5))</f>
        <v/>
      </c>
      <c r="E53">
        <f>IF($D53=0,"",ROUND(AVERAGEIFS(Assessments!J:J,Assessments!G:G,$A53,Assessments!B:B,"&gt;="&amp;$B$4,Assessments!B:B,"&lt;="&amp;$B$5),0))</f>
        <v/>
      </c>
      <c r="F53">
        <f>IF($D53=0,"",IFERROR(AVERAGEIFS(Assessments!J:J,Assessments!G:G,$A53,Assessments!B:B,$B$5),0)-IFERROR(AVERAGEIFS(Assessments!J:J,Assessments!G:G,$A53,Assessments!B:B,$B$4),0))</f>
        <v/>
      </c>
      <c r="G53">
        <f>IF($D53=0,"",MAXIFS(Assessments!J:J,Assessments!G:G,$A53,Assessments!B:B,"&gt;="&amp;$B$4,Assessments!B:B,"&lt;="&amp;$B$5))</f>
        <v/>
      </c>
      <c r="H53">
        <f>IF($D53=0,"",MINIFS(Assessments!J:J,Assessments!G:G,$A53,Assessments!B:B,"&gt;="&amp;$B$4,Assessments!B:B,"&lt;="&amp;$B$5))</f>
        <v/>
      </c>
      <c r="L53">
        <f>IF(OR($J53="", $K53=""),"",INDEX(Assessments!G:G,MATCH(MAXIFS(Assessments!J:J,Assessments!D:D,$J53,Assessments!E:E,$K53,Assessments!B:B,"&gt;="&amp;$B$4,Assessments!B:B,"&lt;="&amp;$B$5),FILTER(Assessments!J:J,(Assessments!D:D=$J53)*(Assessments!E:E=$K53)*(Assessments!B:B&gt;=$B$4)*(Assessments!B:B&lt;=$B$5)),0)))</f>
        <v/>
      </c>
      <c r="M53">
        <f>IF(OR($J53="", $K53=""),"",MAXIFS(Assessments!J:J,Assessments!D:D,$J53,Assessments!E:E,$K53,Assessments!B:B,"&gt;="&amp;$B$4,Assessments!B:B,"&lt;="&amp;$B$5))</f>
        <v/>
      </c>
    </row>
    <row r="54">
      <c r="A54">
        <f>IF(Students!A48="","",Students!A48)</f>
        <v/>
      </c>
      <c r="B54">
        <f>IF($A54="","",Students!B48)</f>
        <v/>
      </c>
      <c r="C54">
        <f>IF($A54="","",Students!C48)</f>
        <v/>
      </c>
      <c r="D54">
        <f>IF($A54="","",COUNTIFS(Assessments!G:G,$A54,Assessments!B:B,"&gt;="&amp;$B$4,Assessments!B:B,"&lt;="&amp;$B$5))</f>
        <v/>
      </c>
      <c r="E54">
        <f>IF($D54=0,"",ROUND(AVERAGEIFS(Assessments!J:J,Assessments!G:G,$A54,Assessments!B:B,"&gt;="&amp;$B$4,Assessments!B:B,"&lt;="&amp;$B$5),0))</f>
        <v/>
      </c>
      <c r="F54">
        <f>IF($D54=0,"",IFERROR(AVERAGEIFS(Assessments!J:J,Assessments!G:G,$A54,Assessments!B:B,$B$5),0)-IFERROR(AVERAGEIFS(Assessments!J:J,Assessments!G:G,$A54,Assessments!B:B,$B$4),0))</f>
        <v/>
      </c>
      <c r="G54">
        <f>IF($D54=0,"",MAXIFS(Assessments!J:J,Assessments!G:G,$A54,Assessments!B:B,"&gt;="&amp;$B$4,Assessments!B:B,"&lt;="&amp;$B$5))</f>
        <v/>
      </c>
      <c r="H54">
        <f>IF($D54=0,"",MINIFS(Assessments!J:J,Assessments!G:G,$A54,Assessments!B:B,"&gt;="&amp;$B$4,Assessments!B:B,"&lt;="&amp;$B$5))</f>
        <v/>
      </c>
    </row>
    <row r="55">
      <c r="A55">
        <f>IF(Students!A49="","",Students!A49)</f>
        <v/>
      </c>
      <c r="B55">
        <f>IF($A55="","",Students!B49)</f>
        <v/>
      </c>
      <c r="C55">
        <f>IF($A55="","",Students!C49)</f>
        <v/>
      </c>
      <c r="D55">
        <f>IF($A55="","",COUNTIFS(Assessments!G:G,$A55,Assessments!B:B,"&gt;="&amp;$B$4,Assessments!B:B,"&lt;="&amp;$B$5))</f>
        <v/>
      </c>
      <c r="E55">
        <f>IF($D55=0,"",ROUND(AVERAGEIFS(Assessments!J:J,Assessments!G:G,$A55,Assessments!B:B,"&gt;="&amp;$B$4,Assessments!B:B,"&lt;="&amp;$B$5),0))</f>
        <v/>
      </c>
      <c r="F55">
        <f>IF($D55=0,"",IFERROR(AVERAGEIFS(Assessments!J:J,Assessments!G:G,$A55,Assessments!B:B,$B$5),0)-IFERROR(AVERAGEIFS(Assessments!J:J,Assessments!G:G,$A55,Assessments!B:B,$B$4),0))</f>
        <v/>
      </c>
      <c r="G55">
        <f>IF($D55=0,"",MAXIFS(Assessments!J:J,Assessments!G:G,$A55,Assessments!B:B,"&gt;="&amp;$B$4,Assessments!B:B,"&lt;="&amp;$B$5))</f>
        <v/>
      </c>
      <c r="H55">
        <f>IF($D55=0,"",MINIFS(Assessments!J:J,Assessments!G:G,$A55,Assessments!B:B,"&gt;="&amp;$B$4,Assessments!B:B,"&lt;="&amp;$B$5))</f>
        <v/>
      </c>
    </row>
    <row r="56">
      <c r="A56">
        <f>IF(Students!A50="","",Students!A50)</f>
        <v/>
      </c>
      <c r="B56">
        <f>IF($A56="","",Students!B50)</f>
        <v/>
      </c>
      <c r="C56">
        <f>IF($A56="","",Students!C50)</f>
        <v/>
      </c>
      <c r="D56">
        <f>IF($A56="","",COUNTIFS(Assessments!G:G,$A56,Assessments!B:B,"&gt;="&amp;$B$4,Assessments!B:B,"&lt;="&amp;$B$5))</f>
        <v/>
      </c>
      <c r="E56">
        <f>IF($D56=0,"",ROUND(AVERAGEIFS(Assessments!J:J,Assessments!G:G,$A56,Assessments!B:B,"&gt;="&amp;$B$4,Assessments!B:B,"&lt;="&amp;$B$5),0))</f>
        <v/>
      </c>
      <c r="F56">
        <f>IF($D56=0,"",IFERROR(AVERAGEIFS(Assessments!J:J,Assessments!G:G,$A56,Assessments!B:B,$B$5),0)-IFERROR(AVERAGEIFS(Assessments!J:J,Assessments!G:G,$A56,Assessments!B:B,$B$4),0))</f>
        <v/>
      </c>
      <c r="G56">
        <f>IF($D56=0,"",MAXIFS(Assessments!J:J,Assessments!G:G,$A56,Assessments!B:B,"&gt;="&amp;$B$4,Assessments!B:B,"&lt;="&amp;$B$5))</f>
        <v/>
      </c>
      <c r="H56">
        <f>IF($D56=0,"",MINIFS(Assessments!J:J,Assessments!G:G,$A56,Assessments!B:B,"&gt;="&amp;$B$4,Assessments!B:B,"&lt;="&amp;$B$5))</f>
        <v/>
      </c>
    </row>
    <row r="57">
      <c r="A57">
        <f>IF(Students!A51="","",Students!A51)</f>
        <v/>
      </c>
      <c r="B57">
        <f>IF($A57="","",Students!B51)</f>
        <v/>
      </c>
      <c r="C57">
        <f>IF($A57="","",Students!C51)</f>
        <v/>
      </c>
      <c r="D57">
        <f>IF($A57="","",COUNTIFS(Assessments!G:G,$A57,Assessments!B:B,"&gt;="&amp;$B$4,Assessments!B:B,"&lt;="&amp;$B$5))</f>
        <v/>
      </c>
      <c r="E57">
        <f>IF($D57=0,"",ROUND(AVERAGEIFS(Assessments!J:J,Assessments!G:G,$A57,Assessments!B:B,"&gt;="&amp;$B$4,Assessments!B:B,"&lt;="&amp;$B$5),0))</f>
        <v/>
      </c>
      <c r="F57">
        <f>IF($D57=0,"",IFERROR(AVERAGEIFS(Assessments!J:J,Assessments!G:G,$A57,Assessments!B:B,$B$5),0)-IFERROR(AVERAGEIFS(Assessments!J:J,Assessments!G:G,$A57,Assessments!B:B,$B$4),0))</f>
        <v/>
      </c>
      <c r="G57">
        <f>IF($D57=0,"",MAXIFS(Assessments!J:J,Assessments!G:G,$A57,Assessments!B:B,"&gt;="&amp;$B$4,Assessments!B:B,"&lt;="&amp;$B$5))</f>
        <v/>
      </c>
      <c r="H57">
        <f>IF($D57=0,"",MINIFS(Assessments!J:J,Assessments!G:G,$A57,Assessments!B:B,"&gt;="&amp;$B$4,Assessments!B:B,"&lt;="&amp;$B$5))</f>
        <v/>
      </c>
    </row>
    <row r="58">
      <c r="A58">
        <f>IF(Students!A52="","",Students!A52)</f>
        <v/>
      </c>
      <c r="B58">
        <f>IF($A58="","",Students!B52)</f>
        <v/>
      </c>
      <c r="C58">
        <f>IF($A58="","",Students!C52)</f>
        <v/>
      </c>
      <c r="D58">
        <f>IF($A58="","",COUNTIFS(Assessments!G:G,$A58,Assessments!B:B,"&gt;="&amp;$B$4,Assessments!B:B,"&lt;="&amp;$B$5))</f>
        <v/>
      </c>
      <c r="E58">
        <f>IF($D58=0,"",ROUND(AVERAGEIFS(Assessments!J:J,Assessments!G:G,$A58,Assessments!B:B,"&gt;="&amp;$B$4,Assessments!B:B,"&lt;="&amp;$B$5),0))</f>
        <v/>
      </c>
      <c r="F58">
        <f>IF($D58=0,"",IFERROR(AVERAGEIFS(Assessments!J:J,Assessments!G:G,$A58,Assessments!B:B,$B$5),0)-IFERROR(AVERAGEIFS(Assessments!J:J,Assessments!G:G,$A58,Assessments!B:B,$B$4),0))</f>
        <v/>
      </c>
      <c r="G58">
        <f>IF($D58=0,"",MAXIFS(Assessments!J:J,Assessments!G:G,$A58,Assessments!B:B,"&gt;="&amp;$B$4,Assessments!B:B,"&lt;="&amp;$B$5))</f>
        <v/>
      </c>
      <c r="H58">
        <f>IF($D58=0,"",MINIFS(Assessments!J:J,Assessments!G:G,$A58,Assessments!B:B,"&gt;="&amp;$B$4,Assessments!B:B,"&lt;="&amp;$B$5))</f>
        <v/>
      </c>
    </row>
    <row r="59">
      <c r="A59">
        <f>IF(Students!A53="","",Students!A53)</f>
        <v/>
      </c>
      <c r="B59">
        <f>IF($A59="","",Students!B53)</f>
        <v/>
      </c>
      <c r="C59">
        <f>IF($A59="","",Students!C53)</f>
        <v/>
      </c>
      <c r="D59">
        <f>IF($A59="","",COUNTIFS(Assessments!G:G,$A59,Assessments!B:B,"&gt;="&amp;$B$4,Assessments!B:B,"&lt;="&amp;$B$5))</f>
        <v/>
      </c>
      <c r="E59">
        <f>IF($D59=0,"",ROUND(AVERAGEIFS(Assessments!J:J,Assessments!G:G,$A59,Assessments!B:B,"&gt;="&amp;$B$4,Assessments!B:B,"&lt;="&amp;$B$5),0))</f>
        <v/>
      </c>
      <c r="F59">
        <f>IF($D59=0,"",IFERROR(AVERAGEIFS(Assessments!J:J,Assessments!G:G,$A59,Assessments!B:B,$B$5),0)-IFERROR(AVERAGEIFS(Assessments!J:J,Assessments!G:G,$A59,Assessments!B:B,$B$4),0))</f>
        <v/>
      </c>
      <c r="G59">
        <f>IF($D59=0,"",MAXIFS(Assessments!J:J,Assessments!G:G,$A59,Assessments!B:B,"&gt;="&amp;$B$4,Assessments!B:B,"&lt;="&amp;$B$5))</f>
        <v/>
      </c>
      <c r="H59">
        <f>IF($D59=0,"",MINIFS(Assessments!J:J,Assessments!G:G,$A59,Assessments!B:B,"&gt;="&amp;$B$4,Assessments!B:B,"&lt;="&amp;$B$5))</f>
        <v/>
      </c>
    </row>
    <row r="60">
      <c r="A60">
        <f>IF(Students!A54="","",Students!A54)</f>
        <v/>
      </c>
      <c r="B60">
        <f>IF($A60="","",Students!B54)</f>
        <v/>
      </c>
      <c r="C60">
        <f>IF($A60="","",Students!C54)</f>
        <v/>
      </c>
      <c r="D60">
        <f>IF($A60="","",COUNTIFS(Assessments!G:G,$A60,Assessments!B:B,"&gt;="&amp;$B$4,Assessments!B:B,"&lt;="&amp;$B$5))</f>
        <v/>
      </c>
      <c r="E60">
        <f>IF($D60=0,"",ROUND(AVERAGEIFS(Assessments!J:J,Assessments!G:G,$A60,Assessments!B:B,"&gt;="&amp;$B$4,Assessments!B:B,"&lt;="&amp;$B$5),0))</f>
        <v/>
      </c>
      <c r="F60">
        <f>IF($D60=0,"",IFERROR(AVERAGEIFS(Assessments!J:J,Assessments!G:G,$A60,Assessments!B:B,$B$5),0)-IFERROR(AVERAGEIFS(Assessments!J:J,Assessments!G:G,$A60,Assessments!B:B,$B$4),0))</f>
        <v/>
      </c>
      <c r="G60">
        <f>IF($D60=0,"",MAXIFS(Assessments!J:J,Assessments!G:G,$A60,Assessments!B:B,"&gt;="&amp;$B$4,Assessments!B:B,"&lt;="&amp;$B$5))</f>
        <v/>
      </c>
      <c r="H60">
        <f>IF($D60=0,"",MINIFS(Assessments!J:J,Assessments!G:G,$A60,Assessments!B:B,"&gt;="&amp;$B$4,Assessments!B:B,"&lt;="&amp;$B$5))</f>
        <v/>
      </c>
    </row>
    <row r="61">
      <c r="A61">
        <f>IF(Students!A55="","",Students!A55)</f>
        <v/>
      </c>
      <c r="B61">
        <f>IF($A61="","",Students!B55)</f>
        <v/>
      </c>
      <c r="C61">
        <f>IF($A61="","",Students!C55)</f>
        <v/>
      </c>
      <c r="D61">
        <f>IF($A61="","",COUNTIFS(Assessments!G:G,$A61,Assessments!B:B,"&gt;="&amp;$B$4,Assessments!B:B,"&lt;="&amp;$B$5))</f>
        <v/>
      </c>
      <c r="E61">
        <f>IF($D61=0,"",ROUND(AVERAGEIFS(Assessments!J:J,Assessments!G:G,$A61,Assessments!B:B,"&gt;="&amp;$B$4,Assessments!B:B,"&lt;="&amp;$B$5),0))</f>
        <v/>
      </c>
      <c r="F61">
        <f>IF($D61=0,"",IFERROR(AVERAGEIFS(Assessments!J:J,Assessments!G:G,$A61,Assessments!B:B,$B$5),0)-IFERROR(AVERAGEIFS(Assessments!J:J,Assessments!G:G,$A61,Assessments!B:B,$B$4),0))</f>
        <v/>
      </c>
      <c r="G61">
        <f>IF($D61=0,"",MAXIFS(Assessments!J:J,Assessments!G:G,$A61,Assessments!B:B,"&gt;="&amp;$B$4,Assessments!B:B,"&lt;="&amp;$B$5))</f>
        <v/>
      </c>
      <c r="H61">
        <f>IF($D61=0,"",MINIFS(Assessments!J:J,Assessments!G:G,$A61,Assessments!B:B,"&gt;="&amp;$B$4,Assessments!B:B,"&lt;="&amp;$B$5))</f>
        <v/>
      </c>
    </row>
    <row r="62">
      <c r="A62">
        <f>IF(Students!A56="","",Students!A56)</f>
        <v/>
      </c>
      <c r="B62">
        <f>IF($A62="","",Students!B56)</f>
        <v/>
      </c>
      <c r="C62">
        <f>IF($A62="","",Students!C56)</f>
        <v/>
      </c>
      <c r="D62">
        <f>IF($A62="","",COUNTIFS(Assessments!G:G,$A62,Assessments!B:B,"&gt;="&amp;$B$4,Assessments!B:B,"&lt;="&amp;$B$5))</f>
        <v/>
      </c>
      <c r="E62">
        <f>IF($D62=0,"",ROUND(AVERAGEIFS(Assessments!J:J,Assessments!G:G,$A62,Assessments!B:B,"&gt;="&amp;$B$4,Assessments!B:B,"&lt;="&amp;$B$5),0))</f>
        <v/>
      </c>
      <c r="F62">
        <f>IF($D62=0,"",IFERROR(AVERAGEIFS(Assessments!J:J,Assessments!G:G,$A62,Assessments!B:B,$B$5),0)-IFERROR(AVERAGEIFS(Assessments!J:J,Assessments!G:G,$A62,Assessments!B:B,$B$4),0))</f>
        <v/>
      </c>
      <c r="G62">
        <f>IF($D62=0,"",MAXIFS(Assessments!J:J,Assessments!G:G,$A62,Assessments!B:B,"&gt;="&amp;$B$4,Assessments!B:B,"&lt;="&amp;$B$5))</f>
        <v/>
      </c>
      <c r="H62">
        <f>IF($D62=0,"",MINIFS(Assessments!J:J,Assessments!G:G,$A62,Assessments!B:B,"&gt;="&amp;$B$4,Assessments!B:B,"&lt;="&amp;$B$5))</f>
        <v/>
      </c>
    </row>
    <row r="63">
      <c r="A63">
        <f>IF(Students!A57="","",Students!A57)</f>
        <v/>
      </c>
      <c r="B63">
        <f>IF($A63="","",Students!B57)</f>
        <v/>
      </c>
      <c r="C63">
        <f>IF($A63="","",Students!C57)</f>
        <v/>
      </c>
      <c r="D63">
        <f>IF($A63="","",COUNTIFS(Assessments!G:G,$A63,Assessments!B:B,"&gt;="&amp;$B$4,Assessments!B:B,"&lt;="&amp;$B$5))</f>
        <v/>
      </c>
      <c r="E63">
        <f>IF($D63=0,"",ROUND(AVERAGEIFS(Assessments!J:J,Assessments!G:G,$A63,Assessments!B:B,"&gt;="&amp;$B$4,Assessments!B:B,"&lt;="&amp;$B$5),0))</f>
        <v/>
      </c>
      <c r="F63">
        <f>IF($D63=0,"",IFERROR(AVERAGEIFS(Assessments!J:J,Assessments!G:G,$A63,Assessments!B:B,$B$5),0)-IFERROR(AVERAGEIFS(Assessments!J:J,Assessments!G:G,$A63,Assessments!B:B,$B$4),0))</f>
        <v/>
      </c>
      <c r="G63">
        <f>IF($D63=0,"",MAXIFS(Assessments!J:J,Assessments!G:G,$A63,Assessments!B:B,"&gt;="&amp;$B$4,Assessments!B:B,"&lt;="&amp;$B$5))</f>
        <v/>
      </c>
      <c r="H63">
        <f>IF($D63=0,"",MINIFS(Assessments!J:J,Assessments!G:G,$A63,Assessments!B:B,"&gt;="&amp;$B$4,Assessments!B:B,"&lt;="&amp;$B$5))</f>
        <v/>
      </c>
    </row>
    <row r="64">
      <c r="A64">
        <f>IF(Students!A58="","",Students!A58)</f>
        <v/>
      </c>
      <c r="B64">
        <f>IF($A64="","",Students!B58)</f>
        <v/>
      </c>
      <c r="C64">
        <f>IF($A64="","",Students!C58)</f>
        <v/>
      </c>
      <c r="D64">
        <f>IF($A64="","",COUNTIFS(Assessments!G:G,$A64,Assessments!B:B,"&gt;="&amp;$B$4,Assessments!B:B,"&lt;="&amp;$B$5))</f>
        <v/>
      </c>
      <c r="E64">
        <f>IF($D64=0,"",ROUND(AVERAGEIFS(Assessments!J:J,Assessments!G:G,$A64,Assessments!B:B,"&gt;="&amp;$B$4,Assessments!B:B,"&lt;="&amp;$B$5),0))</f>
        <v/>
      </c>
      <c r="F64">
        <f>IF($D64=0,"",IFERROR(AVERAGEIFS(Assessments!J:J,Assessments!G:G,$A64,Assessments!B:B,$B$5),0)-IFERROR(AVERAGEIFS(Assessments!J:J,Assessments!G:G,$A64,Assessments!B:B,$B$4),0))</f>
        <v/>
      </c>
      <c r="G64">
        <f>IF($D64=0,"",MAXIFS(Assessments!J:J,Assessments!G:G,$A64,Assessments!B:B,"&gt;="&amp;$B$4,Assessments!B:B,"&lt;="&amp;$B$5))</f>
        <v/>
      </c>
      <c r="H64">
        <f>IF($D64=0,"",MINIFS(Assessments!J:J,Assessments!G:G,$A64,Assessments!B:B,"&gt;="&amp;$B$4,Assessments!B:B,"&lt;="&amp;$B$5))</f>
        <v/>
      </c>
    </row>
    <row r="65">
      <c r="A65">
        <f>IF(Students!A59="","",Students!A59)</f>
        <v/>
      </c>
      <c r="B65">
        <f>IF($A65="","",Students!B59)</f>
        <v/>
      </c>
      <c r="C65">
        <f>IF($A65="","",Students!C59)</f>
        <v/>
      </c>
      <c r="D65">
        <f>IF($A65="","",COUNTIFS(Assessments!G:G,$A65,Assessments!B:B,"&gt;="&amp;$B$4,Assessments!B:B,"&lt;="&amp;$B$5))</f>
        <v/>
      </c>
      <c r="E65">
        <f>IF($D65=0,"",ROUND(AVERAGEIFS(Assessments!J:J,Assessments!G:G,$A65,Assessments!B:B,"&gt;="&amp;$B$4,Assessments!B:B,"&lt;="&amp;$B$5),0))</f>
        <v/>
      </c>
      <c r="F65">
        <f>IF($D65=0,"",IFERROR(AVERAGEIFS(Assessments!J:J,Assessments!G:G,$A65,Assessments!B:B,$B$5),0)-IFERROR(AVERAGEIFS(Assessments!J:J,Assessments!G:G,$A65,Assessments!B:B,$B$4),0))</f>
        <v/>
      </c>
      <c r="G65">
        <f>IF($D65=0,"",MAXIFS(Assessments!J:J,Assessments!G:G,$A65,Assessments!B:B,"&gt;="&amp;$B$4,Assessments!B:B,"&lt;="&amp;$B$5))</f>
        <v/>
      </c>
      <c r="H65">
        <f>IF($D65=0,"",MINIFS(Assessments!J:J,Assessments!G:G,$A65,Assessments!B:B,"&gt;="&amp;$B$4,Assessments!B:B,"&lt;="&amp;$B$5))</f>
        <v/>
      </c>
    </row>
    <row r="66">
      <c r="A66">
        <f>IF(Students!A60="","",Students!A60)</f>
        <v/>
      </c>
      <c r="B66">
        <f>IF($A66="","",Students!B60)</f>
        <v/>
      </c>
      <c r="C66">
        <f>IF($A66="","",Students!C60)</f>
        <v/>
      </c>
      <c r="D66">
        <f>IF($A66="","",COUNTIFS(Assessments!G:G,$A66,Assessments!B:B,"&gt;="&amp;$B$4,Assessments!B:B,"&lt;="&amp;$B$5))</f>
        <v/>
      </c>
      <c r="E66">
        <f>IF($D66=0,"",ROUND(AVERAGEIFS(Assessments!J:J,Assessments!G:G,$A66,Assessments!B:B,"&gt;="&amp;$B$4,Assessments!B:B,"&lt;="&amp;$B$5),0))</f>
        <v/>
      </c>
      <c r="F66">
        <f>IF($D66=0,"",IFERROR(AVERAGEIFS(Assessments!J:J,Assessments!G:G,$A66,Assessments!B:B,$B$5),0)-IFERROR(AVERAGEIFS(Assessments!J:J,Assessments!G:G,$A66,Assessments!B:B,$B$4),0))</f>
        <v/>
      </c>
      <c r="G66">
        <f>IF($D66=0,"",MAXIFS(Assessments!J:J,Assessments!G:G,$A66,Assessments!B:B,"&gt;="&amp;$B$4,Assessments!B:B,"&lt;="&amp;$B$5))</f>
        <v/>
      </c>
      <c r="H66">
        <f>IF($D66=0,"",MINIFS(Assessments!J:J,Assessments!G:G,$A66,Assessments!B:B,"&gt;="&amp;$B$4,Assessments!B:B,"&lt;="&amp;$B$5))</f>
        <v/>
      </c>
    </row>
    <row r="67">
      <c r="A67">
        <f>IF(Students!A61="","",Students!A61)</f>
        <v/>
      </c>
      <c r="B67">
        <f>IF($A67="","",Students!B61)</f>
        <v/>
      </c>
      <c r="C67">
        <f>IF($A67="","",Students!C61)</f>
        <v/>
      </c>
      <c r="D67">
        <f>IF($A67="","",COUNTIFS(Assessments!G:G,$A67,Assessments!B:B,"&gt;="&amp;$B$4,Assessments!B:B,"&lt;="&amp;$B$5))</f>
        <v/>
      </c>
      <c r="E67">
        <f>IF($D67=0,"",ROUND(AVERAGEIFS(Assessments!J:J,Assessments!G:G,$A67,Assessments!B:B,"&gt;="&amp;$B$4,Assessments!B:B,"&lt;="&amp;$B$5),0))</f>
        <v/>
      </c>
      <c r="F67">
        <f>IF($D67=0,"",IFERROR(AVERAGEIFS(Assessments!J:J,Assessments!G:G,$A67,Assessments!B:B,$B$5),0)-IFERROR(AVERAGEIFS(Assessments!J:J,Assessments!G:G,$A67,Assessments!B:B,$B$4),0))</f>
        <v/>
      </c>
      <c r="G67">
        <f>IF($D67=0,"",MAXIFS(Assessments!J:J,Assessments!G:G,$A67,Assessments!B:B,"&gt;="&amp;$B$4,Assessments!B:B,"&lt;="&amp;$B$5))</f>
        <v/>
      </c>
      <c r="H67">
        <f>IF($D67=0,"",MINIFS(Assessments!J:J,Assessments!G:G,$A67,Assessments!B:B,"&gt;="&amp;$B$4,Assessments!B:B,"&lt;="&amp;$B$5))</f>
        <v/>
      </c>
    </row>
    <row r="68">
      <c r="A68">
        <f>IF(Students!A62="","",Students!A62)</f>
        <v/>
      </c>
      <c r="B68">
        <f>IF($A68="","",Students!B62)</f>
        <v/>
      </c>
      <c r="C68">
        <f>IF($A68="","",Students!C62)</f>
        <v/>
      </c>
      <c r="D68">
        <f>IF($A68="","",COUNTIFS(Assessments!G:G,$A68,Assessments!B:B,"&gt;="&amp;$B$4,Assessments!B:B,"&lt;="&amp;$B$5))</f>
        <v/>
      </c>
      <c r="E68">
        <f>IF($D68=0,"",ROUND(AVERAGEIFS(Assessments!J:J,Assessments!G:G,$A68,Assessments!B:B,"&gt;="&amp;$B$4,Assessments!B:B,"&lt;="&amp;$B$5),0))</f>
        <v/>
      </c>
      <c r="F68">
        <f>IF($D68=0,"",IFERROR(AVERAGEIFS(Assessments!J:J,Assessments!G:G,$A68,Assessments!B:B,$B$5),0)-IFERROR(AVERAGEIFS(Assessments!J:J,Assessments!G:G,$A68,Assessments!B:B,$B$4),0))</f>
        <v/>
      </c>
      <c r="G68">
        <f>IF($D68=0,"",MAXIFS(Assessments!J:J,Assessments!G:G,$A68,Assessments!B:B,"&gt;="&amp;$B$4,Assessments!B:B,"&lt;="&amp;$B$5))</f>
        <v/>
      </c>
      <c r="H68">
        <f>IF($D68=0,"",MINIFS(Assessments!J:J,Assessments!G:G,$A68,Assessments!B:B,"&gt;="&amp;$B$4,Assessments!B:B,"&lt;="&amp;$B$5))</f>
        <v/>
      </c>
    </row>
    <row r="69">
      <c r="A69">
        <f>IF(Students!A63="","",Students!A63)</f>
        <v/>
      </c>
      <c r="B69">
        <f>IF($A69="","",Students!B63)</f>
        <v/>
      </c>
      <c r="C69">
        <f>IF($A69="","",Students!C63)</f>
        <v/>
      </c>
      <c r="D69">
        <f>IF($A69="","",COUNTIFS(Assessments!G:G,$A69,Assessments!B:B,"&gt;="&amp;$B$4,Assessments!B:B,"&lt;="&amp;$B$5))</f>
        <v/>
      </c>
      <c r="E69">
        <f>IF($D69=0,"",ROUND(AVERAGEIFS(Assessments!J:J,Assessments!G:G,$A69,Assessments!B:B,"&gt;="&amp;$B$4,Assessments!B:B,"&lt;="&amp;$B$5),0))</f>
        <v/>
      </c>
      <c r="F69">
        <f>IF($D69=0,"",IFERROR(AVERAGEIFS(Assessments!J:J,Assessments!G:G,$A69,Assessments!B:B,$B$5),0)-IFERROR(AVERAGEIFS(Assessments!J:J,Assessments!G:G,$A69,Assessments!B:B,$B$4),0))</f>
        <v/>
      </c>
      <c r="G69">
        <f>IF($D69=0,"",MAXIFS(Assessments!J:J,Assessments!G:G,$A69,Assessments!B:B,"&gt;="&amp;$B$4,Assessments!B:B,"&lt;="&amp;$B$5))</f>
        <v/>
      </c>
      <c r="H69">
        <f>IF($D69=0,"",MINIFS(Assessments!J:J,Assessments!G:G,$A69,Assessments!B:B,"&gt;="&amp;$B$4,Assessments!B:B,"&lt;="&amp;$B$5))</f>
        <v/>
      </c>
    </row>
    <row r="70">
      <c r="A70">
        <f>IF(Students!A64="","",Students!A64)</f>
        <v/>
      </c>
      <c r="B70">
        <f>IF($A70="","",Students!B64)</f>
        <v/>
      </c>
      <c r="C70">
        <f>IF($A70="","",Students!C64)</f>
        <v/>
      </c>
      <c r="D70">
        <f>IF($A70="","",COUNTIFS(Assessments!G:G,$A70,Assessments!B:B,"&gt;="&amp;$B$4,Assessments!B:B,"&lt;="&amp;$B$5))</f>
        <v/>
      </c>
      <c r="E70">
        <f>IF($D70=0,"",ROUND(AVERAGEIFS(Assessments!J:J,Assessments!G:G,$A70,Assessments!B:B,"&gt;="&amp;$B$4,Assessments!B:B,"&lt;="&amp;$B$5),0))</f>
        <v/>
      </c>
      <c r="F70">
        <f>IF($D70=0,"",IFERROR(AVERAGEIFS(Assessments!J:J,Assessments!G:G,$A70,Assessments!B:B,$B$5),0)-IFERROR(AVERAGEIFS(Assessments!J:J,Assessments!G:G,$A70,Assessments!B:B,$B$4),0))</f>
        <v/>
      </c>
      <c r="G70">
        <f>IF($D70=0,"",MAXIFS(Assessments!J:J,Assessments!G:G,$A70,Assessments!B:B,"&gt;="&amp;$B$4,Assessments!B:B,"&lt;="&amp;$B$5))</f>
        <v/>
      </c>
      <c r="H70">
        <f>IF($D70=0,"",MINIFS(Assessments!J:J,Assessments!G:G,$A70,Assessments!B:B,"&gt;="&amp;$B$4,Assessments!B:B,"&lt;="&amp;$B$5))</f>
        <v/>
      </c>
    </row>
    <row r="71">
      <c r="A71">
        <f>IF(Students!A65="","",Students!A65)</f>
        <v/>
      </c>
      <c r="B71">
        <f>IF($A71="","",Students!B65)</f>
        <v/>
      </c>
      <c r="C71">
        <f>IF($A71="","",Students!C65)</f>
        <v/>
      </c>
      <c r="D71">
        <f>IF($A71="","",COUNTIFS(Assessments!G:G,$A71,Assessments!B:B,"&gt;="&amp;$B$4,Assessments!B:B,"&lt;="&amp;$B$5))</f>
        <v/>
      </c>
      <c r="E71">
        <f>IF($D71=0,"",ROUND(AVERAGEIFS(Assessments!J:J,Assessments!G:G,$A71,Assessments!B:B,"&gt;="&amp;$B$4,Assessments!B:B,"&lt;="&amp;$B$5),0))</f>
        <v/>
      </c>
      <c r="F71">
        <f>IF($D71=0,"",IFERROR(AVERAGEIFS(Assessments!J:J,Assessments!G:G,$A71,Assessments!B:B,$B$5),0)-IFERROR(AVERAGEIFS(Assessments!J:J,Assessments!G:G,$A71,Assessments!B:B,$B$4),0))</f>
        <v/>
      </c>
      <c r="G71">
        <f>IF($D71=0,"",MAXIFS(Assessments!J:J,Assessments!G:G,$A71,Assessments!B:B,"&gt;="&amp;$B$4,Assessments!B:B,"&lt;="&amp;$B$5))</f>
        <v/>
      </c>
      <c r="H71">
        <f>IF($D71=0,"",MINIFS(Assessments!J:J,Assessments!G:G,$A71,Assessments!B:B,"&gt;="&amp;$B$4,Assessments!B:B,"&lt;="&amp;$B$5))</f>
        <v/>
      </c>
    </row>
    <row r="72">
      <c r="A72">
        <f>IF(Students!A66="","",Students!A66)</f>
        <v/>
      </c>
      <c r="B72">
        <f>IF($A72="","",Students!B66)</f>
        <v/>
      </c>
      <c r="C72">
        <f>IF($A72="","",Students!C66)</f>
        <v/>
      </c>
      <c r="D72">
        <f>IF($A72="","",COUNTIFS(Assessments!G:G,$A72,Assessments!B:B,"&gt;="&amp;$B$4,Assessments!B:B,"&lt;="&amp;$B$5))</f>
        <v/>
      </c>
      <c r="E72">
        <f>IF($D72=0,"",ROUND(AVERAGEIFS(Assessments!J:J,Assessments!G:G,$A72,Assessments!B:B,"&gt;="&amp;$B$4,Assessments!B:B,"&lt;="&amp;$B$5),0))</f>
        <v/>
      </c>
      <c r="F72">
        <f>IF($D72=0,"",IFERROR(AVERAGEIFS(Assessments!J:J,Assessments!G:G,$A72,Assessments!B:B,$B$5),0)-IFERROR(AVERAGEIFS(Assessments!J:J,Assessments!G:G,$A72,Assessments!B:B,$B$4),0))</f>
        <v/>
      </c>
      <c r="G72">
        <f>IF($D72=0,"",MAXIFS(Assessments!J:J,Assessments!G:G,$A72,Assessments!B:B,"&gt;="&amp;$B$4,Assessments!B:B,"&lt;="&amp;$B$5))</f>
        <v/>
      </c>
      <c r="H72">
        <f>IF($D72=0,"",MINIFS(Assessments!J:J,Assessments!G:G,$A72,Assessments!B:B,"&gt;="&amp;$B$4,Assessments!B:B,"&lt;="&amp;$B$5))</f>
        <v/>
      </c>
    </row>
    <row r="73">
      <c r="A73">
        <f>IF(Students!A67="","",Students!A67)</f>
        <v/>
      </c>
      <c r="B73">
        <f>IF($A73="","",Students!B67)</f>
        <v/>
      </c>
      <c r="C73">
        <f>IF($A73="","",Students!C67)</f>
        <v/>
      </c>
      <c r="D73">
        <f>IF($A73="","",COUNTIFS(Assessments!G:G,$A73,Assessments!B:B,"&gt;="&amp;$B$4,Assessments!B:B,"&lt;="&amp;$B$5))</f>
        <v/>
      </c>
      <c r="E73">
        <f>IF($D73=0,"",ROUND(AVERAGEIFS(Assessments!J:J,Assessments!G:G,$A73,Assessments!B:B,"&gt;="&amp;$B$4,Assessments!B:B,"&lt;="&amp;$B$5),0))</f>
        <v/>
      </c>
      <c r="F73">
        <f>IF($D73=0,"",IFERROR(AVERAGEIFS(Assessments!J:J,Assessments!G:G,$A73,Assessments!B:B,$B$5),0)-IFERROR(AVERAGEIFS(Assessments!J:J,Assessments!G:G,$A73,Assessments!B:B,$B$4),0))</f>
        <v/>
      </c>
      <c r="G73">
        <f>IF($D73=0,"",MAXIFS(Assessments!J:J,Assessments!G:G,$A73,Assessments!B:B,"&gt;="&amp;$B$4,Assessments!B:B,"&lt;="&amp;$B$5))</f>
        <v/>
      </c>
      <c r="H73">
        <f>IF($D73=0,"",MINIFS(Assessments!J:J,Assessments!G:G,$A73,Assessments!B:B,"&gt;="&amp;$B$4,Assessments!B:B,"&lt;="&amp;$B$5))</f>
        <v/>
      </c>
    </row>
    <row r="74">
      <c r="A74">
        <f>IF(Students!A68="","",Students!A68)</f>
        <v/>
      </c>
      <c r="B74">
        <f>IF($A74="","",Students!B68)</f>
        <v/>
      </c>
      <c r="C74">
        <f>IF($A74="","",Students!C68)</f>
        <v/>
      </c>
      <c r="D74">
        <f>IF($A74="","",COUNTIFS(Assessments!G:G,$A74,Assessments!B:B,"&gt;="&amp;$B$4,Assessments!B:B,"&lt;="&amp;$B$5))</f>
        <v/>
      </c>
      <c r="E74">
        <f>IF($D74=0,"",ROUND(AVERAGEIFS(Assessments!J:J,Assessments!G:G,$A74,Assessments!B:B,"&gt;="&amp;$B$4,Assessments!B:B,"&lt;="&amp;$B$5),0))</f>
        <v/>
      </c>
      <c r="F74">
        <f>IF($D74=0,"",IFERROR(AVERAGEIFS(Assessments!J:J,Assessments!G:G,$A74,Assessments!B:B,$B$5),0)-IFERROR(AVERAGEIFS(Assessments!J:J,Assessments!G:G,$A74,Assessments!B:B,$B$4),0))</f>
        <v/>
      </c>
      <c r="G74">
        <f>IF($D74=0,"",MAXIFS(Assessments!J:J,Assessments!G:G,$A74,Assessments!B:B,"&gt;="&amp;$B$4,Assessments!B:B,"&lt;="&amp;$B$5))</f>
        <v/>
      </c>
      <c r="H74">
        <f>IF($D74=0,"",MINIFS(Assessments!J:J,Assessments!G:G,$A74,Assessments!B:B,"&gt;="&amp;$B$4,Assessments!B:B,"&lt;="&amp;$B$5))</f>
        <v/>
      </c>
    </row>
    <row r="75">
      <c r="A75">
        <f>IF(Students!A69="","",Students!A69)</f>
        <v/>
      </c>
      <c r="B75">
        <f>IF($A75="","",Students!B69)</f>
        <v/>
      </c>
      <c r="C75">
        <f>IF($A75="","",Students!C69)</f>
        <v/>
      </c>
      <c r="D75">
        <f>IF($A75="","",COUNTIFS(Assessments!G:G,$A75,Assessments!B:B,"&gt;="&amp;$B$4,Assessments!B:B,"&lt;="&amp;$B$5))</f>
        <v/>
      </c>
      <c r="E75">
        <f>IF($D75=0,"",ROUND(AVERAGEIFS(Assessments!J:J,Assessments!G:G,$A75,Assessments!B:B,"&gt;="&amp;$B$4,Assessments!B:B,"&lt;="&amp;$B$5),0))</f>
        <v/>
      </c>
      <c r="F75">
        <f>IF($D75=0,"",IFERROR(AVERAGEIFS(Assessments!J:J,Assessments!G:G,$A75,Assessments!B:B,$B$5),0)-IFERROR(AVERAGEIFS(Assessments!J:J,Assessments!G:G,$A75,Assessments!B:B,$B$4),0))</f>
        <v/>
      </c>
      <c r="G75">
        <f>IF($D75=0,"",MAXIFS(Assessments!J:J,Assessments!G:G,$A75,Assessments!B:B,"&gt;="&amp;$B$4,Assessments!B:B,"&lt;="&amp;$B$5))</f>
        <v/>
      </c>
      <c r="H75">
        <f>IF($D75=0,"",MINIFS(Assessments!J:J,Assessments!G:G,$A75,Assessments!B:B,"&gt;="&amp;$B$4,Assessments!B:B,"&lt;="&amp;$B$5))</f>
        <v/>
      </c>
    </row>
    <row r="76">
      <c r="A76">
        <f>IF(Students!A70="","",Students!A70)</f>
        <v/>
      </c>
      <c r="B76">
        <f>IF($A76="","",Students!B70)</f>
        <v/>
      </c>
      <c r="C76">
        <f>IF($A76="","",Students!C70)</f>
        <v/>
      </c>
      <c r="D76">
        <f>IF($A76="","",COUNTIFS(Assessments!G:G,$A76,Assessments!B:B,"&gt;="&amp;$B$4,Assessments!B:B,"&lt;="&amp;$B$5))</f>
        <v/>
      </c>
      <c r="E76">
        <f>IF($D76=0,"",ROUND(AVERAGEIFS(Assessments!J:J,Assessments!G:G,$A76,Assessments!B:B,"&gt;="&amp;$B$4,Assessments!B:B,"&lt;="&amp;$B$5),0))</f>
        <v/>
      </c>
      <c r="F76">
        <f>IF($D76=0,"",IFERROR(AVERAGEIFS(Assessments!J:J,Assessments!G:G,$A76,Assessments!B:B,$B$5),0)-IFERROR(AVERAGEIFS(Assessments!J:J,Assessments!G:G,$A76,Assessments!B:B,$B$4),0))</f>
        <v/>
      </c>
      <c r="G76">
        <f>IF($D76=0,"",MAXIFS(Assessments!J:J,Assessments!G:G,$A76,Assessments!B:B,"&gt;="&amp;$B$4,Assessments!B:B,"&lt;="&amp;$B$5))</f>
        <v/>
      </c>
      <c r="H76">
        <f>IF($D76=0,"",MINIFS(Assessments!J:J,Assessments!G:G,$A76,Assessments!B:B,"&gt;="&amp;$B$4,Assessments!B:B,"&lt;="&amp;$B$5))</f>
        <v/>
      </c>
    </row>
    <row r="77">
      <c r="A77">
        <f>IF(Students!A71="","",Students!A71)</f>
        <v/>
      </c>
      <c r="B77">
        <f>IF($A77="","",Students!B71)</f>
        <v/>
      </c>
      <c r="C77">
        <f>IF($A77="","",Students!C71)</f>
        <v/>
      </c>
      <c r="D77">
        <f>IF($A77="","",COUNTIFS(Assessments!G:G,$A77,Assessments!B:B,"&gt;="&amp;$B$4,Assessments!B:B,"&lt;="&amp;$B$5))</f>
        <v/>
      </c>
      <c r="E77">
        <f>IF($D77=0,"",ROUND(AVERAGEIFS(Assessments!J:J,Assessments!G:G,$A77,Assessments!B:B,"&gt;="&amp;$B$4,Assessments!B:B,"&lt;="&amp;$B$5),0))</f>
        <v/>
      </c>
      <c r="F77">
        <f>IF($D77=0,"",IFERROR(AVERAGEIFS(Assessments!J:J,Assessments!G:G,$A77,Assessments!B:B,$B$5),0)-IFERROR(AVERAGEIFS(Assessments!J:J,Assessments!G:G,$A77,Assessments!B:B,$B$4),0))</f>
        <v/>
      </c>
      <c r="G77">
        <f>IF($D77=0,"",MAXIFS(Assessments!J:J,Assessments!G:G,$A77,Assessments!B:B,"&gt;="&amp;$B$4,Assessments!B:B,"&lt;="&amp;$B$5))</f>
        <v/>
      </c>
      <c r="H77">
        <f>IF($D77=0,"",MINIFS(Assessments!J:J,Assessments!G:G,$A77,Assessments!B:B,"&gt;="&amp;$B$4,Assessments!B:B,"&lt;="&amp;$B$5))</f>
        <v/>
      </c>
    </row>
    <row r="78">
      <c r="A78">
        <f>IF(Students!A72="","",Students!A72)</f>
        <v/>
      </c>
      <c r="B78">
        <f>IF($A78="","",Students!B72)</f>
        <v/>
      </c>
      <c r="C78">
        <f>IF($A78="","",Students!C72)</f>
        <v/>
      </c>
      <c r="D78">
        <f>IF($A78="","",COUNTIFS(Assessments!G:G,$A78,Assessments!B:B,"&gt;="&amp;$B$4,Assessments!B:B,"&lt;="&amp;$B$5))</f>
        <v/>
      </c>
      <c r="E78">
        <f>IF($D78=0,"",ROUND(AVERAGEIFS(Assessments!J:J,Assessments!G:G,$A78,Assessments!B:B,"&gt;="&amp;$B$4,Assessments!B:B,"&lt;="&amp;$B$5),0))</f>
        <v/>
      </c>
      <c r="F78">
        <f>IF($D78=0,"",IFERROR(AVERAGEIFS(Assessments!J:J,Assessments!G:G,$A78,Assessments!B:B,$B$5),0)-IFERROR(AVERAGEIFS(Assessments!J:J,Assessments!G:G,$A78,Assessments!B:B,$B$4),0))</f>
        <v/>
      </c>
      <c r="G78">
        <f>IF($D78=0,"",MAXIFS(Assessments!J:J,Assessments!G:G,$A78,Assessments!B:B,"&gt;="&amp;$B$4,Assessments!B:B,"&lt;="&amp;$B$5))</f>
        <v/>
      </c>
      <c r="H78">
        <f>IF($D78=0,"",MINIFS(Assessments!J:J,Assessments!G:G,$A78,Assessments!B:B,"&gt;="&amp;$B$4,Assessments!B:B,"&lt;="&amp;$B$5))</f>
        <v/>
      </c>
    </row>
    <row r="79">
      <c r="A79">
        <f>IF(Students!A73="","",Students!A73)</f>
        <v/>
      </c>
      <c r="B79">
        <f>IF($A79="","",Students!B73)</f>
        <v/>
      </c>
      <c r="C79">
        <f>IF($A79="","",Students!C73)</f>
        <v/>
      </c>
      <c r="D79">
        <f>IF($A79="","",COUNTIFS(Assessments!G:G,$A79,Assessments!B:B,"&gt;="&amp;$B$4,Assessments!B:B,"&lt;="&amp;$B$5))</f>
        <v/>
      </c>
      <c r="E79">
        <f>IF($D79=0,"",ROUND(AVERAGEIFS(Assessments!J:J,Assessments!G:G,$A79,Assessments!B:B,"&gt;="&amp;$B$4,Assessments!B:B,"&lt;="&amp;$B$5),0))</f>
        <v/>
      </c>
      <c r="F79">
        <f>IF($D79=0,"",IFERROR(AVERAGEIFS(Assessments!J:J,Assessments!G:G,$A79,Assessments!B:B,$B$5),0)-IFERROR(AVERAGEIFS(Assessments!J:J,Assessments!G:G,$A79,Assessments!B:B,$B$4),0))</f>
        <v/>
      </c>
      <c r="G79">
        <f>IF($D79=0,"",MAXIFS(Assessments!J:J,Assessments!G:G,$A79,Assessments!B:B,"&gt;="&amp;$B$4,Assessments!B:B,"&lt;="&amp;$B$5))</f>
        <v/>
      </c>
      <c r="H79">
        <f>IF($D79=0,"",MINIFS(Assessments!J:J,Assessments!G:G,$A79,Assessments!B:B,"&gt;="&amp;$B$4,Assessments!B:B,"&lt;="&amp;$B$5))</f>
        <v/>
      </c>
    </row>
    <row r="80">
      <c r="A80">
        <f>IF(Students!A74="","",Students!A74)</f>
        <v/>
      </c>
      <c r="B80">
        <f>IF($A80="","",Students!B74)</f>
        <v/>
      </c>
      <c r="C80">
        <f>IF($A80="","",Students!C74)</f>
        <v/>
      </c>
      <c r="D80">
        <f>IF($A80="","",COUNTIFS(Assessments!G:G,$A80,Assessments!B:B,"&gt;="&amp;$B$4,Assessments!B:B,"&lt;="&amp;$B$5))</f>
        <v/>
      </c>
      <c r="E80">
        <f>IF($D80=0,"",ROUND(AVERAGEIFS(Assessments!J:J,Assessments!G:G,$A80,Assessments!B:B,"&gt;="&amp;$B$4,Assessments!B:B,"&lt;="&amp;$B$5),0))</f>
        <v/>
      </c>
      <c r="F80">
        <f>IF($D80=0,"",IFERROR(AVERAGEIFS(Assessments!J:J,Assessments!G:G,$A80,Assessments!B:B,$B$5),0)-IFERROR(AVERAGEIFS(Assessments!J:J,Assessments!G:G,$A80,Assessments!B:B,$B$4),0))</f>
        <v/>
      </c>
      <c r="G80">
        <f>IF($D80=0,"",MAXIFS(Assessments!J:J,Assessments!G:G,$A80,Assessments!B:B,"&gt;="&amp;$B$4,Assessments!B:B,"&lt;="&amp;$B$5))</f>
        <v/>
      </c>
      <c r="H80">
        <f>IF($D80=0,"",MINIFS(Assessments!J:J,Assessments!G:G,$A80,Assessments!B:B,"&gt;="&amp;$B$4,Assessments!B:B,"&lt;="&amp;$B$5))</f>
        <v/>
      </c>
    </row>
    <row r="81">
      <c r="A81">
        <f>IF(Students!A75="","",Students!A75)</f>
        <v/>
      </c>
      <c r="B81">
        <f>IF($A81="","",Students!B75)</f>
        <v/>
      </c>
      <c r="C81">
        <f>IF($A81="","",Students!C75)</f>
        <v/>
      </c>
      <c r="D81">
        <f>IF($A81="","",COUNTIFS(Assessments!G:G,$A81,Assessments!B:B,"&gt;="&amp;$B$4,Assessments!B:B,"&lt;="&amp;$B$5))</f>
        <v/>
      </c>
      <c r="E81">
        <f>IF($D81=0,"",ROUND(AVERAGEIFS(Assessments!J:J,Assessments!G:G,$A81,Assessments!B:B,"&gt;="&amp;$B$4,Assessments!B:B,"&lt;="&amp;$B$5),0))</f>
        <v/>
      </c>
      <c r="F81">
        <f>IF($D81=0,"",IFERROR(AVERAGEIFS(Assessments!J:J,Assessments!G:G,$A81,Assessments!B:B,$B$5),0)-IFERROR(AVERAGEIFS(Assessments!J:J,Assessments!G:G,$A81,Assessments!B:B,$B$4),0))</f>
        <v/>
      </c>
      <c r="G81">
        <f>IF($D81=0,"",MAXIFS(Assessments!J:J,Assessments!G:G,$A81,Assessments!B:B,"&gt;="&amp;$B$4,Assessments!B:B,"&lt;="&amp;$B$5))</f>
        <v/>
      </c>
      <c r="H81">
        <f>IF($D81=0,"",MINIFS(Assessments!J:J,Assessments!G:G,$A81,Assessments!B:B,"&gt;="&amp;$B$4,Assessments!B:B,"&lt;="&amp;$B$5))</f>
        <v/>
      </c>
    </row>
    <row r="82">
      <c r="A82">
        <f>IF(Students!A76="","",Students!A76)</f>
        <v/>
      </c>
      <c r="B82">
        <f>IF($A82="","",Students!B76)</f>
        <v/>
      </c>
      <c r="C82">
        <f>IF($A82="","",Students!C76)</f>
        <v/>
      </c>
      <c r="D82">
        <f>IF($A82="","",COUNTIFS(Assessments!G:G,$A82,Assessments!B:B,"&gt;="&amp;$B$4,Assessments!B:B,"&lt;="&amp;$B$5))</f>
        <v/>
      </c>
      <c r="E82">
        <f>IF($D82=0,"",ROUND(AVERAGEIFS(Assessments!J:J,Assessments!G:G,$A82,Assessments!B:B,"&gt;="&amp;$B$4,Assessments!B:B,"&lt;="&amp;$B$5),0))</f>
        <v/>
      </c>
      <c r="F82">
        <f>IF($D82=0,"",IFERROR(AVERAGEIFS(Assessments!J:J,Assessments!G:G,$A82,Assessments!B:B,$B$5),0)-IFERROR(AVERAGEIFS(Assessments!J:J,Assessments!G:G,$A82,Assessments!B:B,$B$4),0))</f>
        <v/>
      </c>
      <c r="G82">
        <f>IF($D82=0,"",MAXIFS(Assessments!J:J,Assessments!G:G,$A82,Assessments!B:B,"&gt;="&amp;$B$4,Assessments!B:B,"&lt;="&amp;$B$5))</f>
        <v/>
      </c>
      <c r="H82">
        <f>IF($D82=0,"",MINIFS(Assessments!J:J,Assessments!G:G,$A82,Assessments!B:B,"&gt;="&amp;$B$4,Assessments!B:B,"&lt;="&amp;$B$5))</f>
        <v/>
      </c>
    </row>
    <row r="83">
      <c r="A83">
        <f>IF(Students!A77="","",Students!A77)</f>
        <v/>
      </c>
      <c r="B83">
        <f>IF($A83="","",Students!B77)</f>
        <v/>
      </c>
      <c r="C83">
        <f>IF($A83="","",Students!C77)</f>
        <v/>
      </c>
      <c r="D83">
        <f>IF($A83="","",COUNTIFS(Assessments!G:G,$A83,Assessments!B:B,"&gt;="&amp;$B$4,Assessments!B:B,"&lt;="&amp;$B$5))</f>
        <v/>
      </c>
      <c r="E83">
        <f>IF($D83=0,"",ROUND(AVERAGEIFS(Assessments!J:J,Assessments!G:G,$A83,Assessments!B:B,"&gt;="&amp;$B$4,Assessments!B:B,"&lt;="&amp;$B$5),0))</f>
        <v/>
      </c>
      <c r="F83">
        <f>IF($D83=0,"",IFERROR(AVERAGEIFS(Assessments!J:J,Assessments!G:G,$A83,Assessments!B:B,$B$5),0)-IFERROR(AVERAGEIFS(Assessments!J:J,Assessments!G:G,$A83,Assessments!B:B,$B$4),0))</f>
        <v/>
      </c>
      <c r="G83">
        <f>IF($D83=0,"",MAXIFS(Assessments!J:J,Assessments!G:G,$A83,Assessments!B:B,"&gt;="&amp;$B$4,Assessments!B:B,"&lt;="&amp;$B$5))</f>
        <v/>
      </c>
      <c r="H83">
        <f>IF($D83=0,"",MINIFS(Assessments!J:J,Assessments!G:G,$A83,Assessments!B:B,"&gt;="&amp;$B$4,Assessments!B:B,"&lt;="&amp;$B$5))</f>
        <v/>
      </c>
    </row>
    <row r="84">
      <c r="A84">
        <f>IF(Students!A78="","",Students!A78)</f>
        <v/>
      </c>
      <c r="B84">
        <f>IF($A84="","",Students!B78)</f>
        <v/>
      </c>
      <c r="C84">
        <f>IF($A84="","",Students!C78)</f>
        <v/>
      </c>
      <c r="D84">
        <f>IF($A84="","",COUNTIFS(Assessments!G:G,$A84,Assessments!B:B,"&gt;="&amp;$B$4,Assessments!B:B,"&lt;="&amp;$B$5))</f>
        <v/>
      </c>
      <c r="E84">
        <f>IF($D84=0,"",ROUND(AVERAGEIFS(Assessments!J:J,Assessments!G:G,$A84,Assessments!B:B,"&gt;="&amp;$B$4,Assessments!B:B,"&lt;="&amp;$B$5),0))</f>
        <v/>
      </c>
      <c r="F84">
        <f>IF($D84=0,"",IFERROR(AVERAGEIFS(Assessments!J:J,Assessments!G:G,$A84,Assessments!B:B,$B$5),0)-IFERROR(AVERAGEIFS(Assessments!J:J,Assessments!G:G,$A84,Assessments!B:B,$B$4),0))</f>
        <v/>
      </c>
      <c r="G84">
        <f>IF($D84=0,"",MAXIFS(Assessments!J:J,Assessments!G:G,$A84,Assessments!B:B,"&gt;="&amp;$B$4,Assessments!B:B,"&lt;="&amp;$B$5))</f>
        <v/>
      </c>
      <c r="H84">
        <f>IF($D84=0,"",MINIFS(Assessments!J:J,Assessments!G:G,$A84,Assessments!B:B,"&gt;="&amp;$B$4,Assessments!B:B,"&lt;="&amp;$B$5))</f>
        <v/>
      </c>
    </row>
    <row r="85">
      <c r="A85">
        <f>IF(Students!A79="","",Students!A79)</f>
        <v/>
      </c>
      <c r="B85">
        <f>IF($A85="","",Students!B79)</f>
        <v/>
      </c>
      <c r="C85">
        <f>IF($A85="","",Students!C79)</f>
        <v/>
      </c>
      <c r="D85">
        <f>IF($A85="","",COUNTIFS(Assessments!G:G,$A85,Assessments!B:B,"&gt;="&amp;$B$4,Assessments!B:B,"&lt;="&amp;$B$5))</f>
        <v/>
      </c>
      <c r="E85">
        <f>IF($D85=0,"",ROUND(AVERAGEIFS(Assessments!J:J,Assessments!G:G,$A85,Assessments!B:B,"&gt;="&amp;$B$4,Assessments!B:B,"&lt;="&amp;$B$5),0))</f>
        <v/>
      </c>
      <c r="F85">
        <f>IF($D85=0,"",IFERROR(AVERAGEIFS(Assessments!J:J,Assessments!G:G,$A85,Assessments!B:B,$B$5),0)-IFERROR(AVERAGEIFS(Assessments!J:J,Assessments!G:G,$A85,Assessments!B:B,$B$4),0))</f>
        <v/>
      </c>
      <c r="G85">
        <f>IF($D85=0,"",MAXIFS(Assessments!J:J,Assessments!G:G,$A85,Assessments!B:B,"&gt;="&amp;$B$4,Assessments!B:B,"&lt;="&amp;$B$5))</f>
        <v/>
      </c>
      <c r="H85">
        <f>IF($D85=0,"",MINIFS(Assessments!J:J,Assessments!G:G,$A85,Assessments!B:B,"&gt;="&amp;$B$4,Assessments!B:B,"&lt;="&amp;$B$5))</f>
        <v/>
      </c>
    </row>
    <row r="86">
      <c r="A86">
        <f>IF(Students!A80="","",Students!A80)</f>
        <v/>
      </c>
      <c r="B86">
        <f>IF($A86="","",Students!B80)</f>
        <v/>
      </c>
      <c r="C86">
        <f>IF($A86="","",Students!C80)</f>
        <v/>
      </c>
      <c r="D86">
        <f>IF($A86="","",COUNTIFS(Assessments!G:G,$A86,Assessments!B:B,"&gt;="&amp;$B$4,Assessments!B:B,"&lt;="&amp;$B$5))</f>
        <v/>
      </c>
      <c r="E86">
        <f>IF($D86=0,"",ROUND(AVERAGEIFS(Assessments!J:J,Assessments!G:G,$A86,Assessments!B:B,"&gt;="&amp;$B$4,Assessments!B:B,"&lt;="&amp;$B$5),0))</f>
        <v/>
      </c>
      <c r="F86">
        <f>IF($D86=0,"",IFERROR(AVERAGEIFS(Assessments!J:J,Assessments!G:G,$A86,Assessments!B:B,$B$5),0)-IFERROR(AVERAGEIFS(Assessments!J:J,Assessments!G:G,$A86,Assessments!B:B,$B$4),0))</f>
        <v/>
      </c>
      <c r="G86">
        <f>IF($D86=0,"",MAXIFS(Assessments!J:J,Assessments!G:G,$A86,Assessments!B:B,"&gt;="&amp;$B$4,Assessments!B:B,"&lt;="&amp;$B$5))</f>
        <v/>
      </c>
      <c r="H86">
        <f>IF($D86=0,"",MINIFS(Assessments!J:J,Assessments!G:G,$A86,Assessments!B:B,"&gt;="&amp;$B$4,Assessments!B:B,"&lt;="&amp;$B$5))</f>
        <v/>
      </c>
    </row>
    <row r="87">
      <c r="A87">
        <f>IF(Students!A81="","",Students!A81)</f>
        <v/>
      </c>
      <c r="B87">
        <f>IF($A87="","",Students!B81)</f>
        <v/>
      </c>
      <c r="C87">
        <f>IF($A87="","",Students!C81)</f>
        <v/>
      </c>
      <c r="D87">
        <f>IF($A87="","",COUNTIFS(Assessments!G:G,$A87,Assessments!B:B,"&gt;="&amp;$B$4,Assessments!B:B,"&lt;="&amp;$B$5))</f>
        <v/>
      </c>
      <c r="E87">
        <f>IF($D87=0,"",ROUND(AVERAGEIFS(Assessments!J:J,Assessments!G:G,$A87,Assessments!B:B,"&gt;="&amp;$B$4,Assessments!B:B,"&lt;="&amp;$B$5),0))</f>
        <v/>
      </c>
      <c r="F87">
        <f>IF($D87=0,"",IFERROR(AVERAGEIFS(Assessments!J:J,Assessments!G:G,$A87,Assessments!B:B,$B$5),0)-IFERROR(AVERAGEIFS(Assessments!J:J,Assessments!G:G,$A87,Assessments!B:B,$B$4),0))</f>
        <v/>
      </c>
      <c r="G87">
        <f>IF($D87=0,"",MAXIFS(Assessments!J:J,Assessments!G:G,$A87,Assessments!B:B,"&gt;="&amp;$B$4,Assessments!B:B,"&lt;="&amp;$B$5))</f>
        <v/>
      </c>
      <c r="H87">
        <f>IF($D87=0,"",MINIFS(Assessments!J:J,Assessments!G:G,$A87,Assessments!B:B,"&gt;="&amp;$B$4,Assessments!B:B,"&lt;="&amp;$B$5))</f>
        <v/>
      </c>
    </row>
    <row r="88">
      <c r="A88">
        <f>IF(Students!A82="","",Students!A82)</f>
        <v/>
      </c>
      <c r="B88">
        <f>IF($A88="","",Students!B82)</f>
        <v/>
      </c>
      <c r="C88">
        <f>IF($A88="","",Students!C82)</f>
        <v/>
      </c>
      <c r="D88">
        <f>IF($A88="","",COUNTIFS(Assessments!G:G,$A88,Assessments!B:B,"&gt;="&amp;$B$4,Assessments!B:B,"&lt;="&amp;$B$5))</f>
        <v/>
      </c>
      <c r="E88">
        <f>IF($D88=0,"",ROUND(AVERAGEIFS(Assessments!J:J,Assessments!G:G,$A88,Assessments!B:B,"&gt;="&amp;$B$4,Assessments!B:B,"&lt;="&amp;$B$5),0))</f>
        <v/>
      </c>
      <c r="F88">
        <f>IF($D88=0,"",IFERROR(AVERAGEIFS(Assessments!J:J,Assessments!G:G,$A88,Assessments!B:B,$B$5),0)-IFERROR(AVERAGEIFS(Assessments!J:J,Assessments!G:G,$A88,Assessments!B:B,$B$4),0))</f>
        <v/>
      </c>
      <c r="G88">
        <f>IF($D88=0,"",MAXIFS(Assessments!J:J,Assessments!G:G,$A88,Assessments!B:B,"&gt;="&amp;$B$4,Assessments!B:B,"&lt;="&amp;$B$5))</f>
        <v/>
      </c>
      <c r="H88">
        <f>IF($D88=0,"",MINIFS(Assessments!J:J,Assessments!G:G,$A88,Assessments!B:B,"&gt;="&amp;$B$4,Assessments!B:B,"&lt;="&amp;$B$5))</f>
        <v/>
      </c>
    </row>
    <row r="89">
      <c r="A89">
        <f>IF(Students!A83="","",Students!A83)</f>
        <v/>
      </c>
      <c r="B89">
        <f>IF($A89="","",Students!B83)</f>
        <v/>
      </c>
      <c r="C89">
        <f>IF($A89="","",Students!C83)</f>
        <v/>
      </c>
      <c r="D89">
        <f>IF($A89="","",COUNTIFS(Assessments!G:G,$A89,Assessments!B:B,"&gt;="&amp;$B$4,Assessments!B:B,"&lt;="&amp;$B$5))</f>
        <v/>
      </c>
      <c r="E89">
        <f>IF($D89=0,"",ROUND(AVERAGEIFS(Assessments!J:J,Assessments!G:G,$A89,Assessments!B:B,"&gt;="&amp;$B$4,Assessments!B:B,"&lt;="&amp;$B$5),0))</f>
        <v/>
      </c>
      <c r="F89">
        <f>IF($D89=0,"",IFERROR(AVERAGEIFS(Assessments!J:J,Assessments!G:G,$A89,Assessments!B:B,$B$5),0)-IFERROR(AVERAGEIFS(Assessments!J:J,Assessments!G:G,$A89,Assessments!B:B,$B$4),0))</f>
        <v/>
      </c>
      <c r="G89">
        <f>IF($D89=0,"",MAXIFS(Assessments!J:J,Assessments!G:G,$A89,Assessments!B:B,"&gt;="&amp;$B$4,Assessments!B:B,"&lt;="&amp;$B$5))</f>
        <v/>
      </c>
      <c r="H89">
        <f>IF($D89=0,"",MINIFS(Assessments!J:J,Assessments!G:G,$A89,Assessments!B:B,"&gt;="&amp;$B$4,Assessments!B:B,"&lt;="&amp;$B$5))</f>
        <v/>
      </c>
    </row>
    <row r="90">
      <c r="A90">
        <f>IF(Students!A84="","",Students!A84)</f>
        <v/>
      </c>
      <c r="B90">
        <f>IF($A90="","",Students!B84)</f>
        <v/>
      </c>
      <c r="C90">
        <f>IF($A90="","",Students!C84)</f>
        <v/>
      </c>
      <c r="D90">
        <f>IF($A90="","",COUNTIFS(Assessments!G:G,$A90,Assessments!B:B,"&gt;="&amp;$B$4,Assessments!B:B,"&lt;="&amp;$B$5))</f>
        <v/>
      </c>
      <c r="E90">
        <f>IF($D90=0,"",ROUND(AVERAGEIFS(Assessments!J:J,Assessments!G:G,$A90,Assessments!B:B,"&gt;="&amp;$B$4,Assessments!B:B,"&lt;="&amp;$B$5),0))</f>
        <v/>
      </c>
      <c r="F90">
        <f>IF($D90=0,"",IFERROR(AVERAGEIFS(Assessments!J:J,Assessments!G:G,$A90,Assessments!B:B,$B$5),0)-IFERROR(AVERAGEIFS(Assessments!J:J,Assessments!G:G,$A90,Assessments!B:B,$B$4),0))</f>
        <v/>
      </c>
      <c r="G90">
        <f>IF($D90=0,"",MAXIFS(Assessments!J:J,Assessments!G:G,$A90,Assessments!B:B,"&gt;="&amp;$B$4,Assessments!B:B,"&lt;="&amp;$B$5))</f>
        <v/>
      </c>
      <c r="H90">
        <f>IF($D90=0,"",MINIFS(Assessments!J:J,Assessments!G:G,$A90,Assessments!B:B,"&gt;="&amp;$B$4,Assessments!B:B,"&lt;="&amp;$B$5))</f>
        <v/>
      </c>
    </row>
    <row r="91">
      <c r="A91">
        <f>IF(Students!A85="","",Students!A85)</f>
        <v/>
      </c>
      <c r="B91">
        <f>IF($A91="","",Students!B85)</f>
        <v/>
      </c>
      <c r="C91">
        <f>IF($A91="","",Students!C85)</f>
        <v/>
      </c>
      <c r="D91">
        <f>IF($A91="","",COUNTIFS(Assessments!G:G,$A91,Assessments!B:B,"&gt;="&amp;$B$4,Assessments!B:B,"&lt;="&amp;$B$5))</f>
        <v/>
      </c>
      <c r="E91">
        <f>IF($D91=0,"",ROUND(AVERAGEIFS(Assessments!J:J,Assessments!G:G,$A91,Assessments!B:B,"&gt;="&amp;$B$4,Assessments!B:B,"&lt;="&amp;$B$5),0))</f>
        <v/>
      </c>
      <c r="F91">
        <f>IF($D91=0,"",IFERROR(AVERAGEIFS(Assessments!J:J,Assessments!G:G,$A91,Assessments!B:B,$B$5),0)-IFERROR(AVERAGEIFS(Assessments!J:J,Assessments!G:G,$A91,Assessments!B:B,$B$4),0))</f>
        <v/>
      </c>
      <c r="G91">
        <f>IF($D91=0,"",MAXIFS(Assessments!J:J,Assessments!G:G,$A91,Assessments!B:B,"&gt;="&amp;$B$4,Assessments!B:B,"&lt;="&amp;$B$5))</f>
        <v/>
      </c>
      <c r="H91">
        <f>IF($D91=0,"",MINIFS(Assessments!J:J,Assessments!G:G,$A91,Assessments!B:B,"&gt;="&amp;$B$4,Assessments!B:B,"&lt;="&amp;$B$5))</f>
        <v/>
      </c>
    </row>
    <row r="92">
      <c r="A92">
        <f>IF(Students!A86="","",Students!A86)</f>
        <v/>
      </c>
      <c r="B92">
        <f>IF($A92="","",Students!B86)</f>
        <v/>
      </c>
      <c r="C92">
        <f>IF($A92="","",Students!C86)</f>
        <v/>
      </c>
      <c r="D92">
        <f>IF($A92="","",COUNTIFS(Assessments!G:G,$A92,Assessments!B:B,"&gt;="&amp;$B$4,Assessments!B:B,"&lt;="&amp;$B$5))</f>
        <v/>
      </c>
      <c r="E92">
        <f>IF($D92=0,"",ROUND(AVERAGEIFS(Assessments!J:J,Assessments!G:G,$A92,Assessments!B:B,"&gt;="&amp;$B$4,Assessments!B:B,"&lt;="&amp;$B$5),0))</f>
        <v/>
      </c>
      <c r="F92">
        <f>IF($D92=0,"",IFERROR(AVERAGEIFS(Assessments!J:J,Assessments!G:G,$A92,Assessments!B:B,$B$5),0)-IFERROR(AVERAGEIFS(Assessments!J:J,Assessments!G:G,$A92,Assessments!B:B,$B$4),0))</f>
        <v/>
      </c>
      <c r="G92">
        <f>IF($D92=0,"",MAXIFS(Assessments!J:J,Assessments!G:G,$A92,Assessments!B:B,"&gt;="&amp;$B$4,Assessments!B:B,"&lt;="&amp;$B$5))</f>
        <v/>
      </c>
      <c r="H92">
        <f>IF($D92=0,"",MINIFS(Assessments!J:J,Assessments!G:G,$A92,Assessments!B:B,"&gt;="&amp;$B$4,Assessments!B:B,"&lt;="&amp;$B$5))</f>
        <v/>
      </c>
    </row>
    <row r="93">
      <c r="A93">
        <f>IF(Students!A87="","",Students!A87)</f>
        <v/>
      </c>
      <c r="B93">
        <f>IF($A93="","",Students!B87)</f>
        <v/>
      </c>
      <c r="C93">
        <f>IF($A93="","",Students!C87)</f>
        <v/>
      </c>
      <c r="D93">
        <f>IF($A93="","",COUNTIFS(Assessments!G:G,$A93,Assessments!B:B,"&gt;="&amp;$B$4,Assessments!B:B,"&lt;="&amp;$B$5))</f>
        <v/>
      </c>
      <c r="E93">
        <f>IF($D93=0,"",ROUND(AVERAGEIFS(Assessments!J:J,Assessments!G:G,$A93,Assessments!B:B,"&gt;="&amp;$B$4,Assessments!B:B,"&lt;="&amp;$B$5),0))</f>
        <v/>
      </c>
      <c r="F93">
        <f>IF($D93=0,"",IFERROR(AVERAGEIFS(Assessments!J:J,Assessments!G:G,$A93,Assessments!B:B,$B$5),0)-IFERROR(AVERAGEIFS(Assessments!J:J,Assessments!G:G,$A93,Assessments!B:B,$B$4),0))</f>
        <v/>
      </c>
      <c r="G93">
        <f>IF($D93=0,"",MAXIFS(Assessments!J:J,Assessments!G:G,$A93,Assessments!B:B,"&gt;="&amp;$B$4,Assessments!B:B,"&lt;="&amp;$B$5))</f>
        <v/>
      </c>
      <c r="H93">
        <f>IF($D93=0,"",MINIFS(Assessments!J:J,Assessments!G:G,$A93,Assessments!B:B,"&gt;="&amp;$B$4,Assessments!B:B,"&lt;="&amp;$B$5))</f>
        <v/>
      </c>
    </row>
    <row r="94">
      <c r="A94">
        <f>IF(Students!A88="","",Students!A88)</f>
        <v/>
      </c>
      <c r="B94">
        <f>IF($A94="","",Students!B88)</f>
        <v/>
      </c>
      <c r="C94">
        <f>IF($A94="","",Students!C88)</f>
        <v/>
      </c>
      <c r="D94">
        <f>IF($A94="","",COUNTIFS(Assessments!G:G,$A94,Assessments!B:B,"&gt;="&amp;$B$4,Assessments!B:B,"&lt;="&amp;$B$5))</f>
        <v/>
      </c>
      <c r="E94">
        <f>IF($D94=0,"",ROUND(AVERAGEIFS(Assessments!J:J,Assessments!G:G,$A94,Assessments!B:B,"&gt;="&amp;$B$4,Assessments!B:B,"&lt;="&amp;$B$5),0))</f>
        <v/>
      </c>
      <c r="F94">
        <f>IF($D94=0,"",IFERROR(AVERAGEIFS(Assessments!J:J,Assessments!G:G,$A94,Assessments!B:B,$B$5),0)-IFERROR(AVERAGEIFS(Assessments!J:J,Assessments!G:G,$A94,Assessments!B:B,$B$4),0))</f>
        <v/>
      </c>
      <c r="G94">
        <f>IF($D94=0,"",MAXIFS(Assessments!J:J,Assessments!G:G,$A94,Assessments!B:B,"&gt;="&amp;$B$4,Assessments!B:B,"&lt;="&amp;$B$5))</f>
        <v/>
      </c>
      <c r="H94">
        <f>IF($D94=0,"",MINIFS(Assessments!J:J,Assessments!G:G,$A94,Assessments!B:B,"&gt;="&amp;$B$4,Assessments!B:B,"&lt;="&amp;$B$5))</f>
        <v/>
      </c>
    </row>
    <row r="95">
      <c r="A95">
        <f>IF(Students!A89="","",Students!A89)</f>
        <v/>
      </c>
      <c r="B95">
        <f>IF($A95="","",Students!B89)</f>
        <v/>
      </c>
      <c r="C95">
        <f>IF($A95="","",Students!C89)</f>
        <v/>
      </c>
      <c r="D95">
        <f>IF($A95="","",COUNTIFS(Assessments!G:G,$A95,Assessments!B:B,"&gt;="&amp;$B$4,Assessments!B:B,"&lt;="&amp;$B$5))</f>
        <v/>
      </c>
      <c r="E95">
        <f>IF($D95=0,"",ROUND(AVERAGEIFS(Assessments!J:J,Assessments!G:G,$A95,Assessments!B:B,"&gt;="&amp;$B$4,Assessments!B:B,"&lt;="&amp;$B$5),0))</f>
        <v/>
      </c>
      <c r="F95">
        <f>IF($D95=0,"",IFERROR(AVERAGEIFS(Assessments!J:J,Assessments!G:G,$A95,Assessments!B:B,$B$5),0)-IFERROR(AVERAGEIFS(Assessments!J:J,Assessments!G:G,$A95,Assessments!B:B,$B$4),0))</f>
        <v/>
      </c>
      <c r="G95">
        <f>IF($D95=0,"",MAXIFS(Assessments!J:J,Assessments!G:G,$A95,Assessments!B:B,"&gt;="&amp;$B$4,Assessments!B:B,"&lt;="&amp;$B$5))</f>
        <v/>
      </c>
      <c r="H95">
        <f>IF($D95=0,"",MINIFS(Assessments!J:J,Assessments!G:G,$A95,Assessments!B:B,"&gt;="&amp;$B$4,Assessments!B:B,"&lt;="&amp;$B$5))</f>
        <v/>
      </c>
    </row>
    <row r="96">
      <c r="A96">
        <f>IF(Students!A90="","",Students!A90)</f>
        <v/>
      </c>
      <c r="B96">
        <f>IF($A96="","",Students!B90)</f>
        <v/>
      </c>
      <c r="C96">
        <f>IF($A96="","",Students!C90)</f>
        <v/>
      </c>
      <c r="D96">
        <f>IF($A96="","",COUNTIFS(Assessments!G:G,$A96,Assessments!B:B,"&gt;="&amp;$B$4,Assessments!B:B,"&lt;="&amp;$B$5))</f>
        <v/>
      </c>
      <c r="E96">
        <f>IF($D96=0,"",ROUND(AVERAGEIFS(Assessments!J:J,Assessments!G:G,$A96,Assessments!B:B,"&gt;="&amp;$B$4,Assessments!B:B,"&lt;="&amp;$B$5),0))</f>
        <v/>
      </c>
      <c r="F96">
        <f>IF($D96=0,"",IFERROR(AVERAGEIFS(Assessments!J:J,Assessments!G:G,$A96,Assessments!B:B,$B$5),0)-IFERROR(AVERAGEIFS(Assessments!J:J,Assessments!G:G,$A96,Assessments!B:B,$B$4),0))</f>
        <v/>
      </c>
      <c r="G96">
        <f>IF($D96=0,"",MAXIFS(Assessments!J:J,Assessments!G:G,$A96,Assessments!B:B,"&gt;="&amp;$B$4,Assessments!B:B,"&lt;="&amp;$B$5))</f>
        <v/>
      </c>
      <c r="H96">
        <f>IF($D96=0,"",MINIFS(Assessments!J:J,Assessments!G:G,$A96,Assessments!B:B,"&gt;="&amp;$B$4,Assessments!B:B,"&lt;="&amp;$B$5))</f>
        <v/>
      </c>
    </row>
    <row r="97">
      <c r="A97">
        <f>IF(Students!A91="","",Students!A91)</f>
        <v/>
      </c>
      <c r="B97">
        <f>IF($A97="","",Students!B91)</f>
        <v/>
      </c>
      <c r="C97">
        <f>IF($A97="","",Students!C91)</f>
        <v/>
      </c>
      <c r="D97">
        <f>IF($A97="","",COUNTIFS(Assessments!G:G,$A97,Assessments!B:B,"&gt;="&amp;$B$4,Assessments!B:B,"&lt;="&amp;$B$5))</f>
        <v/>
      </c>
      <c r="E97">
        <f>IF($D97=0,"",ROUND(AVERAGEIFS(Assessments!J:J,Assessments!G:G,$A97,Assessments!B:B,"&gt;="&amp;$B$4,Assessments!B:B,"&lt;="&amp;$B$5),0))</f>
        <v/>
      </c>
      <c r="F97">
        <f>IF($D97=0,"",IFERROR(AVERAGEIFS(Assessments!J:J,Assessments!G:G,$A97,Assessments!B:B,$B$5),0)-IFERROR(AVERAGEIFS(Assessments!J:J,Assessments!G:G,$A97,Assessments!B:B,$B$4),0))</f>
        <v/>
      </c>
      <c r="G97">
        <f>IF($D97=0,"",MAXIFS(Assessments!J:J,Assessments!G:G,$A97,Assessments!B:B,"&gt;="&amp;$B$4,Assessments!B:B,"&lt;="&amp;$B$5))</f>
        <v/>
      </c>
      <c r="H97">
        <f>IF($D97=0,"",MINIFS(Assessments!J:J,Assessments!G:G,$A97,Assessments!B:B,"&gt;="&amp;$B$4,Assessments!B:B,"&lt;="&amp;$B$5))</f>
        <v/>
      </c>
    </row>
    <row r="98">
      <c r="A98">
        <f>IF(Students!A92="","",Students!A92)</f>
        <v/>
      </c>
      <c r="B98">
        <f>IF($A98="","",Students!B92)</f>
        <v/>
      </c>
      <c r="C98">
        <f>IF($A98="","",Students!C92)</f>
        <v/>
      </c>
      <c r="D98">
        <f>IF($A98="","",COUNTIFS(Assessments!G:G,$A98,Assessments!B:B,"&gt;="&amp;$B$4,Assessments!B:B,"&lt;="&amp;$B$5))</f>
        <v/>
      </c>
      <c r="E98">
        <f>IF($D98=0,"",ROUND(AVERAGEIFS(Assessments!J:J,Assessments!G:G,$A98,Assessments!B:B,"&gt;="&amp;$B$4,Assessments!B:B,"&lt;="&amp;$B$5),0))</f>
        <v/>
      </c>
      <c r="F98">
        <f>IF($D98=0,"",IFERROR(AVERAGEIFS(Assessments!J:J,Assessments!G:G,$A98,Assessments!B:B,$B$5),0)-IFERROR(AVERAGEIFS(Assessments!J:J,Assessments!G:G,$A98,Assessments!B:B,$B$4),0))</f>
        <v/>
      </c>
      <c r="G98">
        <f>IF($D98=0,"",MAXIFS(Assessments!J:J,Assessments!G:G,$A98,Assessments!B:B,"&gt;="&amp;$B$4,Assessments!B:B,"&lt;="&amp;$B$5))</f>
        <v/>
      </c>
      <c r="H98">
        <f>IF($D98=0,"",MINIFS(Assessments!J:J,Assessments!G:G,$A98,Assessments!B:B,"&gt;="&amp;$B$4,Assessments!B:B,"&lt;="&amp;$B$5))</f>
        <v/>
      </c>
    </row>
    <row r="99">
      <c r="A99">
        <f>IF(Students!A93="","",Students!A93)</f>
        <v/>
      </c>
      <c r="B99">
        <f>IF($A99="","",Students!B93)</f>
        <v/>
      </c>
      <c r="C99">
        <f>IF($A99="","",Students!C93)</f>
        <v/>
      </c>
      <c r="D99">
        <f>IF($A99="","",COUNTIFS(Assessments!G:G,$A99,Assessments!B:B,"&gt;="&amp;$B$4,Assessments!B:B,"&lt;="&amp;$B$5))</f>
        <v/>
      </c>
      <c r="E99">
        <f>IF($D99=0,"",ROUND(AVERAGEIFS(Assessments!J:J,Assessments!G:G,$A99,Assessments!B:B,"&gt;="&amp;$B$4,Assessments!B:B,"&lt;="&amp;$B$5),0))</f>
        <v/>
      </c>
      <c r="F99">
        <f>IF($D99=0,"",IFERROR(AVERAGEIFS(Assessments!J:J,Assessments!G:G,$A99,Assessments!B:B,$B$5),0)-IFERROR(AVERAGEIFS(Assessments!J:J,Assessments!G:G,$A99,Assessments!B:B,$B$4),0))</f>
        <v/>
      </c>
      <c r="G99">
        <f>IF($D99=0,"",MAXIFS(Assessments!J:J,Assessments!G:G,$A99,Assessments!B:B,"&gt;="&amp;$B$4,Assessments!B:B,"&lt;="&amp;$B$5))</f>
        <v/>
      </c>
      <c r="H99">
        <f>IF($D99=0,"",MINIFS(Assessments!J:J,Assessments!G:G,$A99,Assessments!B:B,"&gt;="&amp;$B$4,Assessments!B:B,"&lt;="&amp;$B$5))</f>
        <v/>
      </c>
    </row>
    <row r="100">
      <c r="A100">
        <f>IF(Students!A94="","",Students!A94)</f>
        <v/>
      </c>
      <c r="B100">
        <f>IF($A100="","",Students!B94)</f>
        <v/>
      </c>
      <c r="C100">
        <f>IF($A100="","",Students!C94)</f>
        <v/>
      </c>
      <c r="D100">
        <f>IF($A100="","",COUNTIFS(Assessments!G:G,$A100,Assessments!B:B,"&gt;="&amp;$B$4,Assessments!B:B,"&lt;="&amp;$B$5))</f>
        <v/>
      </c>
      <c r="E100">
        <f>IF($D100=0,"",ROUND(AVERAGEIFS(Assessments!J:J,Assessments!G:G,$A100,Assessments!B:B,"&gt;="&amp;$B$4,Assessments!B:B,"&lt;="&amp;$B$5),0))</f>
        <v/>
      </c>
      <c r="F100">
        <f>IF($D100=0,"",IFERROR(AVERAGEIFS(Assessments!J:J,Assessments!G:G,$A100,Assessments!B:B,$B$5),0)-IFERROR(AVERAGEIFS(Assessments!J:J,Assessments!G:G,$A100,Assessments!B:B,$B$4),0))</f>
        <v/>
      </c>
      <c r="G100">
        <f>IF($D100=0,"",MAXIFS(Assessments!J:J,Assessments!G:G,$A100,Assessments!B:B,"&gt;="&amp;$B$4,Assessments!B:B,"&lt;="&amp;$B$5))</f>
        <v/>
      </c>
      <c r="H100">
        <f>IF($D100=0,"",MINIFS(Assessments!J:J,Assessments!G:G,$A100,Assessments!B:B,"&gt;="&amp;$B$4,Assessments!B:B,"&lt;="&amp;$B$5))</f>
        <v/>
      </c>
    </row>
    <row r="101">
      <c r="A101">
        <f>IF(Students!A95="","",Students!A95)</f>
        <v/>
      </c>
      <c r="B101">
        <f>IF($A101="","",Students!B95)</f>
        <v/>
      </c>
      <c r="C101">
        <f>IF($A101="","",Students!C95)</f>
        <v/>
      </c>
      <c r="D101">
        <f>IF($A101="","",COUNTIFS(Assessments!G:G,$A101,Assessments!B:B,"&gt;="&amp;$B$4,Assessments!B:B,"&lt;="&amp;$B$5))</f>
        <v/>
      </c>
      <c r="E101">
        <f>IF($D101=0,"",ROUND(AVERAGEIFS(Assessments!J:J,Assessments!G:G,$A101,Assessments!B:B,"&gt;="&amp;$B$4,Assessments!B:B,"&lt;="&amp;$B$5),0))</f>
        <v/>
      </c>
      <c r="F101">
        <f>IF($D101=0,"",IFERROR(AVERAGEIFS(Assessments!J:J,Assessments!G:G,$A101,Assessments!B:B,$B$5),0)-IFERROR(AVERAGEIFS(Assessments!J:J,Assessments!G:G,$A101,Assessments!B:B,$B$4),0))</f>
        <v/>
      </c>
      <c r="G101">
        <f>IF($D101=0,"",MAXIFS(Assessments!J:J,Assessments!G:G,$A101,Assessments!B:B,"&gt;="&amp;$B$4,Assessments!B:B,"&lt;="&amp;$B$5))</f>
        <v/>
      </c>
      <c r="H101">
        <f>IF($D101=0,"",MINIFS(Assessments!J:J,Assessments!G:G,$A101,Assessments!B:B,"&gt;="&amp;$B$4,Assessments!B:B,"&lt;="&amp;$B$5))</f>
        <v/>
      </c>
    </row>
    <row r="102">
      <c r="A102">
        <f>IF(Students!A96="","",Students!A96)</f>
        <v/>
      </c>
      <c r="B102">
        <f>IF($A102="","",Students!B96)</f>
        <v/>
      </c>
      <c r="C102">
        <f>IF($A102="","",Students!C96)</f>
        <v/>
      </c>
      <c r="D102">
        <f>IF($A102="","",COUNTIFS(Assessments!G:G,$A102,Assessments!B:B,"&gt;="&amp;$B$4,Assessments!B:B,"&lt;="&amp;$B$5))</f>
        <v/>
      </c>
      <c r="E102">
        <f>IF($D102=0,"",ROUND(AVERAGEIFS(Assessments!J:J,Assessments!G:G,$A102,Assessments!B:B,"&gt;="&amp;$B$4,Assessments!B:B,"&lt;="&amp;$B$5),0))</f>
        <v/>
      </c>
      <c r="F102">
        <f>IF($D102=0,"",IFERROR(AVERAGEIFS(Assessments!J:J,Assessments!G:G,$A102,Assessments!B:B,$B$5),0)-IFERROR(AVERAGEIFS(Assessments!J:J,Assessments!G:G,$A102,Assessments!B:B,$B$4),0))</f>
        <v/>
      </c>
      <c r="G102">
        <f>IF($D102=0,"",MAXIFS(Assessments!J:J,Assessments!G:G,$A102,Assessments!B:B,"&gt;="&amp;$B$4,Assessments!B:B,"&lt;="&amp;$B$5))</f>
        <v/>
      </c>
      <c r="H102">
        <f>IF($D102=0,"",MINIFS(Assessments!J:J,Assessments!G:G,$A102,Assessments!B:B,"&gt;="&amp;$B$4,Assessments!B:B,"&lt;="&amp;$B$5))</f>
        <v/>
      </c>
    </row>
    <row r="103">
      <c r="A103">
        <f>IF(Students!A97="","",Students!A97)</f>
        <v/>
      </c>
      <c r="B103">
        <f>IF($A103="","",Students!B97)</f>
        <v/>
      </c>
      <c r="C103">
        <f>IF($A103="","",Students!C97)</f>
        <v/>
      </c>
      <c r="D103">
        <f>IF($A103="","",COUNTIFS(Assessments!G:G,$A103,Assessments!B:B,"&gt;="&amp;$B$4,Assessments!B:B,"&lt;="&amp;$B$5))</f>
        <v/>
      </c>
      <c r="E103">
        <f>IF($D103=0,"",ROUND(AVERAGEIFS(Assessments!J:J,Assessments!G:G,$A103,Assessments!B:B,"&gt;="&amp;$B$4,Assessments!B:B,"&lt;="&amp;$B$5),0))</f>
        <v/>
      </c>
      <c r="F103">
        <f>IF($D103=0,"",IFERROR(AVERAGEIFS(Assessments!J:J,Assessments!G:G,$A103,Assessments!B:B,$B$5),0)-IFERROR(AVERAGEIFS(Assessments!J:J,Assessments!G:G,$A103,Assessments!B:B,$B$4),0))</f>
        <v/>
      </c>
      <c r="G103">
        <f>IF($D103=0,"",MAXIFS(Assessments!J:J,Assessments!G:G,$A103,Assessments!B:B,"&gt;="&amp;$B$4,Assessments!B:B,"&lt;="&amp;$B$5))</f>
        <v/>
      </c>
      <c r="H103">
        <f>IF($D103=0,"",MINIFS(Assessments!J:J,Assessments!G:G,$A103,Assessments!B:B,"&gt;="&amp;$B$4,Assessments!B:B,"&lt;="&amp;$B$5))</f>
        <v/>
      </c>
    </row>
    <row r="104">
      <c r="A104">
        <f>IF(Students!A98="","",Students!A98)</f>
        <v/>
      </c>
      <c r="B104">
        <f>IF($A104="","",Students!B98)</f>
        <v/>
      </c>
      <c r="C104">
        <f>IF($A104="","",Students!C98)</f>
        <v/>
      </c>
      <c r="D104">
        <f>IF($A104="","",COUNTIFS(Assessments!G:G,$A104,Assessments!B:B,"&gt;="&amp;$B$4,Assessments!B:B,"&lt;="&amp;$B$5))</f>
        <v/>
      </c>
      <c r="E104">
        <f>IF($D104=0,"",ROUND(AVERAGEIFS(Assessments!J:J,Assessments!G:G,$A104,Assessments!B:B,"&gt;="&amp;$B$4,Assessments!B:B,"&lt;="&amp;$B$5),0))</f>
        <v/>
      </c>
      <c r="F104">
        <f>IF($D104=0,"",IFERROR(AVERAGEIFS(Assessments!J:J,Assessments!G:G,$A104,Assessments!B:B,$B$5),0)-IFERROR(AVERAGEIFS(Assessments!J:J,Assessments!G:G,$A104,Assessments!B:B,$B$4),0))</f>
        <v/>
      </c>
      <c r="G104">
        <f>IF($D104=0,"",MAXIFS(Assessments!J:J,Assessments!G:G,$A104,Assessments!B:B,"&gt;="&amp;$B$4,Assessments!B:B,"&lt;="&amp;$B$5))</f>
        <v/>
      </c>
      <c r="H104">
        <f>IF($D104=0,"",MINIFS(Assessments!J:J,Assessments!G:G,$A104,Assessments!B:B,"&gt;="&amp;$B$4,Assessments!B:B,"&lt;="&amp;$B$5))</f>
        <v/>
      </c>
    </row>
    <row r="105">
      <c r="A105">
        <f>IF(Students!A99="","",Students!A99)</f>
        <v/>
      </c>
      <c r="B105">
        <f>IF($A105="","",Students!B99)</f>
        <v/>
      </c>
      <c r="C105">
        <f>IF($A105="","",Students!C99)</f>
        <v/>
      </c>
      <c r="D105">
        <f>IF($A105="","",COUNTIFS(Assessments!G:G,$A105,Assessments!B:B,"&gt;="&amp;$B$4,Assessments!B:B,"&lt;="&amp;$B$5))</f>
        <v/>
      </c>
      <c r="E105">
        <f>IF($D105=0,"",ROUND(AVERAGEIFS(Assessments!J:J,Assessments!G:G,$A105,Assessments!B:B,"&gt;="&amp;$B$4,Assessments!B:B,"&lt;="&amp;$B$5),0))</f>
        <v/>
      </c>
      <c r="F105">
        <f>IF($D105=0,"",IFERROR(AVERAGEIFS(Assessments!J:J,Assessments!G:G,$A105,Assessments!B:B,$B$5),0)-IFERROR(AVERAGEIFS(Assessments!J:J,Assessments!G:G,$A105,Assessments!B:B,$B$4),0))</f>
        <v/>
      </c>
      <c r="G105">
        <f>IF($D105=0,"",MAXIFS(Assessments!J:J,Assessments!G:G,$A105,Assessments!B:B,"&gt;="&amp;$B$4,Assessments!B:B,"&lt;="&amp;$B$5))</f>
        <v/>
      </c>
      <c r="H105">
        <f>IF($D105=0,"",MINIFS(Assessments!J:J,Assessments!G:G,$A105,Assessments!B:B,"&gt;="&amp;$B$4,Assessments!B:B,"&lt;="&amp;$B$5))</f>
        <v/>
      </c>
    </row>
    <row r="106">
      <c r="A106">
        <f>IF(Students!A100="","",Students!A100)</f>
        <v/>
      </c>
      <c r="B106">
        <f>IF($A106="","",Students!B100)</f>
        <v/>
      </c>
      <c r="C106">
        <f>IF($A106="","",Students!C100)</f>
        <v/>
      </c>
      <c r="D106">
        <f>IF($A106="","",COUNTIFS(Assessments!G:G,$A106,Assessments!B:B,"&gt;="&amp;$B$4,Assessments!B:B,"&lt;="&amp;$B$5))</f>
        <v/>
      </c>
      <c r="E106">
        <f>IF($D106=0,"",ROUND(AVERAGEIFS(Assessments!J:J,Assessments!G:G,$A106,Assessments!B:B,"&gt;="&amp;$B$4,Assessments!B:B,"&lt;="&amp;$B$5),0))</f>
        <v/>
      </c>
      <c r="F106">
        <f>IF($D106=0,"",IFERROR(AVERAGEIFS(Assessments!J:J,Assessments!G:G,$A106,Assessments!B:B,$B$5),0)-IFERROR(AVERAGEIFS(Assessments!J:J,Assessments!G:G,$A106,Assessments!B:B,$B$4),0))</f>
        <v/>
      </c>
      <c r="G106">
        <f>IF($D106=0,"",MAXIFS(Assessments!J:J,Assessments!G:G,$A106,Assessments!B:B,"&gt;="&amp;$B$4,Assessments!B:B,"&lt;="&amp;$B$5))</f>
        <v/>
      </c>
      <c r="H106">
        <f>IF($D106=0,"",MINIFS(Assessments!J:J,Assessments!G:G,$A106,Assessments!B:B,"&gt;="&amp;$B$4,Assessments!B:B,"&lt;="&amp;$B$5))</f>
        <v/>
      </c>
    </row>
    <row r="107">
      <c r="A107">
        <f>IF(Students!A101="","",Students!A101)</f>
        <v/>
      </c>
      <c r="B107">
        <f>IF($A107="","",Students!B101)</f>
        <v/>
      </c>
      <c r="C107">
        <f>IF($A107="","",Students!C101)</f>
        <v/>
      </c>
      <c r="D107">
        <f>IF($A107="","",COUNTIFS(Assessments!G:G,$A107,Assessments!B:B,"&gt;="&amp;$B$4,Assessments!B:B,"&lt;="&amp;$B$5))</f>
        <v/>
      </c>
      <c r="E107">
        <f>IF($D107=0,"",ROUND(AVERAGEIFS(Assessments!J:J,Assessments!G:G,$A107,Assessments!B:B,"&gt;="&amp;$B$4,Assessments!B:B,"&lt;="&amp;$B$5),0))</f>
        <v/>
      </c>
      <c r="F107">
        <f>IF($D107=0,"",IFERROR(AVERAGEIFS(Assessments!J:J,Assessments!G:G,$A107,Assessments!B:B,$B$5),0)-IFERROR(AVERAGEIFS(Assessments!J:J,Assessments!G:G,$A107,Assessments!B:B,$B$4),0))</f>
        <v/>
      </c>
      <c r="G107">
        <f>IF($D107=0,"",MAXIFS(Assessments!J:J,Assessments!G:G,$A107,Assessments!B:B,"&gt;="&amp;$B$4,Assessments!B:B,"&lt;="&amp;$B$5))</f>
        <v/>
      </c>
      <c r="H107">
        <f>IF($D107=0,"",MINIFS(Assessments!J:J,Assessments!G:G,$A107,Assessments!B:B,"&gt;="&amp;$B$4,Assessments!B:B,"&lt;="&amp;$B$5))</f>
        <v/>
      </c>
    </row>
    <row r="108">
      <c r="A108">
        <f>IF(Students!A102="","",Students!A102)</f>
        <v/>
      </c>
      <c r="B108">
        <f>IF($A108="","",Students!B102)</f>
        <v/>
      </c>
      <c r="C108">
        <f>IF($A108="","",Students!C102)</f>
        <v/>
      </c>
      <c r="D108">
        <f>IF($A108="","",COUNTIFS(Assessments!G:G,$A108,Assessments!B:B,"&gt;="&amp;$B$4,Assessments!B:B,"&lt;="&amp;$B$5))</f>
        <v/>
      </c>
      <c r="E108">
        <f>IF($D108=0,"",ROUND(AVERAGEIFS(Assessments!J:J,Assessments!G:G,$A108,Assessments!B:B,"&gt;="&amp;$B$4,Assessments!B:B,"&lt;="&amp;$B$5),0))</f>
        <v/>
      </c>
      <c r="F108">
        <f>IF($D108=0,"",IFERROR(AVERAGEIFS(Assessments!J:J,Assessments!G:G,$A108,Assessments!B:B,$B$5),0)-IFERROR(AVERAGEIFS(Assessments!J:J,Assessments!G:G,$A108,Assessments!B:B,$B$4),0))</f>
        <v/>
      </c>
      <c r="G108">
        <f>IF($D108=0,"",MAXIFS(Assessments!J:J,Assessments!G:G,$A108,Assessments!B:B,"&gt;="&amp;$B$4,Assessments!B:B,"&lt;="&amp;$B$5))</f>
        <v/>
      </c>
      <c r="H108">
        <f>IF($D108=0,"",MINIFS(Assessments!J:J,Assessments!G:G,$A108,Assessments!B:B,"&gt;="&amp;$B$4,Assessments!B:B,"&lt;="&amp;$B$5))</f>
        <v/>
      </c>
    </row>
    <row r="109">
      <c r="A109">
        <f>IF(Students!A103="","",Students!A103)</f>
        <v/>
      </c>
      <c r="B109">
        <f>IF($A109="","",Students!B103)</f>
        <v/>
      </c>
      <c r="C109">
        <f>IF($A109="","",Students!C103)</f>
        <v/>
      </c>
      <c r="D109">
        <f>IF($A109="","",COUNTIFS(Assessments!G:G,$A109,Assessments!B:B,"&gt;="&amp;$B$4,Assessments!B:B,"&lt;="&amp;$B$5))</f>
        <v/>
      </c>
      <c r="E109">
        <f>IF($D109=0,"",ROUND(AVERAGEIFS(Assessments!J:J,Assessments!G:G,$A109,Assessments!B:B,"&gt;="&amp;$B$4,Assessments!B:B,"&lt;="&amp;$B$5),0))</f>
        <v/>
      </c>
      <c r="F109">
        <f>IF($D109=0,"",IFERROR(AVERAGEIFS(Assessments!J:J,Assessments!G:G,$A109,Assessments!B:B,$B$5),0)-IFERROR(AVERAGEIFS(Assessments!J:J,Assessments!G:G,$A109,Assessments!B:B,$B$4),0))</f>
        <v/>
      </c>
      <c r="G109">
        <f>IF($D109=0,"",MAXIFS(Assessments!J:J,Assessments!G:G,$A109,Assessments!B:B,"&gt;="&amp;$B$4,Assessments!B:B,"&lt;="&amp;$B$5))</f>
        <v/>
      </c>
      <c r="H109">
        <f>IF($D109=0,"",MINIFS(Assessments!J:J,Assessments!G:G,$A109,Assessments!B:B,"&gt;="&amp;$B$4,Assessments!B:B,"&lt;="&amp;$B$5))</f>
        <v/>
      </c>
    </row>
    <row r="110">
      <c r="A110">
        <f>IF(Students!A104="","",Students!A104)</f>
        <v/>
      </c>
      <c r="B110">
        <f>IF($A110="","",Students!B104)</f>
        <v/>
      </c>
      <c r="C110">
        <f>IF($A110="","",Students!C104)</f>
        <v/>
      </c>
      <c r="D110">
        <f>IF($A110="","",COUNTIFS(Assessments!G:G,$A110,Assessments!B:B,"&gt;="&amp;$B$4,Assessments!B:B,"&lt;="&amp;$B$5))</f>
        <v/>
      </c>
      <c r="E110">
        <f>IF($D110=0,"",ROUND(AVERAGEIFS(Assessments!J:J,Assessments!G:G,$A110,Assessments!B:B,"&gt;="&amp;$B$4,Assessments!B:B,"&lt;="&amp;$B$5),0))</f>
        <v/>
      </c>
      <c r="F110">
        <f>IF($D110=0,"",IFERROR(AVERAGEIFS(Assessments!J:J,Assessments!G:G,$A110,Assessments!B:B,$B$5),0)-IFERROR(AVERAGEIFS(Assessments!J:J,Assessments!G:G,$A110,Assessments!B:B,$B$4),0))</f>
        <v/>
      </c>
      <c r="G110">
        <f>IF($D110=0,"",MAXIFS(Assessments!J:J,Assessments!G:G,$A110,Assessments!B:B,"&gt;="&amp;$B$4,Assessments!B:B,"&lt;="&amp;$B$5))</f>
        <v/>
      </c>
      <c r="H110">
        <f>IF($D110=0,"",MINIFS(Assessments!J:J,Assessments!G:G,$A110,Assessments!B:B,"&gt;="&amp;$B$4,Assessments!B:B,"&lt;="&amp;$B$5))</f>
        <v/>
      </c>
    </row>
    <row r="111">
      <c r="A111">
        <f>IF(Students!A105="","",Students!A105)</f>
        <v/>
      </c>
      <c r="B111">
        <f>IF($A111="","",Students!B105)</f>
        <v/>
      </c>
      <c r="C111">
        <f>IF($A111="","",Students!C105)</f>
        <v/>
      </c>
      <c r="D111">
        <f>IF($A111="","",COUNTIFS(Assessments!G:G,$A111,Assessments!B:B,"&gt;="&amp;$B$4,Assessments!B:B,"&lt;="&amp;$B$5))</f>
        <v/>
      </c>
      <c r="E111">
        <f>IF($D111=0,"",ROUND(AVERAGEIFS(Assessments!J:J,Assessments!G:G,$A111,Assessments!B:B,"&gt;="&amp;$B$4,Assessments!B:B,"&lt;="&amp;$B$5),0))</f>
        <v/>
      </c>
      <c r="F111">
        <f>IF($D111=0,"",IFERROR(AVERAGEIFS(Assessments!J:J,Assessments!G:G,$A111,Assessments!B:B,$B$5),0)-IFERROR(AVERAGEIFS(Assessments!J:J,Assessments!G:G,$A111,Assessments!B:B,$B$4),0))</f>
        <v/>
      </c>
      <c r="G111">
        <f>IF($D111=0,"",MAXIFS(Assessments!J:J,Assessments!G:G,$A111,Assessments!B:B,"&gt;="&amp;$B$4,Assessments!B:B,"&lt;="&amp;$B$5))</f>
        <v/>
      </c>
      <c r="H111">
        <f>IF($D111=0,"",MINIFS(Assessments!J:J,Assessments!G:G,$A111,Assessments!B:B,"&gt;="&amp;$B$4,Assessments!B:B,"&lt;="&amp;$B$5))</f>
        <v/>
      </c>
    </row>
    <row r="112">
      <c r="A112">
        <f>IF(Students!A106="","",Students!A106)</f>
        <v/>
      </c>
      <c r="B112">
        <f>IF($A112="","",Students!B106)</f>
        <v/>
      </c>
      <c r="C112">
        <f>IF($A112="","",Students!C106)</f>
        <v/>
      </c>
      <c r="D112">
        <f>IF($A112="","",COUNTIFS(Assessments!G:G,$A112,Assessments!B:B,"&gt;="&amp;$B$4,Assessments!B:B,"&lt;="&amp;$B$5))</f>
        <v/>
      </c>
      <c r="E112">
        <f>IF($D112=0,"",ROUND(AVERAGEIFS(Assessments!J:J,Assessments!G:G,$A112,Assessments!B:B,"&gt;="&amp;$B$4,Assessments!B:B,"&lt;="&amp;$B$5),0))</f>
        <v/>
      </c>
      <c r="F112">
        <f>IF($D112=0,"",IFERROR(AVERAGEIFS(Assessments!J:J,Assessments!G:G,$A112,Assessments!B:B,$B$5),0)-IFERROR(AVERAGEIFS(Assessments!J:J,Assessments!G:G,$A112,Assessments!B:B,$B$4),0))</f>
        <v/>
      </c>
      <c r="G112">
        <f>IF($D112=0,"",MAXIFS(Assessments!J:J,Assessments!G:G,$A112,Assessments!B:B,"&gt;="&amp;$B$4,Assessments!B:B,"&lt;="&amp;$B$5))</f>
        <v/>
      </c>
      <c r="H112">
        <f>IF($D112=0,"",MINIFS(Assessments!J:J,Assessments!G:G,$A112,Assessments!B:B,"&gt;="&amp;$B$4,Assessments!B:B,"&lt;="&amp;$B$5))</f>
        <v/>
      </c>
    </row>
    <row r="113">
      <c r="A113">
        <f>IF(Students!A107="","",Students!A107)</f>
        <v/>
      </c>
      <c r="B113">
        <f>IF($A113="","",Students!B107)</f>
        <v/>
      </c>
      <c r="C113">
        <f>IF($A113="","",Students!C107)</f>
        <v/>
      </c>
      <c r="D113">
        <f>IF($A113="","",COUNTIFS(Assessments!G:G,$A113,Assessments!B:B,"&gt;="&amp;$B$4,Assessments!B:B,"&lt;="&amp;$B$5))</f>
        <v/>
      </c>
      <c r="E113">
        <f>IF($D113=0,"",ROUND(AVERAGEIFS(Assessments!J:J,Assessments!G:G,$A113,Assessments!B:B,"&gt;="&amp;$B$4,Assessments!B:B,"&lt;="&amp;$B$5),0))</f>
        <v/>
      </c>
      <c r="F113">
        <f>IF($D113=0,"",IFERROR(AVERAGEIFS(Assessments!J:J,Assessments!G:G,$A113,Assessments!B:B,$B$5),0)-IFERROR(AVERAGEIFS(Assessments!J:J,Assessments!G:G,$A113,Assessments!B:B,$B$4),0))</f>
        <v/>
      </c>
      <c r="G113">
        <f>IF($D113=0,"",MAXIFS(Assessments!J:J,Assessments!G:G,$A113,Assessments!B:B,"&gt;="&amp;$B$4,Assessments!B:B,"&lt;="&amp;$B$5))</f>
        <v/>
      </c>
      <c r="H113">
        <f>IF($D113=0,"",MINIFS(Assessments!J:J,Assessments!G:G,$A113,Assessments!B:B,"&gt;="&amp;$B$4,Assessments!B:B,"&lt;="&amp;$B$5))</f>
        <v/>
      </c>
    </row>
    <row r="114">
      <c r="A114">
        <f>IF(Students!A108="","",Students!A108)</f>
        <v/>
      </c>
      <c r="B114">
        <f>IF($A114="","",Students!B108)</f>
        <v/>
      </c>
      <c r="C114">
        <f>IF($A114="","",Students!C108)</f>
        <v/>
      </c>
      <c r="D114">
        <f>IF($A114="","",COUNTIFS(Assessments!G:G,$A114,Assessments!B:B,"&gt;="&amp;$B$4,Assessments!B:B,"&lt;="&amp;$B$5))</f>
        <v/>
      </c>
      <c r="E114">
        <f>IF($D114=0,"",ROUND(AVERAGEIFS(Assessments!J:J,Assessments!G:G,$A114,Assessments!B:B,"&gt;="&amp;$B$4,Assessments!B:B,"&lt;="&amp;$B$5),0))</f>
        <v/>
      </c>
      <c r="F114">
        <f>IF($D114=0,"",IFERROR(AVERAGEIFS(Assessments!J:J,Assessments!G:G,$A114,Assessments!B:B,$B$5),0)-IFERROR(AVERAGEIFS(Assessments!J:J,Assessments!G:G,$A114,Assessments!B:B,$B$4),0))</f>
        <v/>
      </c>
      <c r="G114">
        <f>IF($D114=0,"",MAXIFS(Assessments!J:J,Assessments!G:G,$A114,Assessments!B:B,"&gt;="&amp;$B$4,Assessments!B:B,"&lt;="&amp;$B$5))</f>
        <v/>
      </c>
      <c r="H114">
        <f>IF($D114=0,"",MINIFS(Assessments!J:J,Assessments!G:G,$A114,Assessments!B:B,"&gt;="&amp;$B$4,Assessments!B:B,"&lt;="&amp;$B$5))</f>
        <v/>
      </c>
    </row>
    <row r="115">
      <c r="A115">
        <f>IF(Students!A109="","",Students!A109)</f>
        <v/>
      </c>
      <c r="B115">
        <f>IF($A115="","",Students!B109)</f>
        <v/>
      </c>
      <c r="C115">
        <f>IF($A115="","",Students!C109)</f>
        <v/>
      </c>
      <c r="D115">
        <f>IF($A115="","",COUNTIFS(Assessments!G:G,$A115,Assessments!B:B,"&gt;="&amp;$B$4,Assessments!B:B,"&lt;="&amp;$B$5))</f>
        <v/>
      </c>
      <c r="E115">
        <f>IF($D115=0,"",ROUND(AVERAGEIFS(Assessments!J:J,Assessments!G:G,$A115,Assessments!B:B,"&gt;="&amp;$B$4,Assessments!B:B,"&lt;="&amp;$B$5),0))</f>
        <v/>
      </c>
      <c r="F115">
        <f>IF($D115=0,"",IFERROR(AVERAGEIFS(Assessments!J:J,Assessments!G:G,$A115,Assessments!B:B,$B$5),0)-IFERROR(AVERAGEIFS(Assessments!J:J,Assessments!G:G,$A115,Assessments!B:B,$B$4),0))</f>
        <v/>
      </c>
      <c r="G115">
        <f>IF($D115=0,"",MAXIFS(Assessments!J:J,Assessments!G:G,$A115,Assessments!B:B,"&gt;="&amp;$B$4,Assessments!B:B,"&lt;="&amp;$B$5))</f>
        <v/>
      </c>
      <c r="H115">
        <f>IF($D115=0,"",MINIFS(Assessments!J:J,Assessments!G:G,$A115,Assessments!B:B,"&gt;="&amp;$B$4,Assessments!B:B,"&lt;="&amp;$B$5))</f>
        <v/>
      </c>
    </row>
    <row r="116">
      <c r="A116">
        <f>IF(Students!A110="","",Students!A110)</f>
        <v/>
      </c>
      <c r="B116">
        <f>IF($A116="","",Students!B110)</f>
        <v/>
      </c>
      <c r="C116">
        <f>IF($A116="","",Students!C110)</f>
        <v/>
      </c>
      <c r="D116">
        <f>IF($A116="","",COUNTIFS(Assessments!G:G,$A116,Assessments!B:B,"&gt;="&amp;$B$4,Assessments!B:B,"&lt;="&amp;$B$5))</f>
        <v/>
      </c>
      <c r="E116">
        <f>IF($D116=0,"",ROUND(AVERAGEIFS(Assessments!J:J,Assessments!G:G,$A116,Assessments!B:B,"&gt;="&amp;$B$4,Assessments!B:B,"&lt;="&amp;$B$5),0))</f>
        <v/>
      </c>
      <c r="F116">
        <f>IF($D116=0,"",IFERROR(AVERAGEIFS(Assessments!J:J,Assessments!G:G,$A116,Assessments!B:B,$B$5),0)-IFERROR(AVERAGEIFS(Assessments!J:J,Assessments!G:G,$A116,Assessments!B:B,$B$4),0))</f>
        <v/>
      </c>
      <c r="G116">
        <f>IF($D116=0,"",MAXIFS(Assessments!J:J,Assessments!G:G,$A116,Assessments!B:B,"&gt;="&amp;$B$4,Assessments!B:B,"&lt;="&amp;$B$5))</f>
        <v/>
      </c>
      <c r="H116">
        <f>IF($D116=0,"",MINIFS(Assessments!J:J,Assessments!G:G,$A116,Assessments!B:B,"&gt;="&amp;$B$4,Assessments!B:B,"&lt;="&amp;$B$5))</f>
        <v/>
      </c>
    </row>
    <row r="117">
      <c r="A117">
        <f>IF(Students!A111="","",Students!A111)</f>
        <v/>
      </c>
      <c r="B117">
        <f>IF($A117="","",Students!B111)</f>
        <v/>
      </c>
      <c r="C117">
        <f>IF($A117="","",Students!C111)</f>
        <v/>
      </c>
      <c r="D117">
        <f>IF($A117="","",COUNTIFS(Assessments!G:G,$A117,Assessments!B:B,"&gt;="&amp;$B$4,Assessments!B:B,"&lt;="&amp;$B$5))</f>
        <v/>
      </c>
      <c r="E117">
        <f>IF($D117=0,"",ROUND(AVERAGEIFS(Assessments!J:J,Assessments!G:G,$A117,Assessments!B:B,"&gt;="&amp;$B$4,Assessments!B:B,"&lt;="&amp;$B$5),0))</f>
        <v/>
      </c>
      <c r="F117">
        <f>IF($D117=0,"",IFERROR(AVERAGEIFS(Assessments!J:J,Assessments!G:G,$A117,Assessments!B:B,$B$5),0)-IFERROR(AVERAGEIFS(Assessments!J:J,Assessments!G:G,$A117,Assessments!B:B,$B$4),0))</f>
        <v/>
      </c>
      <c r="G117">
        <f>IF($D117=0,"",MAXIFS(Assessments!J:J,Assessments!G:G,$A117,Assessments!B:B,"&gt;="&amp;$B$4,Assessments!B:B,"&lt;="&amp;$B$5))</f>
        <v/>
      </c>
      <c r="H117">
        <f>IF($D117=0,"",MINIFS(Assessments!J:J,Assessments!G:G,$A117,Assessments!B:B,"&gt;="&amp;$B$4,Assessments!B:B,"&lt;="&amp;$B$5))</f>
        <v/>
      </c>
    </row>
    <row r="118">
      <c r="A118">
        <f>IF(Students!A112="","",Students!A112)</f>
        <v/>
      </c>
      <c r="B118">
        <f>IF($A118="","",Students!B112)</f>
        <v/>
      </c>
      <c r="C118">
        <f>IF($A118="","",Students!C112)</f>
        <v/>
      </c>
      <c r="D118">
        <f>IF($A118="","",COUNTIFS(Assessments!G:G,$A118,Assessments!B:B,"&gt;="&amp;$B$4,Assessments!B:B,"&lt;="&amp;$B$5))</f>
        <v/>
      </c>
      <c r="E118">
        <f>IF($D118=0,"",ROUND(AVERAGEIFS(Assessments!J:J,Assessments!G:G,$A118,Assessments!B:B,"&gt;="&amp;$B$4,Assessments!B:B,"&lt;="&amp;$B$5),0))</f>
        <v/>
      </c>
      <c r="F118">
        <f>IF($D118=0,"",IFERROR(AVERAGEIFS(Assessments!J:J,Assessments!G:G,$A118,Assessments!B:B,$B$5),0)-IFERROR(AVERAGEIFS(Assessments!J:J,Assessments!G:G,$A118,Assessments!B:B,$B$4),0))</f>
        <v/>
      </c>
      <c r="G118">
        <f>IF($D118=0,"",MAXIFS(Assessments!J:J,Assessments!G:G,$A118,Assessments!B:B,"&gt;="&amp;$B$4,Assessments!B:B,"&lt;="&amp;$B$5))</f>
        <v/>
      </c>
      <c r="H118">
        <f>IF($D118=0,"",MINIFS(Assessments!J:J,Assessments!G:G,$A118,Assessments!B:B,"&gt;="&amp;$B$4,Assessments!B:B,"&lt;="&amp;$B$5))</f>
        <v/>
      </c>
    </row>
    <row r="119">
      <c r="A119">
        <f>IF(Students!A113="","",Students!A113)</f>
        <v/>
      </c>
      <c r="B119">
        <f>IF($A119="","",Students!B113)</f>
        <v/>
      </c>
      <c r="C119">
        <f>IF($A119="","",Students!C113)</f>
        <v/>
      </c>
      <c r="D119">
        <f>IF($A119="","",COUNTIFS(Assessments!G:G,$A119,Assessments!B:B,"&gt;="&amp;$B$4,Assessments!B:B,"&lt;="&amp;$B$5))</f>
        <v/>
      </c>
      <c r="E119">
        <f>IF($D119=0,"",ROUND(AVERAGEIFS(Assessments!J:J,Assessments!G:G,$A119,Assessments!B:B,"&gt;="&amp;$B$4,Assessments!B:B,"&lt;="&amp;$B$5),0))</f>
        <v/>
      </c>
      <c r="F119">
        <f>IF($D119=0,"",IFERROR(AVERAGEIFS(Assessments!J:J,Assessments!G:G,$A119,Assessments!B:B,$B$5),0)-IFERROR(AVERAGEIFS(Assessments!J:J,Assessments!G:G,$A119,Assessments!B:B,$B$4),0))</f>
        <v/>
      </c>
      <c r="G119">
        <f>IF($D119=0,"",MAXIFS(Assessments!J:J,Assessments!G:G,$A119,Assessments!B:B,"&gt;="&amp;$B$4,Assessments!B:B,"&lt;="&amp;$B$5))</f>
        <v/>
      </c>
      <c r="H119">
        <f>IF($D119=0,"",MINIFS(Assessments!J:J,Assessments!G:G,$A119,Assessments!B:B,"&gt;="&amp;$B$4,Assessments!B:B,"&lt;="&amp;$B$5))</f>
        <v/>
      </c>
    </row>
    <row r="120">
      <c r="A120">
        <f>IF(Students!A114="","",Students!A114)</f>
        <v/>
      </c>
      <c r="B120">
        <f>IF($A120="","",Students!B114)</f>
        <v/>
      </c>
      <c r="C120">
        <f>IF($A120="","",Students!C114)</f>
        <v/>
      </c>
      <c r="D120">
        <f>IF($A120="","",COUNTIFS(Assessments!G:G,$A120,Assessments!B:B,"&gt;="&amp;$B$4,Assessments!B:B,"&lt;="&amp;$B$5))</f>
        <v/>
      </c>
      <c r="E120">
        <f>IF($D120=0,"",ROUND(AVERAGEIFS(Assessments!J:J,Assessments!G:G,$A120,Assessments!B:B,"&gt;="&amp;$B$4,Assessments!B:B,"&lt;="&amp;$B$5),0))</f>
        <v/>
      </c>
      <c r="F120">
        <f>IF($D120=0,"",IFERROR(AVERAGEIFS(Assessments!J:J,Assessments!G:G,$A120,Assessments!B:B,$B$5),0)-IFERROR(AVERAGEIFS(Assessments!J:J,Assessments!G:G,$A120,Assessments!B:B,$B$4),0))</f>
        <v/>
      </c>
      <c r="G120">
        <f>IF($D120=0,"",MAXIFS(Assessments!J:J,Assessments!G:G,$A120,Assessments!B:B,"&gt;="&amp;$B$4,Assessments!B:B,"&lt;="&amp;$B$5))</f>
        <v/>
      </c>
      <c r="H120">
        <f>IF($D120=0,"",MINIFS(Assessments!J:J,Assessments!G:G,$A120,Assessments!B:B,"&gt;="&amp;$B$4,Assessments!B:B,"&lt;="&amp;$B$5))</f>
        <v/>
      </c>
    </row>
    <row r="121">
      <c r="A121">
        <f>IF(Students!A115="","",Students!A115)</f>
        <v/>
      </c>
      <c r="B121">
        <f>IF($A121="","",Students!B115)</f>
        <v/>
      </c>
      <c r="C121">
        <f>IF($A121="","",Students!C115)</f>
        <v/>
      </c>
      <c r="D121">
        <f>IF($A121="","",COUNTIFS(Assessments!G:G,$A121,Assessments!B:B,"&gt;="&amp;$B$4,Assessments!B:B,"&lt;="&amp;$B$5))</f>
        <v/>
      </c>
      <c r="E121">
        <f>IF($D121=0,"",ROUND(AVERAGEIFS(Assessments!J:J,Assessments!G:G,$A121,Assessments!B:B,"&gt;="&amp;$B$4,Assessments!B:B,"&lt;="&amp;$B$5),0))</f>
        <v/>
      </c>
      <c r="F121">
        <f>IF($D121=0,"",IFERROR(AVERAGEIFS(Assessments!J:J,Assessments!G:G,$A121,Assessments!B:B,$B$5),0)-IFERROR(AVERAGEIFS(Assessments!J:J,Assessments!G:G,$A121,Assessments!B:B,$B$4),0))</f>
        <v/>
      </c>
      <c r="G121">
        <f>IF($D121=0,"",MAXIFS(Assessments!J:J,Assessments!G:G,$A121,Assessments!B:B,"&gt;="&amp;$B$4,Assessments!B:B,"&lt;="&amp;$B$5))</f>
        <v/>
      </c>
      <c r="H121">
        <f>IF($D121=0,"",MINIFS(Assessments!J:J,Assessments!G:G,$A121,Assessments!B:B,"&gt;="&amp;$B$4,Assessments!B:B,"&lt;="&amp;$B$5))</f>
        <v/>
      </c>
    </row>
    <row r="122">
      <c r="A122">
        <f>IF(Students!A116="","",Students!A116)</f>
        <v/>
      </c>
      <c r="B122">
        <f>IF($A122="","",Students!B116)</f>
        <v/>
      </c>
      <c r="C122">
        <f>IF($A122="","",Students!C116)</f>
        <v/>
      </c>
      <c r="D122">
        <f>IF($A122="","",COUNTIFS(Assessments!G:G,$A122,Assessments!B:B,"&gt;="&amp;$B$4,Assessments!B:B,"&lt;="&amp;$B$5))</f>
        <v/>
      </c>
      <c r="E122">
        <f>IF($D122=0,"",ROUND(AVERAGEIFS(Assessments!J:J,Assessments!G:G,$A122,Assessments!B:B,"&gt;="&amp;$B$4,Assessments!B:B,"&lt;="&amp;$B$5),0))</f>
        <v/>
      </c>
      <c r="F122">
        <f>IF($D122=0,"",IFERROR(AVERAGEIFS(Assessments!J:J,Assessments!G:G,$A122,Assessments!B:B,$B$5),0)-IFERROR(AVERAGEIFS(Assessments!J:J,Assessments!G:G,$A122,Assessments!B:B,$B$4),0))</f>
        <v/>
      </c>
      <c r="G122">
        <f>IF($D122=0,"",MAXIFS(Assessments!J:J,Assessments!G:G,$A122,Assessments!B:B,"&gt;="&amp;$B$4,Assessments!B:B,"&lt;="&amp;$B$5))</f>
        <v/>
      </c>
      <c r="H122">
        <f>IF($D122=0,"",MINIFS(Assessments!J:J,Assessments!G:G,$A122,Assessments!B:B,"&gt;="&amp;$B$4,Assessments!B:B,"&lt;="&amp;$B$5))</f>
        <v/>
      </c>
    </row>
    <row r="123">
      <c r="A123">
        <f>IF(Students!A117="","",Students!A117)</f>
        <v/>
      </c>
      <c r="B123">
        <f>IF($A123="","",Students!B117)</f>
        <v/>
      </c>
      <c r="C123">
        <f>IF($A123="","",Students!C117)</f>
        <v/>
      </c>
      <c r="D123">
        <f>IF($A123="","",COUNTIFS(Assessments!G:G,$A123,Assessments!B:B,"&gt;="&amp;$B$4,Assessments!B:B,"&lt;="&amp;$B$5))</f>
        <v/>
      </c>
      <c r="E123">
        <f>IF($D123=0,"",ROUND(AVERAGEIFS(Assessments!J:J,Assessments!G:G,$A123,Assessments!B:B,"&gt;="&amp;$B$4,Assessments!B:B,"&lt;="&amp;$B$5),0))</f>
        <v/>
      </c>
      <c r="F123">
        <f>IF($D123=0,"",IFERROR(AVERAGEIFS(Assessments!J:J,Assessments!G:G,$A123,Assessments!B:B,$B$5),0)-IFERROR(AVERAGEIFS(Assessments!J:J,Assessments!G:G,$A123,Assessments!B:B,$B$4),0))</f>
        <v/>
      </c>
      <c r="G123">
        <f>IF($D123=0,"",MAXIFS(Assessments!J:J,Assessments!G:G,$A123,Assessments!B:B,"&gt;="&amp;$B$4,Assessments!B:B,"&lt;="&amp;$B$5))</f>
        <v/>
      </c>
      <c r="H123">
        <f>IF($D123=0,"",MINIFS(Assessments!J:J,Assessments!G:G,$A123,Assessments!B:B,"&gt;="&amp;$B$4,Assessments!B:B,"&lt;="&amp;$B$5))</f>
        <v/>
      </c>
    </row>
    <row r="124">
      <c r="A124">
        <f>IF(Students!A118="","",Students!A118)</f>
        <v/>
      </c>
      <c r="B124">
        <f>IF($A124="","",Students!B118)</f>
        <v/>
      </c>
      <c r="C124">
        <f>IF($A124="","",Students!C118)</f>
        <v/>
      </c>
      <c r="D124">
        <f>IF($A124="","",COUNTIFS(Assessments!G:G,$A124,Assessments!B:B,"&gt;="&amp;$B$4,Assessments!B:B,"&lt;="&amp;$B$5))</f>
        <v/>
      </c>
      <c r="E124">
        <f>IF($D124=0,"",ROUND(AVERAGEIFS(Assessments!J:J,Assessments!G:G,$A124,Assessments!B:B,"&gt;="&amp;$B$4,Assessments!B:B,"&lt;="&amp;$B$5),0))</f>
        <v/>
      </c>
      <c r="F124">
        <f>IF($D124=0,"",IFERROR(AVERAGEIFS(Assessments!J:J,Assessments!G:G,$A124,Assessments!B:B,$B$5),0)-IFERROR(AVERAGEIFS(Assessments!J:J,Assessments!G:G,$A124,Assessments!B:B,$B$4),0))</f>
        <v/>
      </c>
      <c r="G124">
        <f>IF($D124=0,"",MAXIFS(Assessments!J:J,Assessments!G:G,$A124,Assessments!B:B,"&gt;="&amp;$B$4,Assessments!B:B,"&lt;="&amp;$B$5))</f>
        <v/>
      </c>
      <c r="H124">
        <f>IF($D124=0,"",MINIFS(Assessments!J:J,Assessments!G:G,$A124,Assessments!B:B,"&gt;="&amp;$B$4,Assessments!B:B,"&lt;="&amp;$B$5))</f>
        <v/>
      </c>
    </row>
    <row r="125">
      <c r="A125">
        <f>IF(Students!A119="","",Students!A119)</f>
        <v/>
      </c>
      <c r="B125">
        <f>IF($A125="","",Students!B119)</f>
        <v/>
      </c>
      <c r="C125">
        <f>IF($A125="","",Students!C119)</f>
        <v/>
      </c>
      <c r="D125">
        <f>IF($A125="","",COUNTIFS(Assessments!G:G,$A125,Assessments!B:B,"&gt;="&amp;$B$4,Assessments!B:B,"&lt;="&amp;$B$5))</f>
        <v/>
      </c>
      <c r="E125">
        <f>IF($D125=0,"",ROUND(AVERAGEIFS(Assessments!J:J,Assessments!G:G,$A125,Assessments!B:B,"&gt;="&amp;$B$4,Assessments!B:B,"&lt;="&amp;$B$5),0))</f>
        <v/>
      </c>
      <c r="F125">
        <f>IF($D125=0,"",IFERROR(AVERAGEIFS(Assessments!J:J,Assessments!G:G,$A125,Assessments!B:B,$B$5),0)-IFERROR(AVERAGEIFS(Assessments!J:J,Assessments!G:G,$A125,Assessments!B:B,$B$4),0))</f>
        <v/>
      </c>
      <c r="G125">
        <f>IF($D125=0,"",MAXIFS(Assessments!J:J,Assessments!G:G,$A125,Assessments!B:B,"&gt;="&amp;$B$4,Assessments!B:B,"&lt;="&amp;$B$5))</f>
        <v/>
      </c>
      <c r="H125">
        <f>IF($D125=0,"",MINIFS(Assessments!J:J,Assessments!G:G,$A125,Assessments!B:B,"&gt;="&amp;$B$4,Assessments!B:B,"&lt;="&amp;$B$5))</f>
        <v/>
      </c>
    </row>
    <row r="126">
      <c r="A126">
        <f>IF(Students!A120="","",Students!A120)</f>
        <v/>
      </c>
      <c r="B126">
        <f>IF($A126="","",Students!B120)</f>
        <v/>
      </c>
      <c r="C126">
        <f>IF($A126="","",Students!C120)</f>
        <v/>
      </c>
      <c r="D126">
        <f>IF($A126="","",COUNTIFS(Assessments!G:G,$A126,Assessments!B:B,"&gt;="&amp;$B$4,Assessments!B:B,"&lt;="&amp;$B$5))</f>
        <v/>
      </c>
      <c r="E126">
        <f>IF($D126=0,"",ROUND(AVERAGEIFS(Assessments!J:J,Assessments!G:G,$A126,Assessments!B:B,"&gt;="&amp;$B$4,Assessments!B:B,"&lt;="&amp;$B$5),0))</f>
        <v/>
      </c>
      <c r="F126">
        <f>IF($D126=0,"",IFERROR(AVERAGEIFS(Assessments!J:J,Assessments!G:G,$A126,Assessments!B:B,$B$5),0)-IFERROR(AVERAGEIFS(Assessments!J:J,Assessments!G:G,$A126,Assessments!B:B,$B$4),0))</f>
        <v/>
      </c>
      <c r="G126">
        <f>IF($D126=0,"",MAXIFS(Assessments!J:J,Assessments!G:G,$A126,Assessments!B:B,"&gt;="&amp;$B$4,Assessments!B:B,"&lt;="&amp;$B$5))</f>
        <v/>
      </c>
      <c r="H126">
        <f>IF($D126=0,"",MINIFS(Assessments!J:J,Assessments!G:G,$A126,Assessments!B:B,"&gt;="&amp;$B$4,Assessments!B:B,"&lt;="&amp;$B$5))</f>
        <v/>
      </c>
    </row>
    <row r="127">
      <c r="A127">
        <f>IF(Students!A121="","",Students!A121)</f>
        <v/>
      </c>
      <c r="B127">
        <f>IF($A127="","",Students!B121)</f>
        <v/>
      </c>
      <c r="C127">
        <f>IF($A127="","",Students!C121)</f>
        <v/>
      </c>
      <c r="D127">
        <f>IF($A127="","",COUNTIFS(Assessments!G:G,$A127,Assessments!B:B,"&gt;="&amp;$B$4,Assessments!B:B,"&lt;="&amp;$B$5))</f>
        <v/>
      </c>
      <c r="E127">
        <f>IF($D127=0,"",ROUND(AVERAGEIFS(Assessments!J:J,Assessments!G:G,$A127,Assessments!B:B,"&gt;="&amp;$B$4,Assessments!B:B,"&lt;="&amp;$B$5),0))</f>
        <v/>
      </c>
      <c r="F127">
        <f>IF($D127=0,"",IFERROR(AVERAGEIFS(Assessments!J:J,Assessments!G:G,$A127,Assessments!B:B,$B$5),0)-IFERROR(AVERAGEIFS(Assessments!J:J,Assessments!G:G,$A127,Assessments!B:B,$B$4),0))</f>
        <v/>
      </c>
      <c r="G127">
        <f>IF($D127=0,"",MAXIFS(Assessments!J:J,Assessments!G:G,$A127,Assessments!B:B,"&gt;="&amp;$B$4,Assessments!B:B,"&lt;="&amp;$B$5))</f>
        <v/>
      </c>
      <c r="H127">
        <f>IF($D127=0,"",MINIFS(Assessments!J:J,Assessments!G:G,$A127,Assessments!B:B,"&gt;="&amp;$B$4,Assessments!B:B,"&lt;="&amp;$B$5))</f>
        <v/>
      </c>
    </row>
    <row r="128">
      <c r="A128">
        <f>IF(Students!A122="","",Students!A122)</f>
        <v/>
      </c>
      <c r="B128">
        <f>IF($A128="","",Students!B122)</f>
        <v/>
      </c>
      <c r="C128">
        <f>IF($A128="","",Students!C122)</f>
        <v/>
      </c>
      <c r="D128">
        <f>IF($A128="","",COUNTIFS(Assessments!G:G,$A128,Assessments!B:B,"&gt;="&amp;$B$4,Assessments!B:B,"&lt;="&amp;$B$5))</f>
        <v/>
      </c>
      <c r="E128">
        <f>IF($D128=0,"",ROUND(AVERAGEIFS(Assessments!J:J,Assessments!G:G,$A128,Assessments!B:B,"&gt;="&amp;$B$4,Assessments!B:B,"&lt;="&amp;$B$5),0))</f>
        <v/>
      </c>
      <c r="F128">
        <f>IF($D128=0,"",IFERROR(AVERAGEIFS(Assessments!J:J,Assessments!G:G,$A128,Assessments!B:B,$B$5),0)-IFERROR(AVERAGEIFS(Assessments!J:J,Assessments!G:G,$A128,Assessments!B:B,$B$4),0))</f>
        <v/>
      </c>
      <c r="G128">
        <f>IF($D128=0,"",MAXIFS(Assessments!J:J,Assessments!G:G,$A128,Assessments!B:B,"&gt;="&amp;$B$4,Assessments!B:B,"&lt;="&amp;$B$5))</f>
        <v/>
      </c>
      <c r="H128">
        <f>IF($D128=0,"",MINIFS(Assessments!J:J,Assessments!G:G,$A128,Assessments!B:B,"&gt;="&amp;$B$4,Assessments!B:B,"&lt;="&amp;$B$5))</f>
        <v/>
      </c>
    </row>
    <row r="129">
      <c r="A129">
        <f>IF(Students!A123="","",Students!A123)</f>
        <v/>
      </c>
      <c r="B129">
        <f>IF($A129="","",Students!B123)</f>
        <v/>
      </c>
      <c r="C129">
        <f>IF($A129="","",Students!C123)</f>
        <v/>
      </c>
      <c r="D129">
        <f>IF($A129="","",COUNTIFS(Assessments!G:G,$A129,Assessments!B:B,"&gt;="&amp;$B$4,Assessments!B:B,"&lt;="&amp;$B$5))</f>
        <v/>
      </c>
      <c r="E129">
        <f>IF($D129=0,"",ROUND(AVERAGEIFS(Assessments!J:J,Assessments!G:G,$A129,Assessments!B:B,"&gt;="&amp;$B$4,Assessments!B:B,"&lt;="&amp;$B$5),0))</f>
        <v/>
      </c>
      <c r="F129">
        <f>IF($D129=0,"",IFERROR(AVERAGEIFS(Assessments!J:J,Assessments!G:G,$A129,Assessments!B:B,$B$5),0)-IFERROR(AVERAGEIFS(Assessments!J:J,Assessments!G:G,$A129,Assessments!B:B,$B$4),0))</f>
        <v/>
      </c>
      <c r="G129">
        <f>IF($D129=0,"",MAXIFS(Assessments!J:J,Assessments!G:G,$A129,Assessments!B:B,"&gt;="&amp;$B$4,Assessments!B:B,"&lt;="&amp;$B$5))</f>
        <v/>
      </c>
      <c r="H129">
        <f>IF($D129=0,"",MINIFS(Assessments!J:J,Assessments!G:G,$A129,Assessments!B:B,"&gt;="&amp;$B$4,Assessments!B:B,"&lt;="&amp;$B$5))</f>
        <v/>
      </c>
    </row>
    <row r="130">
      <c r="A130">
        <f>IF(Students!A124="","",Students!A124)</f>
        <v/>
      </c>
      <c r="B130">
        <f>IF($A130="","",Students!B124)</f>
        <v/>
      </c>
      <c r="C130">
        <f>IF($A130="","",Students!C124)</f>
        <v/>
      </c>
      <c r="D130">
        <f>IF($A130="","",COUNTIFS(Assessments!G:G,$A130,Assessments!B:B,"&gt;="&amp;$B$4,Assessments!B:B,"&lt;="&amp;$B$5))</f>
        <v/>
      </c>
      <c r="E130">
        <f>IF($D130=0,"",ROUND(AVERAGEIFS(Assessments!J:J,Assessments!G:G,$A130,Assessments!B:B,"&gt;="&amp;$B$4,Assessments!B:B,"&lt;="&amp;$B$5),0))</f>
        <v/>
      </c>
      <c r="F130">
        <f>IF($D130=0,"",IFERROR(AVERAGEIFS(Assessments!J:J,Assessments!G:G,$A130,Assessments!B:B,$B$5),0)-IFERROR(AVERAGEIFS(Assessments!J:J,Assessments!G:G,$A130,Assessments!B:B,$B$4),0))</f>
        <v/>
      </c>
      <c r="G130">
        <f>IF($D130=0,"",MAXIFS(Assessments!J:J,Assessments!G:G,$A130,Assessments!B:B,"&gt;="&amp;$B$4,Assessments!B:B,"&lt;="&amp;$B$5))</f>
        <v/>
      </c>
      <c r="H130">
        <f>IF($D130=0,"",MINIFS(Assessments!J:J,Assessments!G:G,$A130,Assessments!B:B,"&gt;="&amp;$B$4,Assessments!B:B,"&lt;="&amp;$B$5))</f>
        <v/>
      </c>
    </row>
    <row r="131">
      <c r="A131">
        <f>IF(Students!A125="","",Students!A125)</f>
        <v/>
      </c>
      <c r="B131">
        <f>IF($A131="","",Students!B125)</f>
        <v/>
      </c>
      <c r="C131">
        <f>IF($A131="","",Students!C125)</f>
        <v/>
      </c>
      <c r="D131">
        <f>IF($A131="","",COUNTIFS(Assessments!G:G,$A131,Assessments!B:B,"&gt;="&amp;$B$4,Assessments!B:B,"&lt;="&amp;$B$5))</f>
        <v/>
      </c>
      <c r="E131">
        <f>IF($D131=0,"",ROUND(AVERAGEIFS(Assessments!J:J,Assessments!G:G,$A131,Assessments!B:B,"&gt;="&amp;$B$4,Assessments!B:B,"&lt;="&amp;$B$5),0))</f>
        <v/>
      </c>
      <c r="F131">
        <f>IF($D131=0,"",IFERROR(AVERAGEIFS(Assessments!J:J,Assessments!G:G,$A131,Assessments!B:B,$B$5),0)-IFERROR(AVERAGEIFS(Assessments!J:J,Assessments!G:G,$A131,Assessments!B:B,$B$4),0))</f>
        <v/>
      </c>
      <c r="G131">
        <f>IF($D131=0,"",MAXIFS(Assessments!J:J,Assessments!G:G,$A131,Assessments!B:B,"&gt;="&amp;$B$4,Assessments!B:B,"&lt;="&amp;$B$5))</f>
        <v/>
      </c>
      <c r="H131">
        <f>IF($D131=0,"",MINIFS(Assessments!J:J,Assessments!G:G,$A131,Assessments!B:B,"&gt;="&amp;$B$4,Assessments!B:B,"&lt;="&amp;$B$5))</f>
        <v/>
      </c>
    </row>
    <row r="132">
      <c r="A132">
        <f>IF(Students!A126="","",Students!A126)</f>
        <v/>
      </c>
      <c r="B132">
        <f>IF($A132="","",Students!B126)</f>
        <v/>
      </c>
      <c r="C132">
        <f>IF($A132="","",Students!C126)</f>
        <v/>
      </c>
      <c r="D132">
        <f>IF($A132="","",COUNTIFS(Assessments!G:G,$A132,Assessments!B:B,"&gt;="&amp;$B$4,Assessments!B:B,"&lt;="&amp;$B$5))</f>
        <v/>
      </c>
      <c r="E132">
        <f>IF($D132=0,"",ROUND(AVERAGEIFS(Assessments!J:J,Assessments!G:G,$A132,Assessments!B:B,"&gt;="&amp;$B$4,Assessments!B:B,"&lt;="&amp;$B$5),0))</f>
        <v/>
      </c>
      <c r="F132">
        <f>IF($D132=0,"",IFERROR(AVERAGEIFS(Assessments!J:J,Assessments!G:G,$A132,Assessments!B:B,$B$5),0)-IFERROR(AVERAGEIFS(Assessments!J:J,Assessments!G:G,$A132,Assessments!B:B,$B$4),0))</f>
        <v/>
      </c>
      <c r="G132">
        <f>IF($D132=0,"",MAXIFS(Assessments!J:J,Assessments!G:G,$A132,Assessments!B:B,"&gt;="&amp;$B$4,Assessments!B:B,"&lt;="&amp;$B$5))</f>
        <v/>
      </c>
      <c r="H132">
        <f>IF($D132=0,"",MINIFS(Assessments!J:J,Assessments!G:G,$A132,Assessments!B:B,"&gt;="&amp;$B$4,Assessments!B:B,"&lt;="&amp;$B$5))</f>
        <v/>
      </c>
    </row>
    <row r="133">
      <c r="A133">
        <f>IF(Students!A127="","",Students!A127)</f>
        <v/>
      </c>
      <c r="B133">
        <f>IF($A133="","",Students!B127)</f>
        <v/>
      </c>
      <c r="C133">
        <f>IF($A133="","",Students!C127)</f>
        <v/>
      </c>
      <c r="D133">
        <f>IF($A133="","",COUNTIFS(Assessments!G:G,$A133,Assessments!B:B,"&gt;="&amp;$B$4,Assessments!B:B,"&lt;="&amp;$B$5))</f>
        <v/>
      </c>
      <c r="E133">
        <f>IF($D133=0,"",ROUND(AVERAGEIFS(Assessments!J:J,Assessments!G:G,$A133,Assessments!B:B,"&gt;="&amp;$B$4,Assessments!B:B,"&lt;="&amp;$B$5),0))</f>
        <v/>
      </c>
      <c r="F133">
        <f>IF($D133=0,"",IFERROR(AVERAGEIFS(Assessments!J:J,Assessments!G:G,$A133,Assessments!B:B,$B$5),0)-IFERROR(AVERAGEIFS(Assessments!J:J,Assessments!G:G,$A133,Assessments!B:B,$B$4),0))</f>
        <v/>
      </c>
      <c r="G133">
        <f>IF($D133=0,"",MAXIFS(Assessments!J:J,Assessments!G:G,$A133,Assessments!B:B,"&gt;="&amp;$B$4,Assessments!B:B,"&lt;="&amp;$B$5))</f>
        <v/>
      </c>
      <c r="H133">
        <f>IF($D133=0,"",MINIFS(Assessments!J:J,Assessments!G:G,$A133,Assessments!B:B,"&gt;="&amp;$B$4,Assessments!B:B,"&lt;="&amp;$B$5))</f>
        <v/>
      </c>
    </row>
    <row r="134">
      <c r="A134">
        <f>IF(Students!A128="","",Students!A128)</f>
        <v/>
      </c>
      <c r="B134">
        <f>IF($A134="","",Students!B128)</f>
        <v/>
      </c>
      <c r="C134">
        <f>IF($A134="","",Students!C128)</f>
        <v/>
      </c>
      <c r="D134">
        <f>IF($A134="","",COUNTIFS(Assessments!G:G,$A134,Assessments!B:B,"&gt;="&amp;$B$4,Assessments!B:B,"&lt;="&amp;$B$5))</f>
        <v/>
      </c>
      <c r="E134">
        <f>IF($D134=0,"",ROUND(AVERAGEIFS(Assessments!J:J,Assessments!G:G,$A134,Assessments!B:B,"&gt;="&amp;$B$4,Assessments!B:B,"&lt;="&amp;$B$5),0))</f>
        <v/>
      </c>
      <c r="F134">
        <f>IF($D134=0,"",IFERROR(AVERAGEIFS(Assessments!J:J,Assessments!G:G,$A134,Assessments!B:B,$B$5),0)-IFERROR(AVERAGEIFS(Assessments!J:J,Assessments!G:G,$A134,Assessments!B:B,$B$4),0))</f>
        <v/>
      </c>
      <c r="G134">
        <f>IF($D134=0,"",MAXIFS(Assessments!J:J,Assessments!G:G,$A134,Assessments!B:B,"&gt;="&amp;$B$4,Assessments!B:B,"&lt;="&amp;$B$5))</f>
        <v/>
      </c>
      <c r="H134">
        <f>IF($D134=0,"",MINIFS(Assessments!J:J,Assessments!G:G,$A134,Assessments!B:B,"&gt;="&amp;$B$4,Assessments!B:B,"&lt;="&amp;$B$5))</f>
        <v/>
      </c>
    </row>
    <row r="135">
      <c r="A135">
        <f>IF(Students!A129="","",Students!A129)</f>
        <v/>
      </c>
      <c r="B135">
        <f>IF($A135="","",Students!B129)</f>
        <v/>
      </c>
      <c r="C135">
        <f>IF($A135="","",Students!C129)</f>
        <v/>
      </c>
      <c r="D135">
        <f>IF($A135="","",COUNTIFS(Assessments!G:G,$A135,Assessments!B:B,"&gt;="&amp;$B$4,Assessments!B:B,"&lt;="&amp;$B$5))</f>
        <v/>
      </c>
      <c r="E135">
        <f>IF($D135=0,"",ROUND(AVERAGEIFS(Assessments!J:J,Assessments!G:G,$A135,Assessments!B:B,"&gt;="&amp;$B$4,Assessments!B:B,"&lt;="&amp;$B$5),0))</f>
        <v/>
      </c>
      <c r="F135">
        <f>IF($D135=0,"",IFERROR(AVERAGEIFS(Assessments!J:J,Assessments!G:G,$A135,Assessments!B:B,$B$5),0)-IFERROR(AVERAGEIFS(Assessments!J:J,Assessments!G:G,$A135,Assessments!B:B,$B$4),0))</f>
        <v/>
      </c>
      <c r="G135">
        <f>IF($D135=0,"",MAXIFS(Assessments!J:J,Assessments!G:G,$A135,Assessments!B:B,"&gt;="&amp;$B$4,Assessments!B:B,"&lt;="&amp;$B$5))</f>
        <v/>
      </c>
      <c r="H135">
        <f>IF($D135=0,"",MINIFS(Assessments!J:J,Assessments!G:G,$A135,Assessments!B:B,"&gt;="&amp;$B$4,Assessments!B:B,"&lt;="&amp;$B$5))</f>
        <v/>
      </c>
    </row>
    <row r="136">
      <c r="A136">
        <f>IF(Students!A130="","",Students!A130)</f>
        <v/>
      </c>
      <c r="B136">
        <f>IF($A136="","",Students!B130)</f>
        <v/>
      </c>
      <c r="C136">
        <f>IF($A136="","",Students!C130)</f>
        <v/>
      </c>
      <c r="D136">
        <f>IF($A136="","",COUNTIFS(Assessments!G:G,$A136,Assessments!B:B,"&gt;="&amp;$B$4,Assessments!B:B,"&lt;="&amp;$B$5))</f>
        <v/>
      </c>
      <c r="E136">
        <f>IF($D136=0,"",ROUND(AVERAGEIFS(Assessments!J:J,Assessments!G:G,$A136,Assessments!B:B,"&gt;="&amp;$B$4,Assessments!B:B,"&lt;="&amp;$B$5),0))</f>
        <v/>
      </c>
      <c r="F136">
        <f>IF($D136=0,"",IFERROR(AVERAGEIFS(Assessments!J:J,Assessments!G:G,$A136,Assessments!B:B,$B$5),0)-IFERROR(AVERAGEIFS(Assessments!J:J,Assessments!G:G,$A136,Assessments!B:B,$B$4),0))</f>
        <v/>
      </c>
      <c r="G136">
        <f>IF($D136=0,"",MAXIFS(Assessments!J:J,Assessments!G:G,$A136,Assessments!B:B,"&gt;="&amp;$B$4,Assessments!B:B,"&lt;="&amp;$B$5))</f>
        <v/>
      </c>
      <c r="H136">
        <f>IF($D136=0,"",MINIFS(Assessments!J:J,Assessments!G:G,$A136,Assessments!B:B,"&gt;="&amp;$B$4,Assessments!B:B,"&lt;="&amp;$B$5))</f>
        <v/>
      </c>
    </row>
    <row r="137">
      <c r="A137">
        <f>IF(Students!A131="","",Students!A131)</f>
        <v/>
      </c>
      <c r="B137">
        <f>IF($A137="","",Students!B131)</f>
        <v/>
      </c>
      <c r="C137">
        <f>IF($A137="","",Students!C131)</f>
        <v/>
      </c>
      <c r="D137">
        <f>IF($A137="","",COUNTIFS(Assessments!G:G,$A137,Assessments!B:B,"&gt;="&amp;$B$4,Assessments!B:B,"&lt;="&amp;$B$5))</f>
        <v/>
      </c>
      <c r="E137">
        <f>IF($D137=0,"",ROUND(AVERAGEIFS(Assessments!J:J,Assessments!G:G,$A137,Assessments!B:B,"&gt;="&amp;$B$4,Assessments!B:B,"&lt;="&amp;$B$5),0))</f>
        <v/>
      </c>
      <c r="F137">
        <f>IF($D137=0,"",IFERROR(AVERAGEIFS(Assessments!J:J,Assessments!G:G,$A137,Assessments!B:B,$B$5),0)-IFERROR(AVERAGEIFS(Assessments!J:J,Assessments!G:G,$A137,Assessments!B:B,$B$4),0))</f>
        <v/>
      </c>
      <c r="G137">
        <f>IF($D137=0,"",MAXIFS(Assessments!J:J,Assessments!G:G,$A137,Assessments!B:B,"&gt;="&amp;$B$4,Assessments!B:B,"&lt;="&amp;$B$5))</f>
        <v/>
      </c>
      <c r="H137">
        <f>IF($D137=0,"",MINIFS(Assessments!J:J,Assessments!G:G,$A137,Assessments!B:B,"&gt;="&amp;$B$4,Assessments!B:B,"&lt;="&amp;$B$5))</f>
        <v/>
      </c>
    </row>
    <row r="138">
      <c r="A138">
        <f>IF(Students!A132="","",Students!A132)</f>
        <v/>
      </c>
      <c r="B138">
        <f>IF($A138="","",Students!B132)</f>
        <v/>
      </c>
      <c r="C138">
        <f>IF($A138="","",Students!C132)</f>
        <v/>
      </c>
      <c r="D138">
        <f>IF($A138="","",COUNTIFS(Assessments!G:G,$A138,Assessments!B:B,"&gt;="&amp;$B$4,Assessments!B:B,"&lt;="&amp;$B$5))</f>
        <v/>
      </c>
      <c r="E138">
        <f>IF($D138=0,"",ROUND(AVERAGEIFS(Assessments!J:J,Assessments!G:G,$A138,Assessments!B:B,"&gt;="&amp;$B$4,Assessments!B:B,"&lt;="&amp;$B$5),0))</f>
        <v/>
      </c>
      <c r="F138">
        <f>IF($D138=0,"",IFERROR(AVERAGEIFS(Assessments!J:J,Assessments!G:G,$A138,Assessments!B:B,$B$5),0)-IFERROR(AVERAGEIFS(Assessments!J:J,Assessments!G:G,$A138,Assessments!B:B,$B$4),0))</f>
        <v/>
      </c>
      <c r="G138">
        <f>IF($D138=0,"",MAXIFS(Assessments!J:J,Assessments!G:G,$A138,Assessments!B:B,"&gt;="&amp;$B$4,Assessments!B:B,"&lt;="&amp;$B$5))</f>
        <v/>
      </c>
      <c r="H138">
        <f>IF($D138=0,"",MINIFS(Assessments!J:J,Assessments!G:G,$A138,Assessments!B:B,"&gt;="&amp;$B$4,Assessments!B:B,"&lt;="&amp;$B$5))</f>
        <v/>
      </c>
    </row>
    <row r="139">
      <c r="A139">
        <f>IF(Students!A133="","",Students!A133)</f>
        <v/>
      </c>
      <c r="B139">
        <f>IF($A139="","",Students!B133)</f>
        <v/>
      </c>
      <c r="C139">
        <f>IF($A139="","",Students!C133)</f>
        <v/>
      </c>
      <c r="D139">
        <f>IF($A139="","",COUNTIFS(Assessments!G:G,$A139,Assessments!B:B,"&gt;="&amp;$B$4,Assessments!B:B,"&lt;="&amp;$B$5))</f>
        <v/>
      </c>
      <c r="E139">
        <f>IF($D139=0,"",ROUND(AVERAGEIFS(Assessments!J:J,Assessments!G:G,$A139,Assessments!B:B,"&gt;="&amp;$B$4,Assessments!B:B,"&lt;="&amp;$B$5),0))</f>
        <v/>
      </c>
      <c r="F139">
        <f>IF($D139=0,"",IFERROR(AVERAGEIFS(Assessments!J:J,Assessments!G:G,$A139,Assessments!B:B,$B$5),0)-IFERROR(AVERAGEIFS(Assessments!J:J,Assessments!G:G,$A139,Assessments!B:B,$B$4),0))</f>
        <v/>
      </c>
      <c r="G139">
        <f>IF($D139=0,"",MAXIFS(Assessments!J:J,Assessments!G:G,$A139,Assessments!B:B,"&gt;="&amp;$B$4,Assessments!B:B,"&lt;="&amp;$B$5))</f>
        <v/>
      </c>
      <c r="H139">
        <f>IF($D139=0,"",MINIFS(Assessments!J:J,Assessments!G:G,$A139,Assessments!B:B,"&gt;="&amp;$B$4,Assessments!B:B,"&lt;="&amp;$B$5))</f>
        <v/>
      </c>
    </row>
    <row r="140">
      <c r="A140">
        <f>IF(Students!A134="","",Students!A134)</f>
        <v/>
      </c>
      <c r="B140">
        <f>IF($A140="","",Students!B134)</f>
        <v/>
      </c>
      <c r="C140">
        <f>IF($A140="","",Students!C134)</f>
        <v/>
      </c>
      <c r="D140">
        <f>IF($A140="","",COUNTIFS(Assessments!G:G,$A140,Assessments!B:B,"&gt;="&amp;$B$4,Assessments!B:B,"&lt;="&amp;$B$5))</f>
        <v/>
      </c>
      <c r="E140">
        <f>IF($D140=0,"",ROUND(AVERAGEIFS(Assessments!J:J,Assessments!G:G,$A140,Assessments!B:B,"&gt;="&amp;$B$4,Assessments!B:B,"&lt;="&amp;$B$5),0))</f>
        <v/>
      </c>
      <c r="F140">
        <f>IF($D140=0,"",IFERROR(AVERAGEIFS(Assessments!J:J,Assessments!G:G,$A140,Assessments!B:B,$B$5),0)-IFERROR(AVERAGEIFS(Assessments!J:J,Assessments!G:G,$A140,Assessments!B:B,$B$4),0))</f>
        <v/>
      </c>
      <c r="G140">
        <f>IF($D140=0,"",MAXIFS(Assessments!J:J,Assessments!G:G,$A140,Assessments!B:B,"&gt;="&amp;$B$4,Assessments!B:B,"&lt;="&amp;$B$5))</f>
        <v/>
      </c>
      <c r="H140">
        <f>IF($D140=0,"",MINIFS(Assessments!J:J,Assessments!G:G,$A140,Assessments!B:B,"&gt;="&amp;$B$4,Assessments!B:B,"&lt;="&amp;$B$5))</f>
        <v/>
      </c>
    </row>
    <row r="141">
      <c r="A141">
        <f>IF(Students!A135="","",Students!A135)</f>
        <v/>
      </c>
      <c r="B141">
        <f>IF($A141="","",Students!B135)</f>
        <v/>
      </c>
      <c r="C141">
        <f>IF($A141="","",Students!C135)</f>
        <v/>
      </c>
      <c r="D141">
        <f>IF($A141="","",COUNTIFS(Assessments!G:G,$A141,Assessments!B:B,"&gt;="&amp;$B$4,Assessments!B:B,"&lt;="&amp;$B$5))</f>
        <v/>
      </c>
      <c r="E141">
        <f>IF($D141=0,"",ROUND(AVERAGEIFS(Assessments!J:J,Assessments!G:G,$A141,Assessments!B:B,"&gt;="&amp;$B$4,Assessments!B:B,"&lt;="&amp;$B$5),0))</f>
        <v/>
      </c>
      <c r="F141">
        <f>IF($D141=0,"",IFERROR(AVERAGEIFS(Assessments!J:J,Assessments!G:G,$A141,Assessments!B:B,$B$5),0)-IFERROR(AVERAGEIFS(Assessments!J:J,Assessments!G:G,$A141,Assessments!B:B,$B$4),0))</f>
        <v/>
      </c>
      <c r="G141">
        <f>IF($D141=0,"",MAXIFS(Assessments!J:J,Assessments!G:G,$A141,Assessments!B:B,"&gt;="&amp;$B$4,Assessments!B:B,"&lt;="&amp;$B$5))</f>
        <v/>
      </c>
      <c r="H141">
        <f>IF($D141=0,"",MINIFS(Assessments!J:J,Assessments!G:G,$A141,Assessments!B:B,"&gt;="&amp;$B$4,Assessments!B:B,"&lt;="&amp;$B$5))</f>
        <v/>
      </c>
    </row>
    <row r="142">
      <c r="A142">
        <f>IF(Students!A136="","",Students!A136)</f>
        <v/>
      </c>
      <c r="B142">
        <f>IF($A142="","",Students!B136)</f>
        <v/>
      </c>
      <c r="C142">
        <f>IF($A142="","",Students!C136)</f>
        <v/>
      </c>
      <c r="D142">
        <f>IF($A142="","",COUNTIFS(Assessments!G:G,$A142,Assessments!B:B,"&gt;="&amp;$B$4,Assessments!B:B,"&lt;="&amp;$B$5))</f>
        <v/>
      </c>
      <c r="E142">
        <f>IF($D142=0,"",ROUND(AVERAGEIFS(Assessments!J:J,Assessments!G:G,$A142,Assessments!B:B,"&gt;="&amp;$B$4,Assessments!B:B,"&lt;="&amp;$B$5),0))</f>
        <v/>
      </c>
      <c r="F142">
        <f>IF($D142=0,"",IFERROR(AVERAGEIFS(Assessments!J:J,Assessments!G:G,$A142,Assessments!B:B,$B$5),0)-IFERROR(AVERAGEIFS(Assessments!J:J,Assessments!G:G,$A142,Assessments!B:B,$B$4),0))</f>
        <v/>
      </c>
      <c r="G142">
        <f>IF($D142=0,"",MAXIFS(Assessments!J:J,Assessments!G:G,$A142,Assessments!B:B,"&gt;="&amp;$B$4,Assessments!B:B,"&lt;="&amp;$B$5))</f>
        <v/>
      </c>
      <c r="H142">
        <f>IF($D142=0,"",MINIFS(Assessments!J:J,Assessments!G:G,$A142,Assessments!B:B,"&gt;="&amp;$B$4,Assessments!B:B,"&lt;="&amp;$B$5))</f>
        <v/>
      </c>
    </row>
    <row r="143">
      <c r="A143">
        <f>IF(Students!A137="","",Students!A137)</f>
        <v/>
      </c>
      <c r="B143">
        <f>IF($A143="","",Students!B137)</f>
        <v/>
      </c>
      <c r="C143">
        <f>IF($A143="","",Students!C137)</f>
        <v/>
      </c>
      <c r="D143">
        <f>IF($A143="","",COUNTIFS(Assessments!G:G,$A143,Assessments!B:B,"&gt;="&amp;$B$4,Assessments!B:B,"&lt;="&amp;$B$5))</f>
        <v/>
      </c>
      <c r="E143">
        <f>IF($D143=0,"",ROUND(AVERAGEIFS(Assessments!J:J,Assessments!G:G,$A143,Assessments!B:B,"&gt;="&amp;$B$4,Assessments!B:B,"&lt;="&amp;$B$5),0))</f>
        <v/>
      </c>
      <c r="F143">
        <f>IF($D143=0,"",IFERROR(AVERAGEIFS(Assessments!J:J,Assessments!G:G,$A143,Assessments!B:B,$B$5),0)-IFERROR(AVERAGEIFS(Assessments!J:J,Assessments!G:G,$A143,Assessments!B:B,$B$4),0))</f>
        <v/>
      </c>
      <c r="G143">
        <f>IF($D143=0,"",MAXIFS(Assessments!J:J,Assessments!G:G,$A143,Assessments!B:B,"&gt;="&amp;$B$4,Assessments!B:B,"&lt;="&amp;$B$5))</f>
        <v/>
      </c>
      <c r="H143">
        <f>IF($D143=0,"",MINIFS(Assessments!J:J,Assessments!G:G,$A143,Assessments!B:B,"&gt;="&amp;$B$4,Assessments!B:B,"&lt;="&amp;$B$5))</f>
        <v/>
      </c>
    </row>
    <row r="144">
      <c r="A144">
        <f>IF(Students!A138="","",Students!A138)</f>
        <v/>
      </c>
      <c r="B144">
        <f>IF($A144="","",Students!B138)</f>
        <v/>
      </c>
      <c r="C144">
        <f>IF($A144="","",Students!C138)</f>
        <v/>
      </c>
      <c r="D144">
        <f>IF($A144="","",COUNTIFS(Assessments!G:G,$A144,Assessments!B:B,"&gt;="&amp;$B$4,Assessments!B:B,"&lt;="&amp;$B$5))</f>
        <v/>
      </c>
      <c r="E144">
        <f>IF($D144=0,"",ROUND(AVERAGEIFS(Assessments!J:J,Assessments!G:G,$A144,Assessments!B:B,"&gt;="&amp;$B$4,Assessments!B:B,"&lt;="&amp;$B$5),0))</f>
        <v/>
      </c>
      <c r="F144">
        <f>IF($D144=0,"",IFERROR(AVERAGEIFS(Assessments!J:J,Assessments!G:G,$A144,Assessments!B:B,$B$5),0)-IFERROR(AVERAGEIFS(Assessments!J:J,Assessments!G:G,$A144,Assessments!B:B,$B$4),0))</f>
        <v/>
      </c>
      <c r="G144">
        <f>IF($D144=0,"",MAXIFS(Assessments!J:J,Assessments!G:G,$A144,Assessments!B:B,"&gt;="&amp;$B$4,Assessments!B:B,"&lt;="&amp;$B$5))</f>
        <v/>
      </c>
      <c r="H144">
        <f>IF($D144=0,"",MINIFS(Assessments!J:J,Assessments!G:G,$A144,Assessments!B:B,"&gt;="&amp;$B$4,Assessments!B:B,"&lt;="&amp;$B$5))</f>
        <v/>
      </c>
    </row>
    <row r="145">
      <c r="A145">
        <f>IF(Students!A139="","",Students!A139)</f>
        <v/>
      </c>
      <c r="B145">
        <f>IF($A145="","",Students!B139)</f>
        <v/>
      </c>
      <c r="C145">
        <f>IF($A145="","",Students!C139)</f>
        <v/>
      </c>
      <c r="D145">
        <f>IF($A145="","",COUNTIFS(Assessments!G:G,$A145,Assessments!B:B,"&gt;="&amp;$B$4,Assessments!B:B,"&lt;="&amp;$B$5))</f>
        <v/>
      </c>
      <c r="E145">
        <f>IF($D145=0,"",ROUND(AVERAGEIFS(Assessments!J:J,Assessments!G:G,$A145,Assessments!B:B,"&gt;="&amp;$B$4,Assessments!B:B,"&lt;="&amp;$B$5),0))</f>
        <v/>
      </c>
      <c r="F145">
        <f>IF($D145=0,"",IFERROR(AVERAGEIFS(Assessments!J:J,Assessments!G:G,$A145,Assessments!B:B,$B$5),0)-IFERROR(AVERAGEIFS(Assessments!J:J,Assessments!G:G,$A145,Assessments!B:B,$B$4),0))</f>
        <v/>
      </c>
      <c r="G145">
        <f>IF($D145=0,"",MAXIFS(Assessments!J:J,Assessments!G:G,$A145,Assessments!B:B,"&gt;="&amp;$B$4,Assessments!B:B,"&lt;="&amp;$B$5))</f>
        <v/>
      </c>
      <c r="H145">
        <f>IF($D145=0,"",MINIFS(Assessments!J:J,Assessments!G:G,$A145,Assessments!B:B,"&gt;="&amp;$B$4,Assessments!B:B,"&lt;="&amp;$B$5))</f>
        <v/>
      </c>
    </row>
    <row r="146">
      <c r="A146">
        <f>IF(Students!A140="","",Students!A140)</f>
        <v/>
      </c>
      <c r="B146">
        <f>IF($A146="","",Students!B140)</f>
        <v/>
      </c>
      <c r="C146">
        <f>IF($A146="","",Students!C140)</f>
        <v/>
      </c>
      <c r="D146">
        <f>IF($A146="","",COUNTIFS(Assessments!G:G,$A146,Assessments!B:B,"&gt;="&amp;$B$4,Assessments!B:B,"&lt;="&amp;$B$5))</f>
        <v/>
      </c>
      <c r="E146">
        <f>IF($D146=0,"",ROUND(AVERAGEIFS(Assessments!J:J,Assessments!G:G,$A146,Assessments!B:B,"&gt;="&amp;$B$4,Assessments!B:B,"&lt;="&amp;$B$5),0))</f>
        <v/>
      </c>
      <c r="F146">
        <f>IF($D146=0,"",IFERROR(AVERAGEIFS(Assessments!J:J,Assessments!G:G,$A146,Assessments!B:B,$B$5),0)-IFERROR(AVERAGEIFS(Assessments!J:J,Assessments!G:G,$A146,Assessments!B:B,$B$4),0))</f>
        <v/>
      </c>
      <c r="G146">
        <f>IF($D146=0,"",MAXIFS(Assessments!J:J,Assessments!G:G,$A146,Assessments!B:B,"&gt;="&amp;$B$4,Assessments!B:B,"&lt;="&amp;$B$5))</f>
        <v/>
      </c>
      <c r="H146">
        <f>IF($D146=0,"",MINIFS(Assessments!J:J,Assessments!G:G,$A146,Assessments!B:B,"&gt;="&amp;$B$4,Assessments!B:B,"&lt;="&amp;$B$5))</f>
        <v/>
      </c>
    </row>
    <row r="147">
      <c r="A147">
        <f>IF(Students!A141="","",Students!A141)</f>
        <v/>
      </c>
      <c r="B147">
        <f>IF($A147="","",Students!B141)</f>
        <v/>
      </c>
      <c r="C147">
        <f>IF($A147="","",Students!C141)</f>
        <v/>
      </c>
      <c r="D147">
        <f>IF($A147="","",COUNTIFS(Assessments!G:G,$A147,Assessments!B:B,"&gt;="&amp;$B$4,Assessments!B:B,"&lt;="&amp;$B$5))</f>
        <v/>
      </c>
      <c r="E147">
        <f>IF($D147=0,"",ROUND(AVERAGEIFS(Assessments!J:J,Assessments!G:G,$A147,Assessments!B:B,"&gt;="&amp;$B$4,Assessments!B:B,"&lt;="&amp;$B$5),0))</f>
        <v/>
      </c>
      <c r="F147">
        <f>IF($D147=0,"",IFERROR(AVERAGEIFS(Assessments!J:J,Assessments!G:G,$A147,Assessments!B:B,$B$5),0)-IFERROR(AVERAGEIFS(Assessments!J:J,Assessments!G:G,$A147,Assessments!B:B,$B$4),0))</f>
        <v/>
      </c>
      <c r="G147">
        <f>IF($D147=0,"",MAXIFS(Assessments!J:J,Assessments!G:G,$A147,Assessments!B:B,"&gt;="&amp;$B$4,Assessments!B:B,"&lt;="&amp;$B$5))</f>
        <v/>
      </c>
      <c r="H147">
        <f>IF($D147=0,"",MINIFS(Assessments!J:J,Assessments!G:G,$A147,Assessments!B:B,"&gt;="&amp;$B$4,Assessments!B:B,"&lt;="&amp;$B$5))</f>
        <v/>
      </c>
    </row>
    <row r="148">
      <c r="A148">
        <f>IF(Students!A142="","",Students!A142)</f>
        <v/>
      </c>
      <c r="B148">
        <f>IF($A148="","",Students!B142)</f>
        <v/>
      </c>
      <c r="C148">
        <f>IF($A148="","",Students!C142)</f>
        <v/>
      </c>
      <c r="D148">
        <f>IF($A148="","",COUNTIFS(Assessments!G:G,$A148,Assessments!B:B,"&gt;="&amp;$B$4,Assessments!B:B,"&lt;="&amp;$B$5))</f>
        <v/>
      </c>
      <c r="E148">
        <f>IF($D148=0,"",ROUND(AVERAGEIFS(Assessments!J:J,Assessments!G:G,$A148,Assessments!B:B,"&gt;="&amp;$B$4,Assessments!B:B,"&lt;="&amp;$B$5),0))</f>
        <v/>
      </c>
      <c r="F148">
        <f>IF($D148=0,"",IFERROR(AVERAGEIFS(Assessments!J:J,Assessments!G:G,$A148,Assessments!B:B,$B$5),0)-IFERROR(AVERAGEIFS(Assessments!J:J,Assessments!G:G,$A148,Assessments!B:B,$B$4),0))</f>
        <v/>
      </c>
      <c r="G148">
        <f>IF($D148=0,"",MAXIFS(Assessments!J:J,Assessments!G:G,$A148,Assessments!B:B,"&gt;="&amp;$B$4,Assessments!B:B,"&lt;="&amp;$B$5))</f>
        <v/>
      </c>
      <c r="H148">
        <f>IF($D148=0,"",MINIFS(Assessments!J:J,Assessments!G:G,$A148,Assessments!B:B,"&gt;="&amp;$B$4,Assessments!B:B,"&lt;="&amp;$B$5))</f>
        <v/>
      </c>
    </row>
    <row r="149">
      <c r="A149">
        <f>IF(Students!A143="","",Students!A143)</f>
        <v/>
      </c>
      <c r="B149">
        <f>IF($A149="","",Students!B143)</f>
        <v/>
      </c>
      <c r="C149">
        <f>IF($A149="","",Students!C143)</f>
        <v/>
      </c>
      <c r="D149">
        <f>IF($A149="","",COUNTIFS(Assessments!G:G,$A149,Assessments!B:B,"&gt;="&amp;$B$4,Assessments!B:B,"&lt;="&amp;$B$5))</f>
        <v/>
      </c>
      <c r="E149">
        <f>IF($D149=0,"",ROUND(AVERAGEIFS(Assessments!J:J,Assessments!G:G,$A149,Assessments!B:B,"&gt;="&amp;$B$4,Assessments!B:B,"&lt;="&amp;$B$5),0))</f>
        <v/>
      </c>
      <c r="F149">
        <f>IF($D149=0,"",IFERROR(AVERAGEIFS(Assessments!J:J,Assessments!G:G,$A149,Assessments!B:B,$B$5),0)-IFERROR(AVERAGEIFS(Assessments!J:J,Assessments!G:G,$A149,Assessments!B:B,$B$4),0))</f>
        <v/>
      </c>
      <c r="G149">
        <f>IF($D149=0,"",MAXIFS(Assessments!J:J,Assessments!G:G,$A149,Assessments!B:B,"&gt;="&amp;$B$4,Assessments!B:B,"&lt;="&amp;$B$5))</f>
        <v/>
      </c>
      <c r="H149">
        <f>IF($D149=0,"",MINIFS(Assessments!J:J,Assessments!G:G,$A149,Assessments!B:B,"&gt;="&amp;$B$4,Assessments!B:B,"&lt;="&amp;$B$5))</f>
        <v/>
      </c>
    </row>
    <row r="150">
      <c r="A150">
        <f>IF(Students!A144="","",Students!A144)</f>
        <v/>
      </c>
      <c r="B150">
        <f>IF($A150="","",Students!B144)</f>
        <v/>
      </c>
      <c r="C150">
        <f>IF($A150="","",Students!C144)</f>
        <v/>
      </c>
      <c r="D150">
        <f>IF($A150="","",COUNTIFS(Assessments!G:G,$A150,Assessments!B:B,"&gt;="&amp;$B$4,Assessments!B:B,"&lt;="&amp;$B$5))</f>
        <v/>
      </c>
      <c r="E150">
        <f>IF($D150=0,"",ROUND(AVERAGEIFS(Assessments!J:J,Assessments!G:G,$A150,Assessments!B:B,"&gt;="&amp;$B$4,Assessments!B:B,"&lt;="&amp;$B$5),0))</f>
        <v/>
      </c>
      <c r="F150">
        <f>IF($D150=0,"",IFERROR(AVERAGEIFS(Assessments!J:J,Assessments!G:G,$A150,Assessments!B:B,$B$5),0)-IFERROR(AVERAGEIFS(Assessments!J:J,Assessments!G:G,$A150,Assessments!B:B,$B$4),0))</f>
        <v/>
      </c>
      <c r="G150">
        <f>IF($D150=0,"",MAXIFS(Assessments!J:J,Assessments!G:G,$A150,Assessments!B:B,"&gt;="&amp;$B$4,Assessments!B:B,"&lt;="&amp;$B$5))</f>
        <v/>
      </c>
      <c r="H150">
        <f>IF($D150=0,"",MINIFS(Assessments!J:J,Assessments!G:G,$A150,Assessments!B:B,"&gt;="&amp;$B$4,Assessments!B:B,"&lt;="&amp;$B$5))</f>
        <v/>
      </c>
    </row>
    <row r="151">
      <c r="A151">
        <f>IF(Students!A145="","",Students!A145)</f>
        <v/>
      </c>
      <c r="B151">
        <f>IF($A151="","",Students!B145)</f>
        <v/>
      </c>
      <c r="C151">
        <f>IF($A151="","",Students!C145)</f>
        <v/>
      </c>
      <c r="D151">
        <f>IF($A151="","",COUNTIFS(Assessments!G:G,$A151,Assessments!B:B,"&gt;="&amp;$B$4,Assessments!B:B,"&lt;="&amp;$B$5))</f>
        <v/>
      </c>
      <c r="E151">
        <f>IF($D151=0,"",ROUND(AVERAGEIFS(Assessments!J:J,Assessments!G:G,$A151,Assessments!B:B,"&gt;="&amp;$B$4,Assessments!B:B,"&lt;="&amp;$B$5),0))</f>
        <v/>
      </c>
      <c r="F151">
        <f>IF($D151=0,"",IFERROR(AVERAGEIFS(Assessments!J:J,Assessments!G:G,$A151,Assessments!B:B,$B$5),0)-IFERROR(AVERAGEIFS(Assessments!J:J,Assessments!G:G,$A151,Assessments!B:B,$B$4),0))</f>
        <v/>
      </c>
      <c r="G151">
        <f>IF($D151=0,"",MAXIFS(Assessments!J:J,Assessments!G:G,$A151,Assessments!B:B,"&gt;="&amp;$B$4,Assessments!B:B,"&lt;="&amp;$B$5))</f>
        <v/>
      </c>
      <c r="H151">
        <f>IF($D151=0,"",MINIFS(Assessments!J:J,Assessments!G:G,$A151,Assessments!B:B,"&gt;="&amp;$B$4,Assessments!B:B,"&lt;="&amp;$B$5))</f>
        <v/>
      </c>
    </row>
    <row r="152">
      <c r="A152">
        <f>IF(Students!A146="","",Students!A146)</f>
        <v/>
      </c>
      <c r="B152">
        <f>IF($A152="","",Students!B146)</f>
        <v/>
      </c>
      <c r="C152">
        <f>IF($A152="","",Students!C146)</f>
        <v/>
      </c>
      <c r="D152">
        <f>IF($A152="","",COUNTIFS(Assessments!G:G,$A152,Assessments!B:B,"&gt;="&amp;$B$4,Assessments!B:B,"&lt;="&amp;$B$5))</f>
        <v/>
      </c>
      <c r="E152">
        <f>IF($D152=0,"",ROUND(AVERAGEIFS(Assessments!J:J,Assessments!G:G,$A152,Assessments!B:B,"&gt;="&amp;$B$4,Assessments!B:B,"&lt;="&amp;$B$5),0))</f>
        <v/>
      </c>
      <c r="F152">
        <f>IF($D152=0,"",IFERROR(AVERAGEIFS(Assessments!J:J,Assessments!G:G,$A152,Assessments!B:B,$B$5),0)-IFERROR(AVERAGEIFS(Assessments!J:J,Assessments!G:G,$A152,Assessments!B:B,$B$4),0))</f>
        <v/>
      </c>
      <c r="G152">
        <f>IF($D152=0,"",MAXIFS(Assessments!J:J,Assessments!G:G,$A152,Assessments!B:B,"&gt;="&amp;$B$4,Assessments!B:B,"&lt;="&amp;$B$5))</f>
        <v/>
      </c>
      <c r="H152">
        <f>IF($D152=0,"",MINIFS(Assessments!J:J,Assessments!G:G,$A152,Assessments!B:B,"&gt;="&amp;$B$4,Assessments!B:B,"&lt;="&amp;$B$5))</f>
        <v/>
      </c>
    </row>
    <row r="153">
      <c r="A153">
        <f>IF(Students!A147="","",Students!A147)</f>
        <v/>
      </c>
      <c r="B153">
        <f>IF($A153="","",Students!B147)</f>
        <v/>
      </c>
      <c r="C153">
        <f>IF($A153="","",Students!C147)</f>
        <v/>
      </c>
      <c r="D153">
        <f>IF($A153="","",COUNTIFS(Assessments!G:G,$A153,Assessments!B:B,"&gt;="&amp;$B$4,Assessments!B:B,"&lt;="&amp;$B$5))</f>
        <v/>
      </c>
      <c r="E153">
        <f>IF($D153=0,"",ROUND(AVERAGEIFS(Assessments!J:J,Assessments!G:G,$A153,Assessments!B:B,"&gt;="&amp;$B$4,Assessments!B:B,"&lt;="&amp;$B$5),0))</f>
        <v/>
      </c>
      <c r="F153">
        <f>IF($D153=0,"",IFERROR(AVERAGEIFS(Assessments!J:J,Assessments!G:G,$A153,Assessments!B:B,$B$5),0)-IFERROR(AVERAGEIFS(Assessments!J:J,Assessments!G:G,$A153,Assessments!B:B,$B$4),0))</f>
        <v/>
      </c>
      <c r="G153">
        <f>IF($D153=0,"",MAXIFS(Assessments!J:J,Assessments!G:G,$A153,Assessments!B:B,"&gt;="&amp;$B$4,Assessments!B:B,"&lt;="&amp;$B$5))</f>
        <v/>
      </c>
      <c r="H153">
        <f>IF($D153=0,"",MINIFS(Assessments!J:J,Assessments!G:G,$A153,Assessments!B:B,"&gt;="&amp;$B$4,Assessments!B:B,"&lt;="&amp;$B$5))</f>
        <v/>
      </c>
    </row>
    <row r="154">
      <c r="A154">
        <f>IF(Students!A148="","",Students!A148)</f>
        <v/>
      </c>
      <c r="B154">
        <f>IF($A154="","",Students!B148)</f>
        <v/>
      </c>
      <c r="C154">
        <f>IF($A154="","",Students!C148)</f>
        <v/>
      </c>
      <c r="D154">
        <f>IF($A154="","",COUNTIFS(Assessments!G:G,$A154,Assessments!B:B,"&gt;="&amp;$B$4,Assessments!B:B,"&lt;="&amp;$B$5))</f>
        <v/>
      </c>
      <c r="E154">
        <f>IF($D154=0,"",ROUND(AVERAGEIFS(Assessments!J:J,Assessments!G:G,$A154,Assessments!B:B,"&gt;="&amp;$B$4,Assessments!B:B,"&lt;="&amp;$B$5),0))</f>
        <v/>
      </c>
      <c r="F154">
        <f>IF($D154=0,"",IFERROR(AVERAGEIFS(Assessments!J:J,Assessments!G:G,$A154,Assessments!B:B,$B$5),0)-IFERROR(AVERAGEIFS(Assessments!J:J,Assessments!G:G,$A154,Assessments!B:B,$B$4),0))</f>
        <v/>
      </c>
      <c r="G154">
        <f>IF($D154=0,"",MAXIFS(Assessments!J:J,Assessments!G:G,$A154,Assessments!B:B,"&gt;="&amp;$B$4,Assessments!B:B,"&lt;="&amp;$B$5))</f>
        <v/>
      </c>
      <c r="H154">
        <f>IF($D154=0,"",MINIFS(Assessments!J:J,Assessments!G:G,$A154,Assessments!B:B,"&gt;="&amp;$B$4,Assessments!B:B,"&lt;="&amp;$B$5))</f>
        <v/>
      </c>
    </row>
    <row r="155">
      <c r="A155">
        <f>IF(Students!A149="","",Students!A149)</f>
        <v/>
      </c>
      <c r="B155">
        <f>IF($A155="","",Students!B149)</f>
        <v/>
      </c>
      <c r="C155">
        <f>IF($A155="","",Students!C149)</f>
        <v/>
      </c>
      <c r="D155">
        <f>IF($A155="","",COUNTIFS(Assessments!G:G,$A155,Assessments!B:B,"&gt;="&amp;$B$4,Assessments!B:B,"&lt;="&amp;$B$5))</f>
        <v/>
      </c>
      <c r="E155">
        <f>IF($D155=0,"",ROUND(AVERAGEIFS(Assessments!J:J,Assessments!G:G,$A155,Assessments!B:B,"&gt;="&amp;$B$4,Assessments!B:B,"&lt;="&amp;$B$5),0))</f>
        <v/>
      </c>
      <c r="F155">
        <f>IF($D155=0,"",IFERROR(AVERAGEIFS(Assessments!J:J,Assessments!G:G,$A155,Assessments!B:B,$B$5),0)-IFERROR(AVERAGEIFS(Assessments!J:J,Assessments!G:G,$A155,Assessments!B:B,$B$4),0))</f>
        <v/>
      </c>
      <c r="G155">
        <f>IF($D155=0,"",MAXIFS(Assessments!J:J,Assessments!G:G,$A155,Assessments!B:B,"&gt;="&amp;$B$4,Assessments!B:B,"&lt;="&amp;$B$5))</f>
        <v/>
      </c>
      <c r="H155">
        <f>IF($D155=0,"",MINIFS(Assessments!J:J,Assessments!G:G,$A155,Assessments!B:B,"&gt;="&amp;$B$4,Assessments!B:B,"&lt;="&amp;$B$5))</f>
        <v/>
      </c>
    </row>
    <row r="156">
      <c r="A156">
        <f>IF(Students!A150="","",Students!A150)</f>
        <v/>
      </c>
      <c r="B156">
        <f>IF($A156="","",Students!B150)</f>
        <v/>
      </c>
      <c r="C156">
        <f>IF($A156="","",Students!C150)</f>
        <v/>
      </c>
      <c r="D156">
        <f>IF($A156="","",COUNTIFS(Assessments!G:G,$A156,Assessments!B:B,"&gt;="&amp;$B$4,Assessments!B:B,"&lt;="&amp;$B$5))</f>
        <v/>
      </c>
      <c r="E156">
        <f>IF($D156=0,"",ROUND(AVERAGEIFS(Assessments!J:J,Assessments!G:G,$A156,Assessments!B:B,"&gt;="&amp;$B$4,Assessments!B:B,"&lt;="&amp;$B$5),0))</f>
        <v/>
      </c>
      <c r="F156">
        <f>IF($D156=0,"",IFERROR(AVERAGEIFS(Assessments!J:J,Assessments!G:G,$A156,Assessments!B:B,$B$5),0)-IFERROR(AVERAGEIFS(Assessments!J:J,Assessments!G:G,$A156,Assessments!B:B,$B$4),0))</f>
        <v/>
      </c>
      <c r="G156">
        <f>IF($D156=0,"",MAXIFS(Assessments!J:J,Assessments!G:G,$A156,Assessments!B:B,"&gt;="&amp;$B$4,Assessments!B:B,"&lt;="&amp;$B$5))</f>
        <v/>
      </c>
      <c r="H156">
        <f>IF($D156=0,"",MINIFS(Assessments!J:J,Assessments!G:G,$A156,Assessments!B:B,"&gt;="&amp;$B$4,Assessments!B:B,"&lt;="&amp;$B$5))</f>
        <v/>
      </c>
    </row>
    <row r="157">
      <c r="A157">
        <f>IF(Students!A151="","",Students!A151)</f>
        <v/>
      </c>
      <c r="B157">
        <f>IF($A157="","",Students!B151)</f>
        <v/>
      </c>
      <c r="C157">
        <f>IF($A157="","",Students!C151)</f>
        <v/>
      </c>
      <c r="D157">
        <f>IF($A157="","",COUNTIFS(Assessments!G:G,$A157,Assessments!B:B,"&gt;="&amp;$B$4,Assessments!B:B,"&lt;="&amp;$B$5))</f>
        <v/>
      </c>
      <c r="E157">
        <f>IF($D157=0,"",ROUND(AVERAGEIFS(Assessments!J:J,Assessments!G:G,$A157,Assessments!B:B,"&gt;="&amp;$B$4,Assessments!B:B,"&lt;="&amp;$B$5),0))</f>
        <v/>
      </c>
      <c r="F157">
        <f>IF($D157=0,"",IFERROR(AVERAGEIFS(Assessments!J:J,Assessments!G:G,$A157,Assessments!B:B,$B$5),0)-IFERROR(AVERAGEIFS(Assessments!J:J,Assessments!G:G,$A157,Assessments!B:B,$B$4),0))</f>
        <v/>
      </c>
      <c r="G157">
        <f>IF($D157=0,"",MAXIFS(Assessments!J:J,Assessments!G:G,$A157,Assessments!B:B,"&gt;="&amp;$B$4,Assessments!B:B,"&lt;="&amp;$B$5))</f>
        <v/>
      </c>
      <c r="H157">
        <f>IF($D157=0,"",MINIFS(Assessments!J:J,Assessments!G:G,$A157,Assessments!B:B,"&gt;="&amp;$B$4,Assessments!B:B,"&lt;="&amp;$B$5))</f>
        <v/>
      </c>
    </row>
    <row r="158">
      <c r="A158">
        <f>IF(Students!A152="","",Students!A152)</f>
        <v/>
      </c>
      <c r="B158">
        <f>IF($A158="","",Students!B152)</f>
        <v/>
      </c>
      <c r="C158">
        <f>IF($A158="","",Students!C152)</f>
        <v/>
      </c>
      <c r="D158">
        <f>IF($A158="","",COUNTIFS(Assessments!G:G,$A158,Assessments!B:B,"&gt;="&amp;$B$4,Assessments!B:B,"&lt;="&amp;$B$5))</f>
        <v/>
      </c>
      <c r="E158">
        <f>IF($D158=0,"",ROUND(AVERAGEIFS(Assessments!J:J,Assessments!G:G,$A158,Assessments!B:B,"&gt;="&amp;$B$4,Assessments!B:B,"&lt;="&amp;$B$5),0))</f>
        <v/>
      </c>
      <c r="F158">
        <f>IF($D158=0,"",IFERROR(AVERAGEIFS(Assessments!J:J,Assessments!G:G,$A158,Assessments!B:B,$B$5),0)-IFERROR(AVERAGEIFS(Assessments!J:J,Assessments!G:G,$A158,Assessments!B:B,$B$4),0))</f>
        <v/>
      </c>
      <c r="G158">
        <f>IF($D158=0,"",MAXIFS(Assessments!J:J,Assessments!G:G,$A158,Assessments!B:B,"&gt;="&amp;$B$4,Assessments!B:B,"&lt;="&amp;$B$5))</f>
        <v/>
      </c>
      <c r="H158">
        <f>IF($D158=0,"",MINIFS(Assessments!J:J,Assessments!G:G,$A158,Assessments!B:B,"&gt;="&amp;$B$4,Assessments!B:B,"&lt;="&amp;$B$5))</f>
        <v/>
      </c>
    </row>
    <row r="159">
      <c r="A159">
        <f>IF(Students!A153="","",Students!A153)</f>
        <v/>
      </c>
      <c r="B159">
        <f>IF($A159="","",Students!B153)</f>
        <v/>
      </c>
      <c r="C159">
        <f>IF($A159="","",Students!C153)</f>
        <v/>
      </c>
      <c r="D159">
        <f>IF($A159="","",COUNTIFS(Assessments!G:G,$A159,Assessments!B:B,"&gt;="&amp;$B$4,Assessments!B:B,"&lt;="&amp;$B$5))</f>
        <v/>
      </c>
      <c r="E159">
        <f>IF($D159=0,"",ROUND(AVERAGEIFS(Assessments!J:J,Assessments!G:G,$A159,Assessments!B:B,"&gt;="&amp;$B$4,Assessments!B:B,"&lt;="&amp;$B$5),0))</f>
        <v/>
      </c>
      <c r="F159">
        <f>IF($D159=0,"",IFERROR(AVERAGEIFS(Assessments!J:J,Assessments!G:G,$A159,Assessments!B:B,$B$5),0)-IFERROR(AVERAGEIFS(Assessments!J:J,Assessments!G:G,$A159,Assessments!B:B,$B$4),0))</f>
        <v/>
      </c>
      <c r="G159">
        <f>IF($D159=0,"",MAXIFS(Assessments!J:J,Assessments!G:G,$A159,Assessments!B:B,"&gt;="&amp;$B$4,Assessments!B:B,"&lt;="&amp;$B$5))</f>
        <v/>
      </c>
      <c r="H159">
        <f>IF($D159=0,"",MINIFS(Assessments!J:J,Assessments!G:G,$A159,Assessments!B:B,"&gt;="&amp;$B$4,Assessments!B:B,"&lt;="&amp;$B$5))</f>
        <v/>
      </c>
    </row>
    <row r="160">
      <c r="A160">
        <f>IF(Students!A154="","",Students!A154)</f>
        <v/>
      </c>
      <c r="B160">
        <f>IF($A160="","",Students!B154)</f>
        <v/>
      </c>
      <c r="C160">
        <f>IF($A160="","",Students!C154)</f>
        <v/>
      </c>
      <c r="D160">
        <f>IF($A160="","",COUNTIFS(Assessments!G:G,$A160,Assessments!B:B,"&gt;="&amp;$B$4,Assessments!B:B,"&lt;="&amp;$B$5))</f>
        <v/>
      </c>
      <c r="E160">
        <f>IF($D160=0,"",ROUND(AVERAGEIFS(Assessments!J:J,Assessments!G:G,$A160,Assessments!B:B,"&gt;="&amp;$B$4,Assessments!B:B,"&lt;="&amp;$B$5),0))</f>
        <v/>
      </c>
      <c r="F160">
        <f>IF($D160=0,"",IFERROR(AVERAGEIFS(Assessments!J:J,Assessments!G:G,$A160,Assessments!B:B,$B$5),0)-IFERROR(AVERAGEIFS(Assessments!J:J,Assessments!G:G,$A160,Assessments!B:B,$B$4),0))</f>
        <v/>
      </c>
      <c r="G160">
        <f>IF($D160=0,"",MAXIFS(Assessments!J:J,Assessments!G:G,$A160,Assessments!B:B,"&gt;="&amp;$B$4,Assessments!B:B,"&lt;="&amp;$B$5))</f>
        <v/>
      </c>
      <c r="H160">
        <f>IF($D160=0,"",MINIFS(Assessments!J:J,Assessments!G:G,$A160,Assessments!B:B,"&gt;="&amp;$B$4,Assessments!B:B,"&lt;="&amp;$B$5))</f>
        <v/>
      </c>
    </row>
    <row r="161">
      <c r="A161">
        <f>IF(Students!A155="","",Students!A155)</f>
        <v/>
      </c>
      <c r="B161">
        <f>IF($A161="","",Students!B155)</f>
        <v/>
      </c>
      <c r="C161">
        <f>IF($A161="","",Students!C155)</f>
        <v/>
      </c>
      <c r="D161">
        <f>IF($A161="","",COUNTIFS(Assessments!G:G,$A161,Assessments!B:B,"&gt;="&amp;$B$4,Assessments!B:B,"&lt;="&amp;$B$5))</f>
        <v/>
      </c>
      <c r="E161">
        <f>IF($D161=0,"",ROUND(AVERAGEIFS(Assessments!J:J,Assessments!G:G,$A161,Assessments!B:B,"&gt;="&amp;$B$4,Assessments!B:B,"&lt;="&amp;$B$5),0))</f>
        <v/>
      </c>
      <c r="F161">
        <f>IF($D161=0,"",IFERROR(AVERAGEIFS(Assessments!J:J,Assessments!G:G,$A161,Assessments!B:B,$B$5),0)-IFERROR(AVERAGEIFS(Assessments!J:J,Assessments!G:G,$A161,Assessments!B:B,$B$4),0))</f>
        <v/>
      </c>
      <c r="G161">
        <f>IF($D161=0,"",MAXIFS(Assessments!J:J,Assessments!G:G,$A161,Assessments!B:B,"&gt;="&amp;$B$4,Assessments!B:B,"&lt;="&amp;$B$5))</f>
        <v/>
      </c>
      <c r="H161">
        <f>IF($D161=0,"",MINIFS(Assessments!J:J,Assessments!G:G,$A161,Assessments!B:B,"&gt;="&amp;$B$4,Assessments!B:B,"&lt;="&amp;$B$5))</f>
        <v/>
      </c>
    </row>
    <row r="162">
      <c r="A162">
        <f>IF(Students!A156="","",Students!A156)</f>
        <v/>
      </c>
      <c r="B162">
        <f>IF($A162="","",Students!B156)</f>
        <v/>
      </c>
      <c r="C162">
        <f>IF($A162="","",Students!C156)</f>
        <v/>
      </c>
      <c r="D162">
        <f>IF($A162="","",COUNTIFS(Assessments!G:G,$A162,Assessments!B:B,"&gt;="&amp;$B$4,Assessments!B:B,"&lt;="&amp;$B$5))</f>
        <v/>
      </c>
      <c r="E162">
        <f>IF($D162=0,"",ROUND(AVERAGEIFS(Assessments!J:J,Assessments!G:G,$A162,Assessments!B:B,"&gt;="&amp;$B$4,Assessments!B:B,"&lt;="&amp;$B$5),0))</f>
        <v/>
      </c>
      <c r="F162">
        <f>IF($D162=0,"",IFERROR(AVERAGEIFS(Assessments!J:J,Assessments!G:G,$A162,Assessments!B:B,$B$5),0)-IFERROR(AVERAGEIFS(Assessments!J:J,Assessments!G:G,$A162,Assessments!B:B,$B$4),0))</f>
        <v/>
      </c>
      <c r="G162">
        <f>IF($D162=0,"",MAXIFS(Assessments!J:J,Assessments!G:G,$A162,Assessments!B:B,"&gt;="&amp;$B$4,Assessments!B:B,"&lt;="&amp;$B$5))</f>
        <v/>
      </c>
      <c r="H162">
        <f>IF($D162=0,"",MINIFS(Assessments!J:J,Assessments!G:G,$A162,Assessments!B:B,"&gt;="&amp;$B$4,Assessments!B:B,"&lt;="&amp;$B$5))</f>
        <v/>
      </c>
    </row>
    <row r="163">
      <c r="A163">
        <f>IF(Students!A157="","",Students!A157)</f>
        <v/>
      </c>
      <c r="B163">
        <f>IF($A163="","",Students!B157)</f>
        <v/>
      </c>
      <c r="C163">
        <f>IF($A163="","",Students!C157)</f>
        <v/>
      </c>
      <c r="D163">
        <f>IF($A163="","",COUNTIFS(Assessments!G:G,$A163,Assessments!B:B,"&gt;="&amp;$B$4,Assessments!B:B,"&lt;="&amp;$B$5))</f>
        <v/>
      </c>
      <c r="E163">
        <f>IF($D163=0,"",ROUND(AVERAGEIFS(Assessments!J:J,Assessments!G:G,$A163,Assessments!B:B,"&gt;="&amp;$B$4,Assessments!B:B,"&lt;="&amp;$B$5),0))</f>
        <v/>
      </c>
      <c r="F163">
        <f>IF($D163=0,"",IFERROR(AVERAGEIFS(Assessments!J:J,Assessments!G:G,$A163,Assessments!B:B,$B$5),0)-IFERROR(AVERAGEIFS(Assessments!J:J,Assessments!G:G,$A163,Assessments!B:B,$B$4),0))</f>
        <v/>
      </c>
      <c r="G163">
        <f>IF($D163=0,"",MAXIFS(Assessments!J:J,Assessments!G:G,$A163,Assessments!B:B,"&gt;="&amp;$B$4,Assessments!B:B,"&lt;="&amp;$B$5))</f>
        <v/>
      </c>
      <c r="H163">
        <f>IF($D163=0,"",MINIFS(Assessments!J:J,Assessments!G:G,$A163,Assessments!B:B,"&gt;="&amp;$B$4,Assessments!B:B,"&lt;="&amp;$B$5))</f>
        <v/>
      </c>
    </row>
    <row r="164">
      <c r="A164">
        <f>IF(Students!A158="","",Students!A158)</f>
        <v/>
      </c>
      <c r="B164">
        <f>IF($A164="","",Students!B158)</f>
        <v/>
      </c>
      <c r="C164">
        <f>IF($A164="","",Students!C158)</f>
        <v/>
      </c>
      <c r="D164">
        <f>IF($A164="","",COUNTIFS(Assessments!G:G,$A164,Assessments!B:B,"&gt;="&amp;$B$4,Assessments!B:B,"&lt;="&amp;$B$5))</f>
        <v/>
      </c>
      <c r="E164">
        <f>IF($D164=0,"",ROUND(AVERAGEIFS(Assessments!J:J,Assessments!G:G,$A164,Assessments!B:B,"&gt;="&amp;$B$4,Assessments!B:B,"&lt;="&amp;$B$5),0))</f>
        <v/>
      </c>
      <c r="F164">
        <f>IF($D164=0,"",IFERROR(AVERAGEIFS(Assessments!J:J,Assessments!G:G,$A164,Assessments!B:B,$B$5),0)-IFERROR(AVERAGEIFS(Assessments!J:J,Assessments!G:G,$A164,Assessments!B:B,$B$4),0))</f>
        <v/>
      </c>
      <c r="G164">
        <f>IF($D164=0,"",MAXIFS(Assessments!J:J,Assessments!G:G,$A164,Assessments!B:B,"&gt;="&amp;$B$4,Assessments!B:B,"&lt;="&amp;$B$5))</f>
        <v/>
      </c>
      <c r="H164">
        <f>IF($D164=0,"",MINIFS(Assessments!J:J,Assessments!G:G,$A164,Assessments!B:B,"&gt;="&amp;$B$4,Assessments!B:B,"&lt;="&amp;$B$5))</f>
        <v/>
      </c>
    </row>
    <row r="165">
      <c r="A165">
        <f>IF(Students!A159="","",Students!A159)</f>
        <v/>
      </c>
      <c r="B165">
        <f>IF($A165="","",Students!B159)</f>
        <v/>
      </c>
      <c r="C165">
        <f>IF($A165="","",Students!C159)</f>
        <v/>
      </c>
      <c r="D165">
        <f>IF($A165="","",COUNTIFS(Assessments!G:G,$A165,Assessments!B:B,"&gt;="&amp;$B$4,Assessments!B:B,"&lt;="&amp;$B$5))</f>
        <v/>
      </c>
      <c r="E165">
        <f>IF($D165=0,"",ROUND(AVERAGEIFS(Assessments!J:J,Assessments!G:G,$A165,Assessments!B:B,"&gt;="&amp;$B$4,Assessments!B:B,"&lt;="&amp;$B$5),0))</f>
        <v/>
      </c>
      <c r="F165">
        <f>IF($D165=0,"",IFERROR(AVERAGEIFS(Assessments!J:J,Assessments!G:G,$A165,Assessments!B:B,$B$5),0)-IFERROR(AVERAGEIFS(Assessments!J:J,Assessments!G:G,$A165,Assessments!B:B,$B$4),0))</f>
        <v/>
      </c>
      <c r="G165">
        <f>IF($D165=0,"",MAXIFS(Assessments!J:J,Assessments!G:G,$A165,Assessments!B:B,"&gt;="&amp;$B$4,Assessments!B:B,"&lt;="&amp;$B$5))</f>
        <v/>
      </c>
      <c r="H165">
        <f>IF($D165=0,"",MINIFS(Assessments!J:J,Assessments!G:G,$A165,Assessments!B:B,"&gt;="&amp;$B$4,Assessments!B:B,"&lt;="&amp;$B$5))</f>
        <v/>
      </c>
    </row>
    <row r="166">
      <c r="A166">
        <f>IF(Students!A160="","",Students!A160)</f>
        <v/>
      </c>
      <c r="B166">
        <f>IF($A166="","",Students!B160)</f>
        <v/>
      </c>
      <c r="C166">
        <f>IF($A166="","",Students!C160)</f>
        <v/>
      </c>
      <c r="D166">
        <f>IF($A166="","",COUNTIFS(Assessments!G:G,$A166,Assessments!B:B,"&gt;="&amp;$B$4,Assessments!B:B,"&lt;="&amp;$B$5))</f>
        <v/>
      </c>
      <c r="E166">
        <f>IF($D166=0,"",ROUND(AVERAGEIFS(Assessments!J:J,Assessments!G:G,$A166,Assessments!B:B,"&gt;="&amp;$B$4,Assessments!B:B,"&lt;="&amp;$B$5),0))</f>
        <v/>
      </c>
      <c r="F166">
        <f>IF($D166=0,"",IFERROR(AVERAGEIFS(Assessments!J:J,Assessments!G:G,$A166,Assessments!B:B,$B$5),0)-IFERROR(AVERAGEIFS(Assessments!J:J,Assessments!G:G,$A166,Assessments!B:B,$B$4),0))</f>
        <v/>
      </c>
      <c r="G166">
        <f>IF($D166=0,"",MAXIFS(Assessments!J:J,Assessments!G:G,$A166,Assessments!B:B,"&gt;="&amp;$B$4,Assessments!B:B,"&lt;="&amp;$B$5))</f>
        <v/>
      </c>
      <c r="H166">
        <f>IF($D166=0,"",MINIFS(Assessments!J:J,Assessments!G:G,$A166,Assessments!B:B,"&gt;="&amp;$B$4,Assessments!B:B,"&lt;="&amp;$B$5))</f>
        <v/>
      </c>
    </row>
    <row r="167">
      <c r="A167">
        <f>IF(Students!A161="","",Students!A161)</f>
        <v/>
      </c>
      <c r="B167">
        <f>IF($A167="","",Students!B161)</f>
        <v/>
      </c>
      <c r="C167">
        <f>IF($A167="","",Students!C161)</f>
        <v/>
      </c>
      <c r="D167">
        <f>IF($A167="","",COUNTIFS(Assessments!G:G,$A167,Assessments!B:B,"&gt;="&amp;$B$4,Assessments!B:B,"&lt;="&amp;$B$5))</f>
        <v/>
      </c>
      <c r="E167">
        <f>IF($D167=0,"",ROUND(AVERAGEIFS(Assessments!J:J,Assessments!G:G,$A167,Assessments!B:B,"&gt;="&amp;$B$4,Assessments!B:B,"&lt;="&amp;$B$5),0))</f>
        <v/>
      </c>
      <c r="F167">
        <f>IF($D167=0,"",IFERROR(AVERAGEIFS(Assessments!J:J,Assessments!G:G,$A167,Assessments!B:B,$B$5),0)-IFERROR(AVERAGEIFS(Assessments!J:J,Assessments!G:G,$A167,Assessments!B:B,$B$4),0))</f>
        <v/>
      </c>
      <c r="G167">
        <f>IF($D167=0,"",MAXIFS(Assessments!J:J,Assessments!G:G,$A167,Assessments!B:B,"&gt;="&amp;$B$4,Assessments!B:B,"&lt;="&amp;$B$5))</f>
        <v/>
      </c>
      <c r="H167">
        <f>IF($D167=0,"",MINIFS(Assessments!J:J,Assessments!G:G,$A167,Assessments!B:B,"&gt;="&amp;$B$4,Assessments!B:B,"&lt;="&amp;$B$5))</f>
        <v/>
      </c>
    </row>
    <row r="168">
      <c r="A168">
        <f>IF(Students!A162="","",Students!A162)</f>
        <v/>
      </c>
      <c r="B168">
        <f>IF($A168="","",Students!B162)</f>
        <v/>
      </c>
      <c r="C168">
        <f>IF($A168="","",Students!C162)</f>
        <v/>
      </c>
      <c r="D168">
        <f>IF($A168="","",COUNTIFS(Assessments!G:G,$A168,Assessments!B:B,"&gt;="&amp;$B$4,Assessments!B:B,"&lt;="&amp;$B$5))</f>
        <v/>
      </c>
      <c r="E168">
        <f>IF($D168=0,"",ROUND(AVERAGEIFS(Assessments!J:J,Assessments!G:G,$A168,Assessments!B:B,"&gt;="&amp;$B$4,Assessments!B:B,"&lt;="&amp;$B$5),0))</f>
        <v/>
      </c>
      <c r="F168">
        <f>IF($D168=0,"",IFERROR(AVERAGEIFS(Assessments!J:J,Assessments!G:G,$A168,Assessments!B:B,$B$5),0)-IFERROR(AVERAGEIFS(Assessments!J:J,Assessments!G:G,$A168,Assessments!B:B,$B$4),0))</f>
        <v/>
      </c>
      <c r="G168">
        <f>IF($D168=0,"",MAXIFS(Assessments!J:J,Assessments!G:G,$A168,Assessments!B:B,"&gt;="&amp;$B$4,Assessments!B:B,"&lt;="&amp;$B$5))</f>
        <v/>
      </c>
      <c r="H168">
        <f>IF($D168=0,"",MINIFS(Assessments!J:J,Assessments!G:G,$A168,Assessments!B:B,"&gt;="&amp;$B$4,Assessments!B:B,"&lt;="&amp;$B$5))</f>
        <v/>
      </c>
    </row>
    <row r="169">
      <c r="A169">
        <f>IF(Students!A163="","",Students!A163)</f>
        <v/>
      </c>
      <c r="B169">
        <f>IF($A169="","",Students!B163)</f>
        <v/>
      </c>
      <c r="C169">
        <f>IF($A169="","",Students!C163)</f>
        <v/>
      </c>
      <c r="D169">
        <f>IF($A169="","",COUNTIFS(Assessments!G:G,$A169,Assessments!B:B,"&gt;="&amp;$B$4,Assessments!B:B,"&lt;="&amp;$B$5))</f>
        <v/>
      </c>
      <c r="E169">
        <f>IF($D169=0,"",ROUND(AVERAGEIFS(Assessments!J:J,Assessments!G:G,$A169,Assessments!B:B,"&gt;="&amp;$B$4,Assessments!B:B,"&lt;="&amp;$B$5),0))</f>
        <v/>
      </c>
      <c r="F169">
        <f>IF($D169=0,"",IFERROR(AVERAGEIFS(Assessments!J:J,Assessments!G:G,$A169,Assessments!B:B,$B$5),0)-IFERROR(AVERAGEIFS(Assessments!J:J,Assessments!G:G,$A169,Assessments!B:B,$B$4),0))</f>
        <v/>
      </c>
      <c r="G169">
        <f>IF($D169=0,"",MAXIFS(Assessments!J:J,Assessments!G:G,$A169,Assessments!B:B,"&gt;="&amp;$B$4,Assessments!B:B,"&lt;="&amp;$B$5))</f>
        <v/>
      </c>
      <c r="H169">
        <f>IF($D169=0,"",MINIFS(Assessments!J:J,Assessments!G:G,$A169,Assessments!B:B,"&gt;="&amp;$B$4,Assessments!B:B,"&lt;="&amp;$B$5))</f>
        <v/>
      </c>
    </row>
    <row r="170">
      <c r="A170">
        <f>IF(Students!A164="","",Students!A164)</f>
        <v/>
      </c>
      <c r="B170">
        <f>IF($A170="","",Students!B164)</f>
        <v/>
      </c>
      <c r="C170">
        <f>IF($A170="","",Students!C164)</f>
        <v/>
      </c>
      <c r="D170">
        <f>IF($A170="","",COUNTIFS(Assessments!G:G,$A170,Assessments!B:B,"&gt;="&amp;$B$4,Assessments!B:B,"&lt;="&amp;$B$5))</f>
        <v/>
      </c>
      <c r="E170">
        <f>IF($D170=0,"",ROUND(AVERAGEIFS(Assessments!J:J,Assessments!G:G,$A170,Assessments!B:B,"&gt;="&amp;$B$4,Assessments!B:B,"&lt;="&amp;$B$5),0))</f>
        <v/>
      </c>
      <c r="F170">
        <f>IF($D170=0,"",IFERROR(AVERAGEIFS(Assessments!J:J,Assessments!G:G,$A170,Assessments!B:B,$B$5),0)-IFERROR(AVERAGEIFS(Assessments!J:J,Assessments!G:G,$A170,Assessments!B:B,$B$4),0))</f>
        <v/>
      </c>
      <c r="G170">
        <f>IF($D170=0,"",MAXIFS(Assessments!J:J,Assessments!G:G,$A170,Assessments!B:B,"&gt;="&amp;$B$4,Assessments!B:B,"&lt;="&amp;$B$5))</f>
        <v/>
      </c>
      <c r="H170">
        <f>IF($D170=0,"",MINIFS(Assessments!J:J,Assessments!G:G,$A170,Assessments!B:B,"&gt;="&amp;$B$4,Assessments!B:B,"&lt;="&amp;$B$5))</f>
        <v/>
      </c>
    </row>
    <row r="171">
      <c r="A171">
        <f>IF(Students!A165="","",Students!A165)</f>
        <v/>
      </c>
      <c r="B171">
        <f>IF($A171="","",Students!B165)</f>
        <v/>
      </c>
      <c r="C171">
        <f>IF($A171="","",Students!C165)</f>
        <v/>
      </c>
      <c r="D171">
        <f>IF($A171="","",COUNTIFS(Assessments!G:G,$A171,Assessments!B:B,"&gt;="&amp;$B$4,Assessments!B:B,"&lt;="&amp;$B$5))</f>
        <v/>
      </c>
      <c r="E171">
        <f>IF($D171=0,"",ROUND(AVERAGEIFS(Assessments!J:J,Assessments!G:G,$A171,Assessments!B:B,"&gt;="&amp;$B$4,Assessments!B:B,"&lt;="&amp;$B$5),0))</f>
        <v/>
      </c>
      <c r="F171">
        <f>IF($D171=0,"",IFERROR(AVERAGEIFS(Assessments!J:J,Assessments!G:G,$A171,Assessments!B:B,$B$5),0)-IFERROR(AVERAGEIFS(Assessments!J:J,Assessments!G:G,$A171,Assessments!B:B,$B$4),0))</f>
        <v/>
      </c>
      <c r="G171">
        <f>IF($D171=0,"",MAXIFS(Assessments!J:J,Assessments!G:G,$A171,Assessments!B:B,"&gt;="&amp;$B$4,Assessments!B:B,"&lt;="&amp;$B$5))</f>
        <v/>
      </c>
      <c r="H171">
        <f>IF($D171=0,"",MINIFS(Assessments!J:J,Assessments!G:G,$A171,Assessments!B:B,"&gt;="&amp;$B$4,Assessments!B:B,"&lt;="&amp;$B$5))</f>
        <v/>
      </c>
    </row>
    <row r="172">
      <c r="A172">
        <f>IF(Students!A166="","",Students!A166)</f>
        <v/>
      </c>
      <c r="B172">
        <f>IF($A172="","",Students!B166)</f>
        <v/>
      </c>
      <c r="C172">
        <f>IF($A172="","",Students!C166)</f>
        <v/>
      </c>
      <c r="D172">
        <f>IF($A172="","",COUNTIFS(Assessments!G:G,$A172,Assessments!B:B,"&gt;="&amp;$B$4,Assessments!B:B,"&lt;="&amp;$B$5))</f>
        <v/>
      </c>
      <c r="E172">
        <f>IF($D172=0,"",ROUND(AVERAGEIFS(Assessments!J:J,Assessments!G:G,$A172,Assessments!B:B,"&gt;="&amp;$B$4,Assessments!B:B,"&lt;="&amp;$B$5),0))</f>
        <v/>
      </c>
      <c r="F172">
        <f>IF($D172=0,"",IFERROR(AVERAGEIFS(Assessments!J:J,Assessments!G:G,$A172,Assessments!B:B,$B$5),0)-IFERROR(AVERAGEIFS(Assessments!J:J,Assessments!G:G,$A172,Assessments!B:B,$B$4),0))</f>
        <v/>
      </c>
      <c r="G172">
        <f>IF($D172=0,"",MAXIFS(Assessments!J:J,Assessments!G:G,$A172,Assessments!B:B,"&gt;="&amp;$B$4,Assessments!B:B,"&lt;="&amp;$B$5))</f>
        <v/>
      </c>
      <c r="H172">
        <f>IF($D172=0,"",MINIFS(Assessments!J:J,Assessments!G:G,$A172,Assessments!B:B,"&gt;="&amp;$B$4,Assessments!B:B,"&lt;="&amp;$B$5))</f>
        <v/>
      </c>
    </row>
    <row r="173">
      <c r="A173">
        <f>IF(Students!A167="","",Students!A167)</f>
        <v/>
      </c>
      <c r="B173">
        <f>IF($A173="","",Students!B167)</f>
        <v/>
      </c>
      <c r="C173">
        <f>IF($A173="","",Students!C167)</f>
        <v/>
      </c>
      <c r="D173">
        <f>IF($A173="","",COUNTIFS(Assessments!G:G,$A173,Assessments!B:B,"&gt;="&amp;$B$4,Assessments!B:B,"&lt;="&amp;$B$5))</f>
        <v/>
      </c>
      <c r="E173">
        <f>IF($D173=0,"",ROUND(AVERAGEIFS(Assessments!J:J,Assessments!G:G,$A173,Assessments!B:B,"&gt;="&amp;$B$4,Assessments!B:B,"&lt;="&amp;$B$5),0))</f>
        <v/>
      </c>
      <c r="F173">
        <f>IF($D173=0,"",IFERROR(AVERAGEIFS(Assessments!J:J,Assessments!G:G,$A173,Assessments!B:B,$B$5),0)-IFERROR(AVERAGEIFS(Assessments!J:J,Assessments!G:G,$A173,Assessments!B:B,$B$4),0))</f>
        <v/>
      </c>
      <c r="G173">
        <f>IF($D173=0,"",MAXIFS(Assessments!J:J,Assessments!G:G,$A173,Assessments!B:B,"&gt;="&amp;$B$4,Assessments!B:B,"&lt;="&amp;$B$5))</f>
        <v/>
      </c>
      <c r="H173">
        <f>IF($D173=0,"",MINIFS(Assessments!J:J,Assessments!G:G,$A173,Assessments!B:B,"&gt;="&amp;$B$4,Assessments!B:B,"&lt;="&amp;$B$5))</f>
        <v/>
      </c>
    </row>
    <row r="174">
      <c r="A174">
        <f>IF(Students!A168="","",Students!A168)</f>
        <v/>
      </c>
      <c r="B174">
        <f>IF($A174="","",Students!B168)</f>
        <v/>
      </c>
      <c r="C174">
        <f>IF($A174="","",Students!C168)</f>
        <v/>
      </c>
      <c r="D174">
        <f>IF($A174="","",COUNTIFS(Assessments!G:G,$A174,Assessments!B:B,"&gt;="&amp;$B$4,Assessments!B:B,"&lt;="&amp;$B$5))</f>
        <v/>
      </c>
      <c r="E174">
        <f>IF($D174=0,"",ROUND(AVERAGEIFS(Assessments!J:J,Assessments!G:G,$A174,Assessments!B:B,"&gt;="&amp;$B$4,Assessments!B:B,"&lt;="&amp;$B$5),0))</f>
        <v/>
      </c>
      <c r="F174">
        <f>IF($D174=0,"",IFERROR(AVERAGEIFS(Assessments!J:J,Assessments!G:G,$A174,Assessments!B:B,$B$5),0)-IFERROR(AVERAGEIFS(Assessments!J:J,Assessments!G:G,$A174,Assessments!B:B,$B$4),0))</f>
        <v/>
      </c>
      <c r="G174">
        <f>IF($D174=0,"",MAXIFS(Assessments!J:J,Assessments!G:G,$A174,Assessments!B:B,"&gt;="&amp;$B$4,Assessments!B:B,"&lt;="&amp;$B$5))</f>
        <v/>
      </c>
      <c r="H174">
        <f>IF($D174=0,"",MINIFS(Assessments!J:J,Assessments!G:G,$A174,Assessments!B:B,"&gt;="&amp;$B$4,Assessments!B:B,"&lt;="&amp;$B$5))</f>
        <v/>
      </c>
    </row>
    <row r="175">
      <c r="A175">
        <f>IF(Students!A169="","",Students!A169)</f>
        <v/>
      </c>
      <c r="B175">
        <f>IF($A175="","",Students!B169)</f>
        <v/>
      </c>
      <c r="C175">
        <f>IF($A175="","",Students!C169)</f>
        <v/>
      </c>
      <c r="D175">
        <f>IF($A175="","",COUNTIFS(Assessments!G:G,$A175,Assessments!B:B,"&gt;="&amp;$B$4,Assessments!B:B,"&lt;="&amp;$B$5))</f>
        <v/>
      </c>
      <c r="E175">
        <f>IF($D175=0,"",ROUND(AVERAGEIFS(Assessments!J:J,Assessments!G:G,$A175,Assessments!B:B,"&gt;="&amp;$B$4,Assessments!B:B,"&lt;="&amp;$B$5),0))</f>
        <v/>
      </c>
      <c r="F175">
        <f>IF($D175=0,"",IFERROR(AVERAGEIFS(Assessments!J:J,Assessments!G:G,$A175,Assessments!B:B,$B$5),0)-IFERROR(AVERAGEIFS(Assessments!J:J,Assessments!G:G,$A175,Assessments!B:B,$B$4),0))</f>
        <v/>
      </c>
      <c r="G175">
        <f>IF($D175=0,"",MAXIFS(Assessments!J:J,Assessments!G:G,$A175,Assessments!B:B,"&gt;="&amp;$B$4,Assessments!B:B,"&lt;="&amp;$B$5))</f>
        <v/>
      </c>
      <c r="H175">
        <f>IF($D175=0,"",MINIFS(Assessments!J:J,Assessments!G:G,$A175,Assessments!B:B,"&gt;="&amp;$B$4,Assessments!B:B,"&lt;="&amp;$B$5))</f>
        <v/>
      </c>
    </row>
    <row r="176">
      <c r="A176">
        <f>IF(Students!A170="","",Students!A170)</f>
        <v/>
      </c>
      <c r="B176">
        <f>IF($A176="","",Students!B170)</f>
        <v/>
      </c>
      <c r="C176">
        <f>IF($A176="","",Students!C170)</f>
        <v/>
      </c>
      <c r="D176">
        <f>IF($A176="","",COUNTIFS(Assessments!G:G,$A176,Assessments!B:B,"&gt;="&amp;$B$4,Assessments!B:B,"&lt;="&amp;$B$5))</f>
        <v/>
      </c>
      <c r="E176">
        <f>IF($D176=0,"",ROUND(AVERAGEIFS(Assessments!J:J,Assessments!G:G,$A176,Assessments!B:B,"&gt;="&amp;$B$4,Assessments!B:B,"&lt;="&amp;$B$5),0))</f>
        <v/>
      </c>
      <c r="F176">
        <f>IF($D176=0,"",IFERROR(AVERAGEIFS(Assessments!J:J,Assessments!G:G,$A176,Assessments!B:B,$B$5),0)-IFERROR(AVERAGEIFS(Assessments!J:J,Assessments!G:G,$A176,Assessments!B:B,$B$4),0))</f>
        <v/>
      </c>
      <c r="G176">
        <f>IF($D176=0,"",MAXIFS(Assessments!J:J,Assessments!G:G,$A176,Assessments!B:B,"&gt;="&amp;$B$4,Assessments!B:B,"&lt;="&amp;$B$5))</f>
        <v/>
      </c>
      <c r="H176">
        <f>IF($D176=0,"",MINIFS(Assessments!J:J,Assessments!G:G,$A176,Assessments!B:B,"&gt;="&amp;$B$4,Assessments!B:B,"&lt;="&amp;$B$5))</f>
        <v/>
      </c>
    </row>
    <row r="177">
      <c r="A177">
        <f>IF(Students!A171="","",Students!A171)</f>
        <v/>
      </c>
      <c r="B177">
        <f>IF($A177="","",Students!B171)</f>
        <v/>
      </c>
      <c r="C177">
        <f>IF($A177="","",Students!C171)</f>
        <v/>
      </c>
      <c r="D177">
        <f>IF($A177="","",COUNTIFS(Assessments!G:G,$A177,Assessments!B:B,"&gt;="&amp;$B$4,Assessments!B:B,"&lt;="&amp;$B$5))</f>
        <v/>
      </c>
      <c r="E177">
        <f>IF($D177=0,"",ROUND(AVERAGEIFS(Assessments!J:J,Assessments!G:G,$A177,Assessments!B:B,"&gt;="&amp;$B$4,Assessments!B:B,"&lt;="&amp;$B$5),0))</f>
        <v/>
      </c>
      <c r="F177">
        <f>IF($D177=0,"",IFERROR(AVERAGEIFS(Assessments!J:J,Assessments!G:G,$A177,Assessments!B:B,$B$5),0)-IFERROR(AVERAGEIFS(Assessments!J:J,Assessments!G:G,$A177,Assessments!B:B,$B$4),0))</f>
        <v/>
      </c>
      <c r="G177">
        <f>IF($D177=0,"",MAXIFS(Assessments!J:J,Assessments!G:G,$A177,Assessments!B:B,"&gt;="&amp;$B$4,Assessments!B:B,"&lt;="&amp;$B$5))</f>
        <v/>
      </c>
      <c r="H177">
        <f>IF($D177=0,"",MINIFS(Assessments!J:J,Assessments!G:G,$A177,Assessments!B:B,"&gt;="&amp;$B$4,Assessments!B:B,"&lt;="&amp;$B$5))</f>
        <v/>
      </c>
    </row>
    <row r="178">
      <c r="A178">
        <f>IF(Students!A172="","",Students!A172)</f>
        <v/>
      </c>
      <c r="B178">
        <f>IF($A178="","",Students!B172)</f>
        <v/>
      </c>
      <c r="C178">
        <f>IF($A178="","",Students!C172)</f>
        <v/>
      </c>
      <c r="D178">
        <f>IF($A178="","",COUNTIFS(Assessments!G:G,$A178,Assessments!B:B,"&gt;="&amp;$B$4,Assessments!B:B,"&lt;="&amp;$B$5))</f>
        <v/>
      </c>
      <c r="E178">
        <f>IF($D178=0,"",ROUND(AVERAGEIFS(Assessments!J:J,Assessments!G:G,$A178,Assessments!B:B,"&gt;="&amp;$B$4,Assessments!B:B,"&lt;="&amp;$B$5),0))</f>
        <v/>
      </c>
      <c r="F178">
        <f>IF($D178=0,"",IFERROR(AVERAGEIFS(Assessments!J:J,Assessments!G:G,$A178,Assessments!B:B,$B$5),0)-IFERROR(AVERAGEIFS(Assessments!J:J,Assessments!G:G,$A178,Assessments!B:B,$B$4),0))</f>
        <v/>
      </c>
      <c r="G178">
        <f>IF($D178=0,"",MAXIFS(Assessments!J:J,Assessments!G:G,$A178,Assessments!B:B,"&gt;="&amp;$B$4,Assessments!B:B,"&lt;="&amp;$B$5))</f>
        <v/>
      </c>
      <c r="H178">
        <f>IF($D178=0,"",MINIFS(Assessments!J:J,Assessments!G:G,$A178,Assessments!B:B,"&gt;="&amp;$B$4,Assessments!B:B,"&lt;="&amp;$B$5))</f>
        <v/>
      </c>
    </row>
    <row r="179">
      <c r="A179">
        <f>IF(Students!A173="","",Students!A173)</f>
        <v/>
      </c>
      <c r="B179">
        <f>IF($A179="","",Students!B173)</f>
        <v/>
      </c>
      <c r="C179">
        <f>IF($A179="","",Students!C173)</f>
        <v/>
      </c>
      <c r="D179">
        <f>IF($A179="","",COUNTIFS(Assessments!G:G,$A179,Assessments!B:B,"&gt;="&amp;$B$4,Assessments!B:B,"&lt;="&amp;$B$5))</f>
        <v/>
      </c>
      <c r="E179">
        <f>IF($D179=0,"",ROUND(AVERAGEIFS(Assessments!J:J,Assessments!G:G,$A179,Assessments!B:B,"&gt;="&amp;$B$4,Assessments!B:B,"&lt;="&amp;$B$5),0))</f>
        <v/>
      </c>
      <c r="F179">
        <f>IF($D179=0,"",IFERROR(AVERAGEIFS(Assessments!J:J,Assessments!G:G,$A179,Assessments!B:B,$B$5),0)-IFERROR(AVERAGEIFS(Assessments!J:J,Assessments!G:G,$A179,Assessments!B:B,$B$4),0))</f>
        <v/>
      </c>
      <c r="G179">
        <f>IF($D179=0,"",MAXIFS(Assessments!J:J,Assessments!G:G,$A179,Assessments!B:B,"&gt;="&amp;$B$4,Assessments!B:B,"&lt;="&amp;$B$5))</f>
        <v/>
      </c>
      <c r="H179">
        <f>IF($D179=0,"",MINIFS(Assessments!J:J,Assessments!G:G,$A179,Assessments!B:B,"&gt;="&amp;$B$4,Assessments!B:B,"&lt;="&amp;$B$5))</f>
        <v/>
      </c>
    </row>
    <row r="180">
      <c r="A180">
        <f>IF(Students!A174="","",Students!A174)</f>
        <v/>
      </c>
      <c r="B180">
        <f>IF($A180="","",Students!B174)</f>
        <v/>
      </c>
      <c r="C180">
        <f>IF($A180="","",Students!C174)</f>
        <v/>
      </c>
      <c r="D180">
        <f>IF($A180="","",COUNTIFS(Assessments!G:G,$A180,Assessments!B:B,"&gt;="&amp;$B$4,Assessments!B:B,"&lt;="&amp;$B$5))</f>
        <v/>
      </c>
      <c r="E180">
        <f>IF($D180=0,"",ROUND(AVERAGEIFS(Assessments!J:J,Assessments!G:G,$A180,Assessments!B:B,"&gt;="&amp;$B$4,Assessments!B:B,"&lt;="&amp;$B$5),0))</f>
        <v/>
      </c>
      <c r="F180">
        <f>IF($D180=0,"",IFERROR(AVERAGEIFS(Assessments!J:J,Assessments!G:G,$A180,Assessments!B:B,$B$5),0)-IFERROR(AVERAGEIFS(Assessments!J:J,Assessments!G:G,$A180,Assessments!B:B,$B$4),0))</f>
        <v/>
      </c>
      <c r="G180">
        <f>IF($D180=0,"",MAXIFS(Assessments!J:J,Assessments!G:G,$A180,Assessments!B:B,"&gt;="&amp;$B$4,Assessments!B:B,"&lt;="&amp;$B$5))</f>
        <v/>
      </c>
      <c r="H180">
        <f>IF($D180=0,"",MINIFS(Assessments!J:J,Assessments!G:G,$A180,Assessments!B:B,"&gt;="&amp;$B$4,Assessments!B:B,"&lt;="&amp;$B$5))</f>
        <v/>
      </c>
    </row>
    <row r="181">
      <c r="A181">
        <f>IF(Students!A175="","",Students!A175)</f>
        <v/>
      </c>
      <c r="B181">
        <f>IF($A181="","",Students!B175)</f>
        <v/>
      </c>
      <c r="C181">
        <f>IF($A181="","",Students!C175)</f>
        <v/>
      </c>
      <c r="D181">
        <f>IF($A181="","",COUNTIFS(Assessments!G:G,$A181,Assessments!B:B,"&gt;="&amp;$B$4,Assessments!B:B,"&lt;="&amp;$B$5))</f>
        <v/>
      </c>
      <c r="E181">
        <f>IF($D181=0,"",ROUND(AVERAGEIFS(Assessments!J:J,Assessments!G:G,$A181,Assessments!B:B,"&gt;="&amp;$B$4,Assessments!B:B,"&lt;="&amp;$B$5),0))</f>
        <v/>
      </c>
      <c r="F181">
        <f>IF($D181=0,"",IFERROR(AVERAGEIFS(Assessments!J:J,Assessments!G:G,$A181,Assessments!B:B,$B$5),0)-IFERROR(AVERAGEIFS(Assessments!J:J,Assessments!G:G,$A181,Assessments!B:B,$B$4),0))</f>
        <v/>
      </c>
      <c r="G181">
        <f>IF($D181=0,"",MAXIFS(Assessments!J:J,Assessments!G:G,$A181,Assessments!B:B,"&gt;="&amp;$B$4,Assessments!B:B,"&lt;="&amp;$B$5))</f>
        <v/>
      </c>
      <c r="H181">
        <f>IF($D181=0,"",MINIFS(Assessments!J:J,Assessments!G:G,$A181,Assessments!B:B,"&gt;="&amp;$B$4,Assessments!B:B,"&lt;="&amp;$B$5))</f>
        <v/>
      </c>
    </row>
    <row r="182">
      <c r="A182">
        <f>IF(Students!A176="","",Students!A176)</f>
        <v/>
      </c>
      <c r="B182">
        <f>IF($A182="","",Students!B176)</f>
        <v/>
      </c>
      <c r="C182">
        <f>IF($A182="","",Students!C176)</f>
        <v/>
      </c>
      <c r="D182">
        <f>IF($A182="","",COUNTIFS(Assessments!G:G,$A182,Assessments!B:B,"&gt;="&amp;$B$4,Assessments!B:B,"&lt;="&amp;$B$5))</f>
        <v/>
      </c>
      <c r="E182">
        <f>IF($D182=0,"",ROUND(AVERAGEIFS(Assessments!J:J,Assessments!G:G,$A182,Assessments!B:B,"&gt;="&amp;$B$4,Assessments!B:B,"&lt;="&amp;$B$5),0))</f>
        <v/>
      </c>
      <c r="F182">
        <f>IF($D182=0,"",IFERROR(AVERAGEIFS(Assessments!J:J,Assessments!G:G,$A182,Assessments!B:B,$B$5),0)-IFERROR(AVERAGEIFS(Assessments!J:J,Assessments!G:G,$A182,Assessments!B:B,$B$4),0))</f>
        <v/>
      </c>
      <c r="G182">
        <f>IF($D182=0,"",MAXIFS(Assessments!J:J,Assessments!G:G,$A182,Assessments!B:B,"&gt;="&amp;$B$4,Assessments!B:B,"&lt;="&amp;$B$5))</f>
        <v/>
      </c>
      <c r="H182">
        <f>IF($D182=0,"",MINIFS(Assessments!J:J,Assessments!G:G,$A182,Assessments!B:B,"&gt;="&amp;$B$4,Assessments!B:B,"&lt;="&amp;$B$5))</f>
        <v/>
      </c>
    </row>
    <row r="183">
      <c r="A183">
        <f>IF(Students!A177="","",Students!A177)</f>
        <v/>
      </c>
      <c r="B183">
        <f>IF($A183="","",Students!B177)</f>
        <v/>
      </c>
      <c r="C183">
        <f>IF($A183="","",Students!C177)</f>
        <v/>
      </c>
      <c r="D183">
        <f>IF($A183="","",COUNTIFS(Assessments!G:G,$A183,Assessments!B:B,"&gt;="&amp;$B$4,Assessments!B:B,"&lt;="&amp;$B$5))</f>
        <v/>
      </c>
      <c r="E183">
        <f>IF($D183=0,"",ROUND(AVERAGEIFS(Assessments!J:J,Assessments!G:G,$A183,Assessments!B:B,"&gt;="&amp;$B$4,Assessments!B:B,"&lt;="&amp;$B$5),0))</f>
        <v/>
      </c>
      <c r="F183">
        <f>IF($D183=0,"",IFERROR(AVERAGEIFS(Assessments!J:J,Assessments!G:G,$A183,Assessments!B:B,$B$5),0)-IFERROR(AVERAGEIFS(Assessments!J:J,Assessments!G:G,$A183,Assessments!B:B,$B$4),0))</f>
        <v/>
      </c>
      <c r="G183">
        <f>IF($D183=0,"",MAXIFS(Assessments!J:J,Assessments!G:G,$A183,Assessments!B:B,"&gt;="&amp;$B$4,Assessments!B:B,"&lt;="&amp;$B$5))</f>
        <v/>
      </c>
      <c r="H183">
        <f>IF($D183=0,"",MINIFS(Assessments!J:J,Assessments!G:G,$A183,Assessments!B:B,"&gt;="&amp;$B$4,Assessments!B:B,"&lt;="&amp;$B$5))</f>
        <v/>
      </c>
    </row>
    <row r="184">
      <c r="A184">
        <f>IF(Students!A178="","",Students!A178)</f>
        <v/>
      </c>
      <c r="B184">
        <f>IF($A184="","",Students!B178)</f>
        <v/>
      </c>
      <c r="C184">
        <f>IF($A184="","",Students!C178)</f>
        <v/>
      </c>
      <c r="D184">
        <f>IF($A184="","",COUNTIFS(Assessments!G:G,$A184,Assessments!B:B,"&gt;="&amp;$B$4,Assessments!B:B,"&lt;="&amp;$B$5))</f>
        <v/>
      </c>
      <c r="E184">
        <f>IF($D184=0,"",ROUND(AVERAGEIFS(Assessments!J:J,Assessments!G:G,$A184,Assessments!B:B,"&gt;="&amp;$B$4,Assessments!B:B,"&lt;="&amp;$B$5),0))</f>
        <v/>
      </c>
      <c r="F184">
        <f>IF($D184=0,"",IFERROR(AVERAGEIFS(Assessments!J:J,Assessments!G:G,$A184,Assessments!B:B,$B$5),0)-IFERROR(AVERAGEIFS(Assessments!J:J,Assessments!G:G,$A184,Assessments!B:B,$B$4),0))</f>
        <v/>
      </c>
      <c r="G184">
        <f>IF($D184=0,"",MAXIFS(Assessments!J:J,Assessments!G:G,$A184,Assessments!B:B,"&gt;="&amp;$B$4,Assessments!B:B,"&lt;="&amp;$B$5))</f>
        <v/>
      </c>
      <c r="H184">
        <f>IF($D184=0,"",MINIFS(Assessments!J:J,Assessments!G:G,$A184,Assessments!B:B,"&gt;="&amp;$B$4,Assessments!B:B,"&lt;="&amp;$B$5))</f>
        <v/>
      </c>
    </row>
    <row r="185">
      <c r="A185">
        <f>IF(Students!A179="","",Students!A179)</f>
        <v/>
      </c>
      <c r="B185">
        <f>IF($A185="","",Students!B179)</f>
        <v/>
      </c>
      <c r="C185">
        <f>IF($A185="","",Students!C179)</f>
        <v/>
      </c>
      <c r="D185">
        <f>IF($A185="","",COUNTIFS(Assessments!G:G,$A185,Assessments!B:B,"&gt;="&amp;$B$4,Assessments!B:B,"&lt;="&amp;$B$5))</f>
        <v/>
      </c>
      <c r="E185">
        <f>IF($D185=0,"",ROUND(AVERAGEIFS(Assessments!J:J,Assessments!G:G,$A185,Assessments!B:B,"&gt;="&amp;$B$4,Assessments!B:B,"&lt;="&amp;$B$5),0))</f>
        <v/>
      </c>
      <c r="F185">
        <f>IF($D185=0,"",IFERROR(AVERAGEIFS(Assessments!J:J,Assessments!G:G,$A185,Assessments!B:B,$B$5),0)-IFERROR(AVERAGEIFS(Assessments!J:J,Assessments!G:G,$A185,Assessments!B:B,$B$4),0))</f>
        <v/>
      </c>
      <c r="G185">
        <f>IF($D185=0,"",MAXIFS(Assessments!J:J,Assessments!G:G,$A185,Assessments!B:B,"&gt;="&amp;$B$4,Assessments!B:B,"&lt;="&amp;$B$5))</f>
        <v/>
      </c>
      <c r="H185">
        <f>IF($D185=0,"",MINIFS(Assessments!J:J,Assessments!G:G,$A185,Assessments!B:B,"&gt;="&amp;$B$4,Assessments!B:B,"&lt;="&amp;$B$5))</f>
        <v/>
      </c>
    </row>
    <row r="186">
      <c r="A186">
        <f>IF(Students!A180="","",Students!A180)</f>
        <v/>
      </c>
      <c r="B186">
        <f>IF($A186="","",Students!B180)</f>
        <v/>
      </c>
      <c r="C186">
        <f>IF($A186="","",Students!C180)</f>
        <v/>
      </c>
      <c r="D186">
        <f>IF($A186="","",COUNTIFS(Assessments!G:G,$A186,Assessments!B:B,"&gt;="&amp;$B$4,Assessments!B:B,"&lt;="&amp;$B$5))</f>
        <v/>
      </c>
      <c r="E186">
        <f>IF($D186=0,"",ROUND(AVERAGEIFS(Assessments!J:J,Assessments!G:G,$A186,Assessments!B:B,"&gt;="&amp;$B$4,Assessments!B:B,"&lt;="&amp;$B$5),0))</f>
        <v/>
      </c>
      <c r="F186">
        <f>IF($D186=0,"",IFERROR(AVERAGEIFS(Assessments!J:J,Assessments!G:G,$A186,Assessments!B:B,$B$5),0)-IFERROR(AVERAGEIFS(Assessments!J:J,Assessments!G:G,$A186,Assessments!B:B,$B$4),0))</f>
        <v/>
      </c>
      <c r="G186">
        <f>IF($D186=0,"",MAXIFS(Assessments!J:J,Assessments!G:G,$A186,Assessments!B:B,"&gt;="&amp;$B$4,Assessments!B:B,"&lt;="&amp;$B$5))</f>
        <v/>
      </c>
      <c r="H186">
        <f>IF($D186=0,"",MINIFS(Assessments!J:J,Assessments!G:G,$A186,Assessments!B:B,"&gt;="&amp;$B$4,Assessments!B:B,"&lt;="&amp;$B$5))</f>
        <v/>
      </c>
    </row>
    <row r="187">
      <c r="A187">
        <f>IF(Students!A181="","",Students!A181)</f>
        <v/>
      </c>
      <c r="B187">
        <f>IF($A187="","",Students!B181)</f>
        <v/>
      </c>
      <c r="C187">
        <f>IF($A187="","",Students!C181)</f>
        <v/>
      </c>
      <c r="D187">
        <f>IF($A187="","",COUNTIFS(Assessments!G:G,$A187,Assessments!B:B,"&gt;="&amp;$B$4,Assessments!B:B,"&lt;="&amp;$B$5))</f>
        <v/>
      </c>
      <c r="E187">
        <f>IF($D187=0,"",ROUND(AVERAGEIFS(Assessments!J:J,Assessments!G:G,$A187,Assessments!B:B,"&gt;="&amp;$B$4,Assessments!B:B,"&lt;="&amp;$B$5),0))</f>
        <v/>
      </c>
      <c r="F187">
        <f>IF($D187=0,"",IFERROR(AVERAGEIFS(Assessments!J:J,Assessments!G:G,$A187,Assessments!B:B,$B$5),0)-IFERROR(AVERAGEIFS(Assessments!J:J,Assessments!G:G,$A187,Assessments!B:B,$B$4),0))</f>
        <v/>
      </c>
      <c r="G187">
        <f>IF($D187=0,"",MAXIFS(Assessments!J:J,Assessments!G:G,$A187,Assessments!B:B,"&gt;="&amp;$B$4,Assessments!B:B,"&lt;="&amp;$B$5))</f>
        <v/>
      </c>
      <c r="H187">
        <f>IF($D187=0,"",MINIFS(Assessments!J:J,Assessments!G:G,$A187,Assessments!B:B,"&gt;="&amp;$B$4,Assessments!B:B,"&lt;="&amp;$B$5))</f>
        <v/>
      </c>
    </row>
    <row r="188">
      <c r="A188">
        <f>IF(Students!A182="","",Students!A182)</f>
        <v/>
      </c>
      <c r="B188">
        <f>IF($A188="","",Students!B182)</f>
        <v/>
      </c>
      <c r="C188">
        <f>IF($A188="","",Students!C182)</f>
        <v/>
      </c>
      <c r="D188">
        <f>IF($A188="","",COUNTIFS(Assessments!G:G,$A188,Assessments!B:B,"&gt;="&amp;$B$4,Assessments!B:B,"&lt;="&amp;$B$5))</f>
        <v/>
      </c>
      <c r="E188">
        <f>IF($D188=0,"",ROUND(AVERAGEIFS(Assessments!J:J,Assessments!G:G,$A188,Assessments!B:B,"&gt;="&amp;$B$4,Assessments!B:B,"&lt;="&amp;$B$5),0))</f>
        <v/>
      </c>
      <c r="F188">
        <f>IF($D188=0,"",IFERROR(AVERAGEIFS(Assessments!J:J,Assessments!G:G,$A188,Assessments!B:B,$B$5),0)-IFERROR(AVERAGEIFS(Assessments!J:J,Assessments!G:G,$A188,Assessments!B:B,$B$4),0))</f>
        <v/>
      </c>
      <c r="G188">
        <f>IF($D188=0,"",MAXIFS(Assessments!J:J,Assessments!G:G,$A188,Assessments!B:B,"&gt;="&amp;$B$4,Assessments!B:B,"&lt;="&amp;$B$5))</f>
        <v/>
      </c>
      <c r="H188">
        <f>IF($D188=0,"",MINIFS(Assessments!J:J,Assessments!G:G,$A188,Assessments!B:B,"&gt;="&amp;$B$4,Assessments!B:B,"&lt;="&amp;$B$5))</f>
        <v/>
      </c>
    </row>
    <row r="189">
      <c r="A189">
        <f>IF(Students!A183="","",Students!A183)</f>
        <v/>
      </c>
      <c r="B189">
        <f>IF($A189="","",Students!B183)</f>
        <v/>
      </c>
      <c r="C189">
        <f>IF($A189="","",Students!C183)</f>
        <v/>
      </c>
      <c r="D189">
        <f>IF($A189="","",COUNTIFS(Assessments!G:G,$A189,Assessments!B:B,"&gt;="&amp;$B$4,Assessments!B:B,"&lt;="&amp;$B$5))</f>
        <v/>
      </c>
      <c r="E189">
        <f>IF($D189=0,"",ROUND(AVERAGEIFS(Assessments!J:J,Assessments!G:G,$A189,Assessments!B:B,"&gt;="&amp;$B$4,Assessments!B:B,"&lt;="&amp;$B$5),0))</f>
        <v/>
      </c>
      <c r="F189">
        <f>IF($D189=0,"",IFERROR(AVERAGEIFS(Assessments!J:J,Assessments!G:G,$A189,Assessments!B:B,$B$5),0)-IFERROR(AVERAGEIFS(Assessments!J:J,Assessments!G:G,$A189,Assessments!B:B,$B$4),0))</f>
        <v/>
      </c>
      <c r="G189">
        <f>IF($D189=0,"",MAXIFS(Assessments!J:J,Assessments!G:G,$A189,Assessments!B:B,"&gt;="&amp;$B$4,Assessments!B:B,"&lt;="&amp;$B$5))</f>
        <v/>
      </c>
      <c r="H189">
        <f>IF($D189=0,"",MINIFS(Assessments!J:J,Assessments!G:G,$A189,Assessments!B:B,"&gt;="&amp;$B$4,Assessments!B:B,"&lt;="&amp;$B$5))</f>
        <v/>
      </c>
    </row>
    <row r="190">
      <c r="A190">
        <f>IF(Students!A184="","",Students!A184)</f>
        <v/>
      </c>
      <c r="B190">
        <f>IF($A190="","",Students!B184)</f>
        <v/>
      </c>
      <c r="C190">
        <f>IF($A190="","",Students!C184)</f>
        <v/>
      </c>
      <c r="D190">
        <f>IF($A190="","",COUNTIFS(Assessments!G:G,$A190,Assessments!B:B,"&gt;="&amp;$B$4,Assessments!B:B,"&lt;="&amp;$B$5))</f>
        <v/>
      </c>
      <c r="E190">
        <f>IF($D190=0,"",ROUND(AVERAGEIFS(Assessments!J:J,Assessments!G:G,$A190,Assessments!B:B,"&gt;="&amp;$B$4,Assessments!B:B,"&lt;="&amp;$B$5),0))</f>
        <v/>
      </c>
      <c r="F190">
        <f>IF($D190=0,"",IFERROR(AVERAGEIFS(Assessments!J:J,Assessments!G:G,$A190,Assessments!B:B,$B$5),0)-IFERROR(AVERAGEIFS(Assessments!J:J,Assessments!G:G,$A190,Assessments!B:B,$B$4),0))</f>
        <v/>
      </c>
      <c r="G190">
        <f>IF($D190=0,"",MAXIFS(Assessments!J:J,Assessments!G:G,$A190,Assessments!B:B,"&gt;="&amp;$B$4,Assessments!B:B,"&lt;="&amp;$B$5))</f>
        <v/>
      </c>
      <c r="H190">
        <f>IF($D190=0,"",MINIFS(Assessments!J:J,Assessments!G:G,$A190,Assessments!B:B,"&gt;="&amp;$B$4,Assessments!B:B,"&lt;="&amp;$B$5))</f>
        <v/>
      </c>
    </row>
    <row r="191">
      <c r="A191">
        <f>IF(Students!A185="","",Students!A185)</f>
        <v/>
      </c>
      <c r="B191">
        <f>IF($A191="","",Students!B185)</f>
        <v/>
      </c>
      <c r="C191">
        <f>IF($A191="","",Students!C185)</f>
        <v/>
      </c>
      <c r="D191">
        <f>IF($A191="","",COUNTIFS(Assessments!G:G,$A191,Assessments!B:B,"&gt;="&amp;$B$4,Assessments!B:B,"&lt;="&amp;$B$5))</f>
        <v/>
      </c>
      <c r="E191">
        <f>IF($D191=0,"",ROUND(AVERAGEIFS(Assessments!J:J,Assessments!G:G,$A191,Assessments!B:B,"&gt;="&amp;$B$4,Assessments!B:B,"&lt;="&amp;$B$5),0))</f>
        <v/>
      </c>
      <c r="F191">
        <f>IF($D191=0,"",IFERROR(AVERAGEIFS(Assessments!J:J,Assessments!G:G,$A191,Assessments!B:B,$B$5),0)-IFERROR(AVERAGEIFS(Assessments!J:J,Assessments!G:G,$A191,Assessments!B:B,$B$4),0))</f>
        <v/>
      </c>
      <c r="G191">
        <f>IF($D191=0,"",MAXIFS(Assessments!J:J,Assessments!G:G,$A191,Assessments!B:B,"&gt;="&amp;$B$4,Assessments!B:B,"&lt;="&amp;$B$5))</f>
        <v/>
      </c>
      <c r="H191">
        <f>IF($D191=0,"",MINIFS(Assessments!J:J,Assessments!G:G,$A191,Assessments!B:B,"&gt;="&amp;$B$4,Assessments!B:B,"&lt;="&amp;$B$5))</f>
        <v/>
      </c>
    </row>
    <row r="192">
      <c r="A192">
        <f>IF(Students!A186="","",Students!A186)</f>
        <v/>
      </c>
      <c r="B192">
        <f>IF($A192="","",Students!B186)</f>
        <v/>
      </c>
      <c r="C192">
        <f>IF($A192="","",Students!C186)</f>
        <v/>
      </c>
      <c r="D192">
        <f>IF($A192="","",COUNTIFS(Assessments!G:G,$A192,Assessments!B:B,"&gt;="&amp;$B$4,Assessments!B:B,"&lt;="&amp;$B$5))</f>
        <v/>
      </c>
      <c r="E192">
        <f>IF($D192=0,"",ROUND(AVERAGEIFS(Assessments!J:J,Assessments!G:G,$A192,Assessments!B:B,"&gt;="&amp;$B$4,Assessments!B:B,"&lt;="&amp;$B$5),0))</f>
        <v/>
      </c>
      <c r="F192">
        <f>IF($D192=0,"",IFERROR(AVERAGEIFS(Assessments!J:J,Assessments!G:G,$A192,Assessments!B:B,$B$5),0)-IFERROR(AVERAGEIFS(Assessments!J:J,Assessments!G:G,$A192,Assessments!B:B,$B$4),0))</f>
        <v/>
      </c>
      <c r="G192">
        <f>IF($D192=0,"",MAXIFS(Assessments!J:J,Assessments!G:G,$A192,Assessments!B:B,"&gt;="&amp;$B$4,Assessments!B:B,"&lt;="&amp;$B$5))</f>
        <v/>
      </c>
      <c r="H192">
        <f>IF($D192=0,"",MINIFS(Assessments!J:J,Assessments!G:G,$A192,Assessments!B:B,"&gt;="&amp;$B$4,Assessments!B:B,"&lt;="&amp;$B$5))</f>
        <v/>
      </c>
    </row>
    <row r="193">
      <c r="A193">
        <f>IF(Students!A187="","",Students!A187)</f>
        <v/>
      </c>
      <c r="B193">
        <f>IF($A193="","",Students!B187)</f>
        <v/>
      </c>
      <c r="C193">
        <f>IF($A193="","",Students!C187)</f>
        <v/>
      </c>
      <c r="D193">
        <f>IF($A193="","",COUNTIFS(Assessments!G:G,$A193,Assessments!B:B,"&gt;="&amp;$B$4,Assessments!B:B,"&lt;="&amp;$B$5))</f>
        <v/>
      </c>
      <c r="E193">
        <f>IF($D193=0,"",ROUND(AVERAGEIFS(Assessments!J:J,Assessments!G:G,$A193,Assessments!B:B,"&gt;="&amp;$B$4,Assessments!B:B,"&lt;="&amp;$B$5),0))</f>
        <v/>
      </c>
      <c r="F193">
        <f>IF($D193=0,"",IFERROR(AVERAGEIFS(Assessments!J:J,Assessments!G:G,$A193,Assessments!B:B,$B$5),0)-IFERROR(AVERAGEIFS(Assessments!J:J,Assessments!G:G,$A193,Assessments!B:B,$B$4),0))</f>
        <v/>
      </c>
      <c r="G193">
        <f>IF($D193=0,"",MAXIFS(Assessments!J:J,Assessments!G:G,$A193,Assessments!B:B,"&gt;="&amp;$B$4,Assessments!B:B,"&lt;="&amp;$B$5))</f>
        <v/>
      </c>
      <c r="H193">
        <f>IF($D193=0,"",MINIFS(Assessments!J:J,Assessments!G:G,$A193,Assessments!B:B,"&gt;="&amp;$B$4,Assessments!B:B,"&lt;="&amp;$B$5))</f>
        <v/>
      </c>
    </row>
    <row r="194">
      <c r="A194">
        <f>IF(Students!A188="","",Students!A188)</f>
        <v/>
      </c>
      <c r="B194">
        <f>IF($A194="","",Students!B188)</f>
        <v/>
      </c>
      <c r="C194">
        <f>IF($A194="","",Students!C188)</f>
        <v/>
      </c>
      <c r="D194">
        <f>IF($A194="","",COUNTIFS(Assessments!G:G,$A194,Assessments!B:B,"&gt;="&amp;$B$4,Assessments!B:B,"&lt;="&amp;$B$5))</f>
        <v/>
      </c>
      <c r="E194">
        <f>IF($D194=0,"",ROUND(AVERAGEIFS(Assessments!J:J,Assessments!G:G,$A194,Assessments!B:B,"&gt;="&amp;$B$4,Assessments!B:B,"&lt;="&amp;$B$5),0))</f>
        <v/>
      </c>
      <c r="F194">
        <f>IF($D194=0,"",IFERROR(AVERAGEIFS(Assessments!J:J,Assessments!G:G,$A194,Assessments!B:B,$B$5),0)-IFERROR(AVERAGEIFS(Assessments!J:J,Assessments!G:G,$A194,Assessments!B:B,$B$4),0))</f>
        <v/>
      </c>
      <c r="G194">
        <f>IF($D194=0,"",MAXIFS(Assessments!J:J,Assessments!G:G,$A194,Assessments!B:B,"&gt;="&amp;$B$4,Assessments!B:B,"&lt;="&amp;$B$5))</f>
        <v/>
      </c>
      <c r="H194">
        <f>IF($D194=0,"",MINIFS(Assessments!J:J,Assessments!G:G,$A194,Assessments!B:B,"&gt;="&amp;$B$4,Assessments!B:B,"&lt;="&amp;$B$5))</f>
        <v/>
      </c>
    </row>
    <row r="195">
      <c r="A195">
        <f>IF(Students!A189="","",Students!A189)</f>
        <v/>
      </c>
      <c r="B195">
        <f>IF($A195="","",Students!B189)</f>
        <v/>
      </c>
      <c r="C195">
        <f>IF($A195="","",Students!C189)</f>
        <v/>
      </c>
      <c r="D195">
        <f>IF($A195="","",COUNTIFS(Assessments!G:G,$A195,Assessments!B:B,"&gt;="&amp;$B$4,Assessments!B:B,"&lt;="&amp;$B$5))</f>
        <v/>
      </c>
      <c r="E195">
        <f>IF($D195=0,"",ROUND(AVERAGEIFS(Assessments!J:J,Assessments!G:G,$A195,Assessments!B:B,"&gt;="&amp;$B$4,Assessments!B:B,"&lt;="&amp;$B$5),0))</f>
        <v/>
      </c>
      <c r="F195">
        <f>IF($D195=0,"",IFERROR(AVERAGEIFS(Assessments!J:J,Assessments!G:G,$A195,Assessments!B:B,$B$5),0)-IFERROR(AVERAGEIFS(Assessments!J:J,Assessments!G:G,$A195,Assessments!B:B,$B$4),0))</f>
        <v/>
      </c>
      <c r="G195">
        <f>IF($D195=0,"",MAXIFS(Assessments!J:J,Assessments!G:G,$A195,Assessments!B:B,"&gt;="&amp;$B$4,Assessments!B:B,"&lt;="&amp;$B$5))</f>
        <v/>
      </c>
      <c r="H195">
        <f>IF($D195=0,"",MINIFS(Assessments!J:J,Assessments!G:G,$A195,Assessments!B:B,"&gt;="&amp;$B$4,Assessments!B:B,"&lt;="&amp;$B$5))</f>
        <v/>
      </c>
    </row>
    <row r="196">
      <c r="A196">
        <f>IF(Students!A190="","",Students!A190)</f>
        <v/>
      </c>
      <c r="B196">
        <f>IF($A196="","",Students!B190)</f>
        <v/>
      </c>
      <c r="C196">
        <f>IF($A196="","",Students!C190)</f>
        <v/>
      </c>
      <c r="D196">
        <f>IF($A196="","",COUNTIFS(Assessments!G:G,$A196,Assessments!B:B,"&gt;="&amp;$B$4,Assessments!B:B,"&lt;="&amp;$B$5))</f>
        <v/>
      </c>
      <c r="E196">
        <f>IF($D196=0,"",ROUND(AVERAGEIFS(Assessments!J:J,Assessments!G:G,$A196,Assessments!B:B,"&gt;="&amp;$B$4,Assessments!B:B,"&lt;="&amp;$B$5),0))</f>
        <v/>
      </c>
      <c r="F196">
        <f>IF($D196=0,"",IFERROR(AVERAGEIFS(Assessments!J:J,Assessments!G:G,$A196,Assessments!B:B,$B$5),0)-IFERROR(AVERAGEIFS(Assessments!J:J,Assessments!G:G,$A196,Assessments!B:B,$B$4),0))</f>
        <v/>
      </c>
      <c r="G196">
        <f>IF($D196=0,"",MAXIFS(Assessments!J:J,Assessments!G:G,$A196,Assessments!B:B,"&gt;="&amp;$B$4,Assessments!B:B,"&lt;="&amp;$B$5))</f>
        <v/>
      </c>
      <c r="H196">
        <f>IF($D196=0,"",MINIFS(Assessments!J:J,Assessments!G:G,$A196,Assessments!B:B,"&gt;="&amp;$B$4,Assessments!B:B,"&lt;="&amp;$B$5))</f>
        <v/>
      </c>
    </row>
    <row r="197">
      <c r="A197">
        <f>IF(Students!A191="","",Students!A191)</f>
        <v/>
      </c>
      <c r="B197">
        <f>IF($A197="","",Students!B191)</f>
        <v/>
      </c>
      <c r="C197">
        <f>IF($A197="","",Students!C191)</f>
        <v/>
      </c>
      <c r="D197">
        <f>IF($A197="","",COUNTIFS(Assessments!G:G,$A197,Assessments!B:B,"&gt;="&amp;$B$4,Assessments!B:B,"&lt;="&amp;$B$5))</f>
        <v/>
      </c>
      <c r="E197">
        <f>IF($D197=0,"",ROUND(AVERAGEIFS(Assessments!J:J,Assessments!G:G,$A197,Assessments!B:B,"&gt;="&amp;$B$4,Assessments!B:B,"&lt;="&amp;$B$5),0))</f>
        <v/>
      </c>
      <c r="F197">
        <f>IF($D197=0,"",IFERROR(AVERAGEIFS(Assessments!J:J,Assessments!G:G,$A197,Assessments!B:B,$B$5),0)-IFERROR(AVERAGEIFS(Assessments!J:J,Assessments!G:G,$A197,Assessments!B:B,$B$4),0))</f>
        <v/>
      </c>
      <c r="G197">
        <f>IF($D197=0,"",MAXIFS(Assessments!J:J,Assessments!G:G,$A197,Assessments!B:B,"&gt;="&amp;$B$4,Assessments!B:B,"&lt;="&amp;$B$5))</f>
        <v/>
      </c>
      <c r="H197">
        <f>IF($D197=0,"",MINIFS(Assessments!J:J,Assessments!G:G,$A197,Assessments!B:B,"&gt;="&amp;$B$4,Assessments!B:B,"&lt;="&amp;$B$5))</f>
        <v/>
      </c>
    </row>
    <row r="198">
      <c r="A198">
        <f>IF(Students!A192="","",Students!A192)</f>
        <v/>
      </c>
      <c r="B198">
        <f>IF($A198="","",Students!B192)</f>
        <v/>
      </c>
      <c r="C198">
        <f>IF($A198="","",Students!C192)</f>
        <v/>
      </c>
      <c r="D198">
        <f>IF($A198="","",COUNTIFS(Assessments!G:G,$A198,Assessments!B:B,"&gt;="&amp;$B$4,Assessments!B:B,"&lt;="&amp;$B$5))</f>
        <v/>
      </c>
      <c r="E198">
        <f>IF($D198=0,"",ROUND(AVERAGEIFS(Assessments!J:J,Assessments!G:G,$A198,Assessments!B:B,"&gt;="&amp;$B$4,Assessments!B:B,"&lt;="&amp;$B$5),0))</f>
        <v/>
      </c>
      <c r="F198">
        <f>IF($D198=0,"",IFERROR(AVERAGEIFS(Assessments!J:J,Assessments!G:G,$A198,Assessments!B:B,$B$5),0)-IFERROR(AVERAGEIFS(Assessments!J:J,Assessments!G:G,$A198,Assessments!B:B,$B$4),0))</f>
        <v/>
      </c>
      <c r="G198">
        <f>IF($D198=0,"",MAXIFS(Assessments!J:J,Assessments!G:G,$A198,Assessments!B:B,"&gt;="&amp;$B$4,Assessments!B:B,"&lt;="&amp;$B$5))</f>
        <v/>
      </c>
      <c r="H198">
        <f>IF($D198=0,"",MINIFS(Assessments!J:J,Assessments!G:G,$A198,Assessments!B:B,"&gt;="&amp;$B$4,Assessments!B:B,"&lt;="&amp;$B$5))</f>
        <v/>
      </c>
    </row>
    <row r="199">
      <c r="A199">
        <f>IF(Students!A193="","",Students!A193)</f>
        <v/>
      </c>
      <c r="B199">
        <f>IF($A199="","",Students!B193)</f>
        <v/>
      </c>
      <c r="C199">
        <f>IF($A199="","",Students!C193)</f>
        <v/>
      </c>
      <c r="D199">
        <f>IF($A199="","",COUNTIFS(Assessments!G:G,$A199,Assessments!B:B,"&gt;="&amp;$B$4,Assessments!B:B,"&lt;="&amp;$B$5))</f>
        <v/>
      </c>
      <c r="E199">
        <f>IF($D199=0,"",ROUND(AVERAGEIFS(Assessments!J:J,Assessments!G:G,$A199,Assessments!B:B,"&gt;="&amp;$B$4,Assessments!B:B,"&lt;="&amp;$B$5),0))</f>
        <v/>
      </c>
      <c r="F199">
        <f>IF($D199=0,"",IFERROR(AVERAGEIFS(Assessments!J:J,Assessments!G:G,$A199,Assessments!B:B,$B$5),0)-IFERROR(AVERAGEIFS(Assessments!J:J,Assessments!G:G,$A199,Assessments!B:B,$B$4),0))</f>
        <v/>
      </c>
      <c r="G199">
        <f>IF($D199=0,"",MAXIFS(Assessments!J:J,Assessments!G:G,$A199,Assessments!B:B,"&gt;="&amp;$B$4,Assessments!B:B,"&lt;="&amp;$B$5))</f>
        <v/>
      </c>
      <c r="H199">
        <f>IF($D199=0,"",MINIFS(Assessments!J:J,Assessments!G:G,$A199,Assessments!B:B,"&gt;="&amp;$B$4,Assessments!B:B,"&lt;="&amp;$B$5))</f>
        <v/>
      </c>
    </row>
    <row r="200">
      <c r="A200">
        <f>IF(Students!A194="","",Students!A194)</f>
        <v/>
      </c>
      <c r="B200">
        <f>IF($A200="","",Students!B194)</f>
        <v/>
      </c>
      <c r="C200">
        <f>IF($A200="","",Students!C194)</f>
        <v/>
      </c>
      <c r="D200">
        <f>IF($A200="","",COUNTIFS(Assessments!G:G,$A200,Assessments!B:B,"&gt;="&amp;$B$4,Assessments!B:B,"&lt;="&amp;$B$5))</f>
        <v/>
      </c>
      <c r="E200">
        <f>IF($D200=0,"",ROUND(AVERAGEIFS(Assessments!J:J,Assessments!G:G,$A200,Assessments!B:B,"&gt;="&amp;$B$4,Assessments!B:B,"&lt;="&amp;$B$5),0))</f>
        <v/>
      </c>
      <c r="F200">
        <f>IF($D200=0,"",IFERROR(AVERAGEIFS(Assessments!J:J,Assessments!G:G,$A200,Assessments!B:B,$B$5),0)-IFERROR(AVERAGEIFS(Assessments!J:J,Assessments!G:G,$A200,Assessments!B:B,$B$4),0))</f>
        <v/>
      </c>
      <c r="G200">
        <f>IF($D200=0,"",MAXIFS(Assessments!J:J,Assessments!G:G,$A200,Assessments!B:B,"&gt;="&amp;$B$4,Assessments!B:B,"&lt;="&amp;$B$5))</f>
        <v/>
      </c>
      <c r="H200">
        <f>IF($D200=0,"",MINIFS(Assessments!J:J,Assessments!G:G,$A200,Assessments!B:B,"&gt;="&amp;$B$4,Assessments!B:B,"&lt;="&amp;$B$5))</f>
        <v/>
      </c>
    </row>
    <row r="201">
      <c r="A201">
        <f>IF(Students!A195="","",Students!A195)</f>
        <v/>
      </c>
      <c r="B201">
        <f>IF($A201="","",Students!B195)</f>
        <v/>
      </c>
      <c r="C201">
        <f>IF($A201="","",Students!C195)</f>
        <v/>
      </c>
      <c r="D201">
        <f>IF($A201="","",COUNTIFS(Assessments!G:G,$A201,Assessments!B:B,"&gt;="&amp;$B$4,Assessments!B:B,"&lt;="&amp;$B$5))</f>
        <v/>
      </c>
      <c r="E201">
        <f>IF($D201=0,"",ROUND(AVERAGEIFS(Assessments!J:J,Assessments!G:G,$A201,Assessments!B:B,"&gt;="&amp;$B$4,Assessments!B:B,"&lt;="&amp;$B$5),0))</f>
        <v/>
      </c>
      <c r="F201">
        <f>IF($D201=0,"",IFERROR(AVERAGEIFS(Assessments!J:J,Assessments!G:G,$A201,Assessments!B:B,$B$5),0)-IFERROR(AVERAGEIFS(Assessments!J:J,Assessments!G:G,$A201,Assessments!B:B,$B$4),0))</f>
        <v/>
      </c>
      <c r="G201">
        <f>IF($D201=0,"",MAXIFS(Assessments!J:J,Assessments!G:G,$A201,Assessments!B:B,"&gt;="&amp;$B$4,Assessments!B:B,"&lt;="&amp;$B$5))</f>
        <v/>
      </c>
      <c r="H201">
        <f>IF($D201=0,"",MINIFS(Assessments!J:J,Assessments!G:G,$A201,Assessments!B:B,"&gt;="&amp;$B$4,Assessments!B:B,"&lt;="&amp;$B$5))</f>
        <v/>
      </c>
    </row>
    <row r="202">
      <c r="A202">
        <f>IF(Students!A196="","",Students!A196)</f>
        <v/>
      </c>
      <c r="B202">
        <f>IF($A202="","",Students!B196)</f>
        <v/>
      </c>
      <c r="C202">
        <f>IF($A202="","",Students!C196)</f>
        <v/>
      </c>
      <c r="D202">
        <f>IF($A202="","",COUNTIFS(Assessments!G:G,$A202,Assessments!B:B,"&gt;="&amp;$B$4,Assessments!B:B,"&lt;="&amp;$B$5))</f>
        <v/>
      </c>
      <c r="E202">
        <f>IF($D202=0,"",ROUND(AVERAGEIFS(Assessments!J:J,Assessments!G:G,$A202,Assessments!B:B,"&gt;="&amp;$B$4,Assessments!B:B,"&lt;="&amp;$B$5),0))</f>
        <v/>
      </c>
      <c r="F202">
        <f>IF($D202=0,"",IFERROR(AVERAGEIFS(Assessments!J:J,Assessments!G:G,$A202,Assessments!B:B,$B$5),0)-IFERROR(AVERAGEIFS(Assessments!J:J,Assessments!G:G,$A202,Assessments!B:B,$B$4),0))</f>
        <v/>
      </c>
      <c r="G202">
        <f>IF($D202=0,"",MAXIFS(Assessments!J:J,Assessments!G:G,$A202,Assessments!B:B,"&gt;="&amp;$B$4,Assessments!B:B,"&lt;="&amp;$B$5))</f>
        <v/>
      </c>
      <c r="H202">
        <f>IF($D202=0,"",MINIFS(Assessments!J:J,Assessments!G:G,$A202,Assessments!B:B,"&gt;="&amp;$B$4,Assessments!B:B,"&lt;="&amp;$B$5))</f>
        <v/>
      </c>
    </row>
    <row r="203">
      <c r="A203">
        <f>IF(Students!A197="","",Students!A197)</f>
        <v/>
      </c>
      <c r="B203">
        <f>IF($A203="","",Students!B197)</f>
        <v/>
      </c>
      <c r="C203">
        <f>IF($A203="","",Students!C197)</f>
        <v/>
      </c>
      <c r="D203">
        <f>IF($A203="","",COUNTIFS(Assessments!G:G,$A203,Assessments!B:B,"&gt;="&amp;$B$4,Assessments!B:B,"&lt;="&amp;$B$5))</f>
        <v/>
      </c>
      <c r="E203">
        <f>IF($D203=0,"",ROUND(AVERAGEIFS(Assessments!J:J,Assessments!G:G,$A203,Assessments!B:B,"&gt;="&amp;$B$4,Assessments!B:B,"&lt;="&amp;$B$5),0))</f>
        <v/>
      </c>
      <c r="F203">
        <f>IF($D203=0,"",IFERROR(AVERAGEIFS(Assessments!J:J,Assessments!G:G,$A203,Assessments!B:B,$B$5),0)-IFERROR(AVERAGEIFS(Assessments!J:J,Assessments!G:G,$A203,Assessments!B:B,$B$4),0))</f>
        <v/>
      </c>
      <c r="G203">
        <f>IF($D203=0,"",MAXIFS(Assessments!J:J,Assessments!G:G,$A203,Assessments!B:B,"&gt;="&amp;$B$4,Assessments!B:B,"&lt;="&amp;$B$5))</f>
        <v/>
      </c>
      <c r="H203">
        <f>IF($D203=0,"",MINIFS(Assessments!J:J,Assessments!G:G,$A203,Assessments!B:B,"&gt;="&amp;$B$4,Assessments!B:B,"&lt;="&amp;$B$5))</f>
        <v/>
      </c>
    </row>
    <row r="204">
      <c r="A204">
        <f>IF(Students!A198="","",Students!A198)</f>
        <v/>
      </c>
      <c r="B204">
        <f>IF($A204="","",Students!B198)</f>
        <v/>
      </c>
      <c r="C204">
        <f>IF($A204="","",Students!C198)</f>
        <v/>
      </c>
      <c r="D204">
        <f>IF($A204="","",COUNTIFS(Assessments!G:G,$A204,Assessments!B:B,"&gt;="&amp;$B$4,Assessments!B:B,"&lt;="&amp;$B$5))</f>
        <v/>
      </c>
      <c r="E204">
        <f>IF($D204=0,"",ROUND(AVERAGEIFS(Assessments!J:J,Assessments!G:G,$A204,Assessments!B:B,"&gt;="&amp;$B$4,Assessments!B:B,"&lt;="&amp;$B$5),0))</f>
        <v/>
      </c>
      <c r="F204">
        <f>IF($D204=0,"",IFERROR(AVERAGEIFS(Assessments!J:J,Assessments!G:G,$A204,Assessments!B:B,$B$5),0)-IFERROR(AVERAGEIFS(Assessments!J:J,Assessments!G:G,$A204,Assessments!B:B,$B$4),0))</f>
        <v/>
      </c>
      <c r="G204">
        <f>IF($D204=0,"",MAXIFS(Assessments!J:J,Assessments!G:G,$A204,Assessments!B:B,"&gt;="&amp;$B$4,Assessments!B:B,"&lt;="&amp;$B$5))</f>
        <v/>
      </c>
      <c r="H204">
        <f>IF($D204=0,"",MINIFS(Assessments!J:J,Assessments!G:G,$A204,Assessments!B:B,"&gt;="&amp;$B$4,Assessments!B:B,"&lt;="&amp;$B$5))</f>
        <v/>
      </c>
    </row>
    <row r="205">
      <c r="A205">
        <f>IF(Students!A199="","",Students!A199)</f>
        <v/>
      </c>
      <c r="B205">
        <f>IF($A205="","",Students!B199)</f>
        <v/>
      </c>
      <c r="C205">
        <f>IF($A205="","",Students!C199)</f>
        <v/>
      </c>
      <c r="D205">
        <f>IF($A205="","",COUNTIFS(Assessments!G:G,$A205,Assessments!B:B,"&gt;="&amp;$B$4,Assessments!B:B,"&lt;="&amp;$B$5))</f>
        <v/>
      </c>
      <c r="E205">
        <f>IF($D205=0,"",ROUND(AVERAGEIFS(Assessments!J:J,Assessments!G:G,$A205,Assessments!B:B,"&gt;="&amp;$B$4,Assessments!B:B,"&lt;="&amp;$B$5),0))</f>
        <v/>
      </c>
      <c r="F205">
        <f>IF($D205=0,"",IFERROR(AVERAGEIFS(Assessments!J:J,Assessments!G:G,$A205,Assessments!B:B,$B$5),0)-IFERROR(AVERAGEIFS(Assessments!J:J,Assessments!G:G,$A205,Assessments!B:B,$B$4),0))</f>
        <v/>
      </c>
      <c r="G205">
        <f>IF($D205=0,"",MAXIFS(Assessments!J:J,Assessments!G:G,$A205,Assessments!B:B,"&gt;="&amp;$B$4,Assessments!B:B,"&lt;="&amp;$B$5))</f>
        <v/>
      </c>
      <c r="H205">
        <f>IF($D205=0,"",MINIFS(Assessments!J:J,Assessments!G:G,$A205,Assessments!B:B,"&gt;="&amp;$B$4,Assessments!B:B,"&lt;="&amp;$B$5))</f>
        <v/>
      </c>
    </row>
    <row r="206">
      <c r="A206">
        <f>IF(Students!A200="","",Students!A200)</f>
        <v/>
      </c>
      <c r="B206">
        <f>IF($A206="","",Students!B200)</f>
        <v/>
      </c>
      <c r="C206">
        <f>IF($A206="","",Students!C200)</f>
        <v/>
      </c>
      <c r="D206">
        <f>IF($A206="","",COUNTIFS(Assessments!G:G,$A206,Assessments!B:B,"&gt;="&amp;$B$4,Assessments!B:B,"&lt;="&amp;$B$5))</f>
        <v/>
      </c>
      <c r="E206">
        <f>IF($D206=0,"",ROUND(AVERAGEIFS(Assessments!J:J,Assessments!G:G,$A206,Assessments!B:B,"&gt;="&amp;$B$4,Assessments!B:B,"&lt;="&amp;$B$5),0))</f>
        <v/>
      </c>
      <c r="F206">
        <f>IF($D206=0,"",IFERROR(AVERAGEIFS(Assessments!J:J,Assessments!G:G,$A206,Assessments!B:B,$B$5),0)-IFERROR(AVERAGEIFS(Assessments!J:J,Assessments!G:G,$A206,Assessments!B:B,$B$4),0))</f>
        <v/>
      </c>
      <c r="G206">
        <f>IF($D206=0,"",MAXIFS(Assessments!J:J,Assessments!G:G,$A206,Assessments!B:B,"&gt;="&amp;$B$4,Assessments!B:B,"&lt;="&amp;$B$5))</f>
        <v/>
      </c>
      <c r="H206">
        <f>IF($D206=0,"",MINIFS(Assessments!J:J,Assessments!G:G,$A206,Assessments!B:B,"&gt;="&amp;$B$4,Assessments!B:B,"&lt;="&amp;$B$5))</f>
        <v/>
      </c>
    </row>
    <row r="207">
      <c r="A207">
        <f>IF(Students!A201="","",Students!A201)</f>
        <v/>
      </c>
      <c r="B207">
        <f>IF($A207="","",Students!B201)</f>
        <v/>
      </c>
      <c r="C207">
        <f>IF($A207="","",Students!C201)</f>
        <v/>
      </c>
      <c r="D207">
        <f>IF($A207="","",COUNTIFS(Assessments!G:G,$A207,Assessments!B:B,"&gt;="&amp;$B$4,Assessments!B:B,"&lt;="&amp;$B$5))</f>
        <v/>
      </c>
      <c r="E207">
        <f>IF($D207=0,"",ROUND(AVERAGEIFS(Assessments!J:J,Assessments!G:G,$A207,Assessments!B:B,"&gt;="&amp;$B$4,Assessments!B:B,"&lt;="&amp;$B$5),0))</f>
        <v/>
      </c>
      <c r="F207">
        <f>IF($D207=0,"",IFERROR(AVERAGEIFS(Assessments!J:J,Assessments!G:G,$A207,Assessments!B:B,$B$5),0)-IFERROR(AVERAGEIFS(Assessments!J:J,Assessments!G:G,$A207,Assessments!B:B,$B$4),0))</f>
        <v/>
      </c>
      <c r="G207">
        <f>IF($D207=0,"",MAXIFS(Assessments!J:J,Assessments!G:G,$A207,Assessments!B:B,"&gt;="&amp;$B$4,Assessments!B:B,"&lt;="&amp;$B$5))</f>
        <v/>
      </c>
      <c r="H207">
        <f>IF($D207=0,"",MINIFS(Assessments!J:J,Assessments!G:G,$A207,Assessments!B:B,"&gt;="&amp;$B$4,Assessments!B:B,"&lt;="&amp;$B$5))</f>
        <v/>
      </c>
    </row>
    <row r="208">
      <c r="A208">
        <f>IF(Students!A202="","",Students!A202)</f>
        <v/>
      </c>
      <c r="B208">
        <f>IF($A208="","",Students!B202)</f>
        <v/>
      </c>
      <c r="C208">
        <f>IF($A208="","",Students!C202)</f>
        <v/>
      </c>
      <c r="D208">
        <f>IF($A208="","",COUNTIFS(Assessments!G:G,$A208,Assessments!B:B,"&gt;="&amp;$B$4,Assessments!B:B,"&lt;="&amp;$B$5))</f>
        <v/>
      </c>
      <c r="E208">
        <f>IF($D208=0,"",ROUND(AVERAGEIFS(Assessments!J:J,Assessments!G:G,$A208,Assessments!B:B,"&gt;="&amp;$B$4,Assessments!B:B,"&lt;="&amp;$B$5),0))</f>
        <v/>
      </c>
      <c r="F208">
        <f>IF($D208=0,"",IFERROR(AVERAGEIFS(Assessments!J:J,Assessments!G:G,$A208,Assessments!B:B,$B$5),0)-IFERROR(AVERAGEIFS(Assessments!J:J,Assessments!G:G,$A208,Assessments!B:B,$B$4),0))</f>
        <v/>
      </c>
      <c r="G208">
        <f>IF($D208=0,"",MAXIFS(Assessments!J:J,Assessments!G:G,$A208,Assessments!B:B,"&gt;="&amp;$B$4,Assessments!B:B,"&lt;="&amp;$B$5))</f>
        <v/>
      </c>
      <c r="H208">
        <f>IF($D208=0,"",MINIFS(Assessments!J:J,Assessments!G:G,$A208,Assessments!B:B,"&gt;="&amp;$B$4,Assessments!B:B,"&lt;="&amp;$B$5))</f>
        <v/>
      </c>
    </row>
    <row r="209">
      <c r="A209">
        <f>IF(Students!A203="","",Students!A203)</f>
        <v/>
      </c>
      <c r="B209">
        <f>IF($A209="","",Students!B203)</f>
        <v/>
      </c>
      <c r="C209">
        <f>IF($A209="","",Students!C203)</f>
        <v/>
      </c>
      <c r="D209">
        <f>IF($A209="","",COUNTIFS(Assessments!G:G,$A209,Assessments!B:B,"&gt;="&amp;$B$4,Assessments!B:B,"&lt;="&amp;$B$5))</f>
        <v/>
      </c>
      <c r="E209">
        <f>IF($D209=0,"",ROUND(AVERAGEIFS(Assessments!J:J,Assessments!G:G,$A209,Assessments!B:B,"&gt;="&amp;$B$4,Assessments!B:B,"&lt;="&amp;$B$5),0))</f>
        <v/>
      </c>
      <c r="F209">
        <f>IF($D209=0,"",IFERROR(AVERAGEIFS(Assessments!J:J,Assessments!G:G,$A209,Assessments!B:B,$B$5),0)-IFERROR(AVERAGEIFS(Assessments!J:J,Assessments!G:G,$A209,Assessments!B:B,$B$4),0))</f>
        <v/>
      </c>
      <c r="G209">
        <f>IF($D209=0,"",MAXIFS(Assessments!J:J,Assessments!G:G,$A209,Assessments!B:B,"&gt;="&amp;$B$4,Assessments!B:B,"&lt;="&amp;$B$5))</f>
        <v/>
      </c>
      <c r="H209">
        <f>IF($D209=0,"",MINIFS(Assessments!J:J,Assessments!G:G,$A209,Assessments!B:B,"&gt;="&amp;$B$4,Assessments!B:B,"&lt;="&amp;$B$5))</f>
        <v/>
      </c>
    </row>
    <row r="210">
      <c r="A210">
        <f>IF(Students!A204="","",Students!A204)</f>
        <v/>
      </c>
      <c r="B210">
        <f>IF($A210="","",Students!B204)</f>
        <v/>
      </c>
      <c r="C210">
        <f>IF($A210="","",Students!C204)</f>
        <v/>
      </c>
      <c r="D210">
        <f>IF($A210="","",COUNTIFS(Assessments!G:G,$A210,Assessments!B:B,"&gt;="&amp;$B$4,Assessments!B:B,"&lt;="&amp;$B$5))</f>
        <v/>
      </c>
      <c r="E210">
        <f>IF($D210=0,"",ROUND(AVERAGEIFS(Assessments!J:J,Assessments!G:G,$A210,Assessments!B:B,"&gt;="&amp;$B$4,Assessments!B:B,"&lt;="&amp;$B$5),0))</f>
        <v/>
      </c>
      <c r="F210">
        <f>IF($D210=0,"",IFERROR(AVERAGEIFS(Assessments!J:J,Assessments!G:G,$A210,Assessments!B:B,$B$5),0)-IFERROR(AVERAGEIFS(Assessments!J:J,Assessments!G:G,$A210,Assessments!B:B,$B$4),0))</f>
        <v/>
      </c>
      <c r="G210">
        <f>IF($D210=0,"",MAXIFS(Assessments!J:J,Assessments!G:G,$A210,Assessments!B:B,"&gt;="&amp;$B$4,Assessments!B:B,"&lt;="&amp;$B$5))</f>
        <v/>
      </c>
      <c r="H210">
        <f>IF($D210=0,"",MINIFS(Assessments!J:J,Assessments!G:G,$A210,Assessments!B:B,"&gt;="&amp;$B$4,Assessments!B:B,"&lt;="&amp;$B$5))</f>
        <v/>
      </c>
    </row>
    <row r="211">
      <c r="A211">
        <f>IF(Students!A205="","",Students!A205)</f>
        <v/>
      </c>
      <c r="B211">
        <f>IF($A211="","",Students!B205)</f>
        <v/>
      </c>
      <c r="C211">
        <f>IF($A211="","",Students!C205)</f>
        <v/>
      </c>
      <c r="D211">
        <f>IF($A211="","",COUNTIFS(Assessments!G:G,$A211,Assessments!B:B,"&gt;="&amp;$B$4,Assessments!B:B,"&lt;="&amp;$B$5))</f>
        <v/>
      </c>
      <c r="E211">
        <f>IF($D211=0,"",ROUND(AVERAGEIFS(Assessments!J:J,Assessments!G:G,$A211,Assessments!B:B,"&gt;="&amp;$B$4,Assessments!B:B,"&lt;="&amp;$B$5),0))</f>
        <v/>
      </c>
      <c r="F211">
        <f>IF($D211=0,"",IFERROR(AVERAGEIFS(Assessments!J:J,Assessments!G:G,$A211,Assessments!B:B,$B$5),0)-IFERROR(AVERAGEIFS(Assessments!J:J,Assessments!G:G,$A211,Assessments!B:B,$B$4),0))</f>
        <v/>
      </c>
      <c r="G211">
        <f>IF($D211=0,"",MAXIFS(Assessments!J:J,Assessments!G:G,$A211,Assessments!B:B,"&gt;="&amp;$B$4,Assessments!B:B,"&lt;="&amp;$B$5))</f>
        <v/>
      </c>
      <c r="H211">
        <f>IF($D211=0,"",MINIFS(Assessments!J:J,Assessments!G:G,$A211,Assessments!B:B,"&gt;="&amp;$B$4,Assessments!B:B,"&lt;="&amp;$B$5))</f>
        <v/>
      </c>
    </row>
    <row r="212">
      <c r="A212">
        <f>IF(Students!A206="","",Students!A206)</f>
        <v/>
      </c>
      <c r="B212">
        <f>IF($A212="","",Students!B206)</f>
        <v/>
      </c>
      <c r="C212">
        <f>IF($A212="","",Students!C206)</f>
        <v/>
      </c>
      <c r="D212">
        <f>IF($A212="","",COUNTIFS(Assessments!G:G,$A212,Assessments!B:B,"&gt;="&amp;$B$4,Assessments!B:B,"&lt;="&amp;$B$5))</f>
        <v/>
      </c>
      <c r="E212">
        <f>IF($D212=0,"",ROUND(AVERAGEIFS(Assessments!J:J,Assessments!G:G,$A212,Assessments!B:B,"&gt;="&amp;$B$4,Assessments!B:B,"&lt;="&amp;$B$5),0))</f>
        <v/>
      </c>
      <c r="F212">
        <f>IF($D212=0,"",IFERROR(AVERAGEIFS(Assessments!J:J,Assessments!G:G,$A212,Assessments!B:B,$B$5),0)-IFERROR(AVERAGEIFS(Assessments!J:J,Assessments!G:G,$A212,Assessments!B:B,$B$4),0))</f>
        <v/>
      </c>
      <c r="G212">
        <f>IF($D212=0,"",MAXIFS(Assessments!J:J,Assessments!G:G,$A212,Assessments!B:B,"&gt;="&amp;$B$4,Assessments!B:B,"&lt;="&amp;$B$5))</f>
        <v/>
      </c>
      <c r="H212">
        <f>IF($D212=0,"",MINIFS(Assessments!J:J,Assessments!G:G,$A212,Assessments!B:B,"&gt;="&amp;$B$4,Assessments!B:B,"&lt;="&amp;$B$5))</f>
        <v/>
      </c>
    </row>
    <row r="213">
      <c r="A213">
        <f>IF(Students!A207="","",Students!A207)</f>
        <v/>
      </c>
      <c r="B213">
        <f>IF($A213="","",Students!B207)</f>
        <v/>
      </c>
      <c r="C213">
        <f>IF($A213="","",Students!C207)</f>
        <v/>
      </c>
      <c r="D213">
        <f>IF($A213="","",COUNTIFS(Assessments!G:G,$A213,Assessments!B:B,"&gt;="&amp;$B$4,Assessments!B:B,"&lt;="&amp;$B$5))</f>
        <v/>
      </c>
      <c r="E213">
        <f>IF($D213=0,"",ROUND(AVERAGEIFS(Assessments!J:J,Assessments!G:G,$A213,Assessments!B:B,"&gt;="&amp;$B$4,Assessments!B:B,"&lt;="&amp;$B$5),0))</f>
        <v/>
      </c>
      <c r="F213">
        <f>IF($D213=0,"",IFERROR(AVERAGEIFS(Assessments!J:J,Assessments!G:G,$A213,Assessments!B:B,$B$5),0)-IFERROR(AVERAGEIFS(Assessments!J:J,Assessments!G:G,$A213,Assessments!B:B,$B$4),0))</f>
        <v/>
      </c>
      <c r="G213">
        <f>IF($D213=0,"",MAXIFS(Assessments!J:J,Assessments!G:G,$A213,Assessments!B:B,"&gt;="&amp;$B$4,Assessments!B:B,"&lt;="&amp;$B$5))</f>
        <v/>
      </c>
      <c r="H213">
        <f>IF($D213=0,"",MINIFS(Assessments!J:J,Assessments!G:G,$A213,Assessments!B:B,"&gt;="&amp;$B$4,Assessments!B:B,"&lt;="&amp;$B$5))</f>
        <v/>
      </c>
    </row>
    <row r="214">
      <c r="A214">
        <f>IF(Students!A208="","",Students!A208)</f>
        <v/>
      </c>
      <c r="B214">
        <f>IF($A214="","",Students!B208)</f>
        <v/>
      </c>
      <c r="C214">
        <f>IF($A214="","",Students!C208)</f>
        <v/>
      </c>
      <c r="D214">
        <f>IF($A214="","",COUNTIFS(Assessments!G:G,$A214,Assessments!B:B,"&gt;="&amp;$B$4,Assessments!B:B,"&lt;="&amp;$B$5))</f>
        <v/>
      </c>
      <c r="E214">
        <f>IF($D214=0,"",ROUND(AVERAGEIFS(Assessments!J:J,Assessments!G:G,$A214,Assessments!B:B,"&gt;="&amp;$B$4,Assessments!B:B,"&lt;="&amp;$B$5),0))</f>
        <v/>
      </c>
      <c r="F214">
        <f>IF($D214=0,"",IFERROR(AVERAGEIFS(Assessments!J:J,Assessments!G:G,$A214,Assessments!B:B,$B$5),0)-IFERROR(AVERAGEIFS(Assessments!J:J,Assessments!G:G,$A214,Assessments!B:B,$B$4),0))</f>
        <v/>
      </c>
      <c r="G214">
        <f>IF($D214=0,"",MAXIFS(Assessments!J:J,Assessments!G:G,$A214,Assessments!B:B,"&gt;="&amp;$B$4,Assessments!B:B,"&lt;="&amp;$B$5))</f>
        <v/>
      </c>
      <c r="H214">
        <f>IF($D214=0,"",MINIFS(Assessments!J:J,Assessments!G:G,$A214,Assessments!B:B,"&gt;="&amp;$B$4,Assessments!B:B,"&lt;="&amp;$B$5))</f>
        <v/>
      </c>
    </row>
    <row r="215">
      <c r="A215">
        <f>IF(Students!A209="","",Students!A209)</f>
        <v/>
      </c>
      <c r="B215">
        <f>IF($A215="","",Students!B209)</f>
        <v/>
      </c>
      <c r="C215">
        <f>IF($A215="","",Students!C209)</f>
        <v/>
      </c>
      <c r="D215">
        <f>IF($A215="","",COUNTIFS(Assessments!G:G,$A215,Assessments!B:B,"&gt;="&amp;$B$4,Assessments!B:B,"&lt;="&amp;$B$5))</f>
        <v/>
      </c>
      <c r="E215">
        <f>IF($D215=0,"",ROUND(AVERAGEIFS(Assessments!J:J,Assessments!G:G,$A215,Assessments!B:B,"&gt;="&amp;$B$4,Assessments!B:B,"&lt;="&amp;$B$5),0))</f>
        <v/>
      </c>
      <c r="F215">
        <f>IF($D215=0,"",IFERROR(AVERAGEIFS(Assessments!J:J,Assessments!G:G,$A215,Assessments!B:B,$B$5),0)-IFERROR(AVERAGEIFS(Assessments!J:J,Assessments!G:G,$A215,Assessments!B:B,$B$4),0))</f>
        <v/>
      </c>
      <c r="G215">
        <f>IF($D215=0,"",MAXIFS(Assessments!J:J,Assessments!G:G,$A215,Assessments!B:B,"&gt;="&amp;$B$4,Assessments!B:B,"&lt;="&amp;$B$5))</f>
        <v/>
      </c>
      <c r="H215">
        <f>IF($D215=0,"",MINIFS(Assessments!J:J,Assessments!G:G,$A215,Assessments!B:B,"&gt;="&amp;$B$4,Assessments!B:B,"&lt;="&amp;$B$5))</f>
        <v/>
      </c>
    </row>
    <row r="216">
      <c r="A216">
        <f>IF(Students!A210="","",Students!A210)</f>
        <v/>
      </c>
      <c r="B216">
        <f>IF($A216="","",Students!B210)</f>
        <v/>
      </c>
      <c r="C216">
        <f>IF($A216="","",Students!C210)</f>
        <v/>
      </c>
      <c r="D216">
        <f>IF($A216="","",COUNTIFS(Assessments!G:G,$A216,Assessments!B:B,"&gt;="&amp;$B$4,Assessments!B:B,"&lt;="&amp;$B$5))</f>
        <v/>
      </c>
      <c r="E216">
        <f>IF($D216=0,"",ROUND(AVERAGEIFS(Assessments!J:J,Assessments!G:G,$A216,Assessments!B:B,"&gt;="&amp;$B$4,Assessments!B:B,"&lt;="&amp;$B$5),0))</f>
        <v/>
      </c>
      <c r="F216">
        <f>IF($D216=0,"",IFERROR(AVERAGEIFS(Assessments!J:J,Assessments!G:G,$A216,Assessments!B:B,$B$5),0)-IFERROR(AVERAGEIFS(Assessments!J:J,Assessments!G:G,$A216,Assessments!B:B,$B$4),0))</f>
        <v/>
      </c>
      <c r="G216">
        <f>IF($D216=0,"",MAXIFS(Assessments!J:J,Assessments!G:G,$A216,Assessments!B:B,"&gt;="&amp;$B$4,Assessments!B:B,"&lt;="&amp;$B$5))</f>
        <v/>
      </c>
      <c r="H216">
        <f>IF($D216=0,"",MINIFS(Assessments!J:J,Assessments!G:G,$A216,Assessments!B:B,"&gt;="&amp;$B$4,Assessments!B:B,"&lt;="&amp;$B$5))</f>
        <v/>
      </c>
    </row>
    <row r="217">
      <c r="A217">
        <f>IF(Students!A211="","",Students!A211)</f>
        <v/>
      </c>
      <c r="B217">
        <f>IF($A217="","",Students!B211)</f>
        <v/>
      </c>
      <c r="C217">
        <f>IF($A217="","",Students!C211)</f>
        <v/>
      </c>
      <c r="D217">
        <f>IF($A217="","",COUNTIFS(Assessments!G:G,$A217,Assessments!B:B,"&gt;="&amp;$B$4,Assessments!B:B,"&lt;="&amp;$B$5))</f>
        <v/>
      </c>
      <c r="E217">
        <f>IF($D217=0,"",ROUND(AVERAGEIFS(Assessments!J:J,Assessments!G:G,$A217,Assessments!B:B,"&gt;="&amp;$B$4,Assessments!B:B,"&lt;="&amp;$B$5),0))</f>
        <v/>
      </c>
      <c r="F217">
        <f>IF($D217=0,"",IFERROR(AVERAGEIFS(Assessments!J:J,Assessments!G:G,$A217,Assessments!B:B,$B$5),0)-IFERROR(AVERAGEIFS(Assessments!J:J,Assessments!G:G,$A217,Assessments!B:B,$B$4),0))</f>
        <v/>
      </c>
      <c r="G217">
        <f>IF($D217=0,"",MAXIFS(Assessments!J:J,Assessments!G:G,$A217,Assessments!B:B,"&gt;="&amp;$B$4,Assessments!B:B,"&lt;="&amp;$B$5))</f>
        <v/>
      </c>
      <c r="H217">
        <f>IF($D217=0,"",MINIFS(Assessments!J:J,Assessments!G:G,$A217,Assessments!B:B,"&gt;="&amp;$B$4,Assessments!B:B,"&lt;="&amp;$B$5))</f>
        <v/>
      </c>
    </row>
    <row r="218">
      <c r="A218">
        <f>IF(Students!A212="","",Students!A212)</f>
        <v/>
      </c>
      <c r="B218">
        <f>IF($A218="","",Students!B212)</f>
        <v/>
      </c>
      <c r="C218">
        <f>IF($A218="","",Students!C212)</f>
        <v/>
      </c>
      <c r="D218">
        <f>IF($A218="","",COUNTIFS(Assessments!G:G,$A218,Assessments!B:B,"&gt;="&amp;$B$4,Assessments!B:B,"&lt;="&amp;$B$5))</f>
        <v/>
      </c>
      <c r="E218">
        <f>IF($D218=0,"",ROUND(AVERAGEIFS(Assessments!J:J,Assessments!G:G,$A218,Assessments!B:B,"&gt;="&amp;$B$4,Assessments!B:B,"&lt;="&amp;$B$5),0))</f>
        <v/>
      </c>
      <c r="F218">
        <f>IF($D218=0,"",IFERROR(AVERAGEIFS(Assessments!J:J,Assessments!G:G,$A218,Assessments!B:B,$B$5),0)-IFERROR(AVERAGEIFS(Assessments!J:J,Assessments!G:G,$A218,Assessments!B:B,$B$4),0))</f>
        <v/>
      </c>
      <c r="G218">
        <f>IF($D218=0,"",MAXIFS(Assessments!J:J,Assessments!G:G,$A218,Assessments!B:B,"&gt;="&amp;$B$4,Assessments!B:B,"&lt;="&amp;$B$5))</f>
        <v/>
      </c>
      <c r="H218">
        <f>IF($D218=0,"",MINIFS(Assessments!J:J,Assessments!G:G,$A218,Assessments!B:B,"&gt;="&amp;$B$4,Assessments!B:B,"&lt;="&amp;$B$5))</f>
        <v/>
      </c>
    </row>
    <row r="219">
      <c r="A219">
        <f>IF(Students!A213="","",Students!A213)</f>
        <v/>
      </c>
      <c r="B219">
        <f>IF($A219="","",Students!B213)</f>
        <v/>
      </c>
      <c r="C219">
        <f>IF($A219="","",Students!C213)</f>
        <v/>
      </c>
      <c r="D219">
        <f>IF($A219="","",COUNTIFS(Assessments!G:G,$A219,Assessments!B:B,"&gt;="&amp;$B$4,Assessments!B:B,"&lt;="&amp;$B$5))</f>
        <v/>
      </c>
      <c r="E219">
        <f>IF($D219=0,"",ROUND(AVERAGEIFS(Assessments!J:J,Assessments!G:G,$A219,Assessments!B:B,"&gt;="&amp;$B$4,Assessments!B:B,"&lt;="&amp;$B$5),0))</f>
        <v/>
      </c>
      <c r="F219">
        <f>IF($D219=0,"",IFERROR(AVERAGEIFS(Assessments!J:J,Assessments!G:G,$A219,Assessments!B:B,$B$5),0)-IFERROR(AVERAGEIFS(Assessments!J:J,Assessments!G:G,$A219,Assessments!B:B,$B$4),0))</f>
        <v/>
      </c>
      <c r="G219">
        <f>IF($D219=0,"",MAXIFS(Assessments!J:J,Assessments!G:G,$A219,Assessments!B:B,"&gt;="&amp;$B$4,Assessments!B:B,"&lt;="&amp;$B$5))</f>
        <v/>
      </c>
      <c r="H219">
        <f>IF($D219=0,"",MINIFS(Assessments!J:J,Assessments!G:G,$A219,Assessments!B:B,"&gt;="&amp;$B$4,Assessments!B:B,"&lt;="&amp;$B$5))</f>
        <v/>
      </c>
    </row>
    <row r="220">
      <c r="A220">
        <f>IF(Students!A214="","",Students!A214)</f>
        <v/>
      </c>
      <c r="B220">
        <f>IF($A220="","",Students!B214)</f>
        <v/>
      </c>
      <c r="C220">
        <f>IF($A220="","",Students!C214)</f>
        <v/>
      </c>
      <c r="D220">
        <f>IF($A220="","",COUNTIFS(Assessments!G:G,$A220,Assessments!B:B,"&gt;="&amp;$B$4,Assessments!B:B,"&lt;="&amp;$B$5))</f>
        <v/>
      </c>
      <c r="E220">
        <f>IF($D220=0,"",ROUND(AVERAGEIFS(Assessments!J:J,Assessments!G:G,$A220,Assessments!B:B,"&gt;="&amp;$B$4,Assessments!B:B,"&lt;="&amp;$B$5),0))</f>
        <v/>
      </c>
      <c r="F220">
        <f>IF($D220=0,"",IFERROR(AVERAGEIFS(Assessments!J:J,Assessments!G:G,$A220,Assessments!B:B,$B$5),0)-IFERROR(AVERAGEIFS(Assessments!J:J,Assessments!G:G,$A220,Assessments!B:B,$B$4),0))</f>
        <v/>
      </c>
      <c r="G220">
        <f>IF($D220=0,"",MAXIFS(Assessments!J:J,Assessments!G:G,$A220,Assessments!B:B,"&gt;="&amp;$B$4,Assessments!B:B,"&lt;="&amp;$B$5))</f>
        <v/>
      </c>
      <c r="H220">
        <f>IF($D220=0,"",MINIFS(Assessments!J:J,Assessments!G:G,$A220,Assessments!B:B,"&gt;="&amp;$B$4,Assessments!B:B,"&lt;="&amp;$B$5))</f>
        <v/>
      </c>
    </row>
    <row r="221">
      <c r="A221">
        <f>IF(Students!A215="","",Students!A215)</f>
        <v/>
      </c>
      <c r="B221">
        <f>IF($A221="","",Students!B215)</f>
        <v/>
      </c>
      <c r="C221">
        <f>IF($A221="","",Students!C215)</f>
        <v/>
      </c>
      <c r="D221">
        <f>IF($A221="","",COUNTIFS(Assessments!G:G,$A221,Assessments!B:B,"&gt;="&amp;$B$4,Assessments!B:B,"&lt;="&amp;$B$5))</f>
        <v/>
      </c>
      <c r="E221">
        <f>IF($D221=0,"",ROUND(AVERAGEIFS(Assessments!J:J,Assessments!G:G,$A221,Assessments!B:B,"&gt;="&amp;$B$4,Assessments!B:B,"&lt;="&amp;$B$5),0))</f>
        <v/>
      </c>
      <c r="F221">
        <f>IF($D221=0,"",IFERROR(AVERAGEIFS(Assessments!J:J,Assessments!G:G,$A221,Assessments!B:B,$B$5),0)-IFERROR(AVERAGEIFS(Assessments!J:J,Assessments!G:G,$A221,Assessments!B:B,$B$4),0))</f>
        <v/>
      </c>
      <c r="G221">
        <f>IF($D221=0,"",MAXIFS(Assessments!J:J,Assessments!G:G,$A221,Assessments!B:B,"&gt;="&amp;$B$4,Assessments!B:B,"&lt;="&amp;$B$5))</f>
        <v/>
      </c>
      <c r="H221">
        <f>IF($D221=0,"",MINIFS(Assessments!J:J,Assessments!G:G,$A221,Assessments!B:B,"&gt;="&amp;$B$4,Assessments!B:B,"&lt;="&amp;$B$5))</f>
        <v/>
      </c>
    </row>
    <row r="222">
      <c r="A222">
        <f>IF(Students!A216="","",Students!A216)</f>
        <v/>
      </c>
      <c r="B222">
        <f>IF($A222="","",Students!B216)</f>
        <v/>
      </c>
      <c r="C222">
        <f>IF($A222="","",Students!C216)</f>
        <v/>
      </c>
      <c r="D222">
        <f>IF($A222="","",COUNTIFS(Assessments!G:G,$A222,Assessments!B:B,"&gt;="&amp;$B$4,Assessments!B:B,"&lt;="&amp;$B$5))</f>
        <v/>
      </c>
      <c r="E222">
        <f>IF($D222=0,"",ROUND(AVERAGEIFS(Assessments!J:J,Assessments!G:G,$A222,Assessments!B:B,"&gt;="&amp;$B$4,Assessments!B:B,"&lt;="&amp;$B$5),0))</f>
        <v/>
      </c>
      <c r="F222">
        <f>IF($D222=0,"",IFERROR(AVERAGEIFS(Assessments!J:J,Assessments!G:G,$A222,Assessments!B:B,$B$5),0)-IFERROR(AVERAGEIFS(Assessments!J:J,Assessments!G:G,$A222,Assessments!B:B,$B$4),0))</f>
        <v/>
      </c>
      <c r="G222">
        <f>IF($D222=0,"",MAXIFS(Assessments!J:J,Assessments!G:G,$A222,Assessments!B:B,"&gt;="&amp;$B$4,Assessments!B:B,"&lt;="&amp;$B$5))</f>
        <v/>
      </c>
      <c r="H222">
        <f>IF($D222=0,"",MINIFS(Assessments!J:J,Assessments!G:G,$A222,Assessments!B:B,"&gt;="&amp;$B$4,Assessments!B:B,"&lt;="&amp;$B$5))</f>
        <v/>
      </c>
    </row>
    <row r="223">
      <c r="A223">
        <f>IF(Students!A217="","",Students!A217)</f>
        <v/>
      </c>
      <c r="B223">
        <f>IF($A223="","",Students!B217)</f>
        <v/>
      </c>
      <c r="C223">
        <f>IF($A223="","",Students!C217)</f>
        <v/>
      </c>
      <c r="D223">
        <f>IF($A223="","",COUNTIFS(Assessments!G:G,$A223,Assessments!B:B,"&gt;="&amp;$B$4,Assessments!B:B,"&lt;="&amp;$B$5))</f>
        <v/>
      </c>
      <c r="E223">
        <f>IF($D223=0,"",ROUND(AVERAGEIFS(Assessments!J:J,Assessments!G:G,$A223,Assessments!B:B,"&gt;="&amp;$B$4,Assessments!B:B,"&lt;="&amp;$B$5),0))</f>
        <v/>
      </c>
      <c r="F223">
        <f>IF($D223=0,"",IFERROR(AVERAGEIFS(Assessments!J:J,Assessments!G:G,$A223,Assessments!B:B,$B$5),0)-IFERROR(AVERAGEIFS(Assessments!J:J,Assessments!G:G,$A223,Assessments!B:B,$B$4),0))</f>
        <v/>
      </c>
      <c r="G223">
        <f>IF($D223=0,"",MAXIFS(Assessments!J:J,Assessments!G:G,$A223,Assessments!B:B,"&gt;="&amp;$B$4,Assessments!B:B,"&lt;="&amp;$B$5))</f>
        <v/>
      </c>
      <c r="H223">
        <f>IF($D223=0,"",MINIFS(Assessments!J:J,Assessments!G:G,$A223,Assessments!B:B,"&gt;="&amp;$B$4,Assessments!B:B,"&lt;="&amp;$B$5))</f>
        <v/>
      </c>
    </row>
    <row r="224">
      <c r="A224">
        <f>IF(Students!A218="","",Students!A218)</f>
        <v/>
      </c>
      <c r="B224">
        <f>IF($A224="","",Students!B218)</f>
        <v/>
      </c>
      <c r="C224">
        <f>IF($A224="","",Students!C218)</f>
        <v/>
      </c>
      <c r="D224">
        <f>IF($A224="","",COUNTIFS(Assessments!G:G,$A224,Assessments!B:B,"&gt;="&amp;$B$4,Assessments!B:B,"&lt;="&amp;$B$5))</f>
        <v/>
      </c>
      <c r="E224">
        <f>IF($D224=0,"",ROUND(AVERAGEIFS(Assessments!J:J,Assessments!G:G,$A224,Assessments!B:B,"&gt;="&amp;$B$4,Assessments!B:B,"&lt;="&amp;$B$5),0))</f>
        <v/>
      </c>
      <c r="F224">
        <f>IF($D224=0,"",IFERROR(AVERAGEIFS(Assessments!J:J,Assessments!G:G,$A224,Assessments!B:B,$B$5),0)-IFERROR(AVERAGEIFS(Assessments!J:J,Assessments!G:G,$A224,Assessments!B:B,$B$4),0))</f>
        <v/>
      </c>
      <c r="G224">
        <f>IF($D224=0,"",MAXIFS(Assessments!J:J,Assessments!G:G,$A224,Assessments!B:B,"&gt;="&amp;$B$4,Assessments!B:B,"&lt;="&amp;$B$5))</f>
        <v/>
      </c>
      <c r="H224">
        <f>IF($D224=0,"",MINIFS(Assessments!J:J,Assessments!G:G,$A224,Assessments!B:B,"&gt;="&amp;$B$4,Assessments!B:B,"&lt;="&amp;$B$5))</f>
        <v/>
      </c>
    </row>
    <row r="225">
      <c r="A225">
        <f>IF(Students!A219="","",Students!A219)</f>
        <v/>
      </c>
      <c r="B225">
        <f>IF($A225="","",Students!B219)</f>
        <v/>
      </c>
      <c r="C225">
        <f>IF($A225="","",Students!C219)</f>
        <v/>
      </c>
      <c r="D225">
        <f>IF($A225="","",COUNTIFS(Assessments!G:G,$A225,Assessments!B:B,"&gt;="&amp;$B$4,Assessments!B:B,"&lt;="&amp;$B$5))</f>
        <v/>
      </c>
      <c r="E225">
        <f>IF($D225=0,"",ROUND(AVERAGEIFS(Assessments!J:J,Assessments!G:G,$A225,Assessments!B:B,"&gt;="&amp;$B$4,Assessments!B:B,"&lt;="&amp;$B$5),0))</f>
        <v/>
      </c>
      <c r="F225">
        <f>IF($D225=0,"",IFERROR(AVERAGEIFS(Assessments!J:J,Assessments!G:G,$A225,Assessments!B:B,$B$5),0)-IFERROR(AVERAGEIFS(Assessments!J:J,Assessments!G:G,$A225,Assessments!B:B,$B$4),0))</f>
        <v/>
      </c>
      <c r="G225">
        <f>IF($D225=0,"",MAXIFS(Assessments!J:J,Assessments!G:G,$A225,Assessments!B:B,"&gt;="&amp;$B$4,Assessments!B:B,"&lt;="&amp;$B$5))</f>
        <v/>
      </c>
      <c r="H225">
        <f>IF($D225=0,"",MINIFS(Assessments!J:J,Assessments!G:G,$A225,Assessments!B:B,"&gt;="&amp;$B$4,Assessments!B:B,"&lt;="&amp;$B$5))</f>
        <v/>
      </c>
    </row>
    <row r="226">
      <c r="A226">
        <f>IF(Students!A220="","",Students!A220)</f>
        <v/>
      </c>
      <c r="B226">
        <f>IF($A226="","",Students!B220)</f>
        <v/>
      </c>
      <c r="C226">
        <f>IF($A226="","",Students!C220)</f>
        <v/>
      </c>
      <c r="D226">
        <f>IF($A226="","",COUNTIFS(Assessments!G:G,$A226,Assessments!B:B,"&gt;="&amp;$B$4,Assessments!B:B,"&lt;="&amp;$B$5))</f>
        <v/>
      </c>
      <c r="E226">
        <f>IF($D226=0,"",ROUND(AVERAGEIFS(Assessments!J:J,Assessments!G:G,$A226,Assessments!B:B,"&gt;="&amp;$B$4,Assessments!B:B,"&lt;="&amp;$B$5),0))</f>
        <v/>
      </c>
      <c r="F226">
        <f>IF($D226=0,"",IFERROR(AVERAGEIFS(Assessments!J:J,Assessments!G:G,$A226,Assessments!B:B,$B$5),0)-IFERROR(AVERAGEIFS(Assessments!J:J,Assessments!G:G,$A226,Assessments!B:B,$B$4),0))</f>
        <v/>
      </c>
      <c r="G226">
        <f>IF($D226=0,"",MAXIFS(Assessments!J:J,Assessments!G:G,$A226,Assessments!B:B,"&gt;="&amp;$B$4,Assessments!B:B,"&lt;="&amp;$B$5))</f>
        <v/>
      </c>
      <c r="H226">
        <f>IF($D226=0,"",MINIFS(Assessments!J:J,Assessments!G:G,$A226,Assessments!B:B,"&gt;="&amp;$B$4,Assessments!B:B,"&lt;="&amp;$B$5))</f>
        <v/>
      </c>
    </row>
    <row r="227">
      <c r="A227">
        <f>IF(Students!A221="","",Students!A221)</f>
        <v/>
      </c>
      <c r="B227">
        <f>IF($A227="","",Students!B221)</f>
        <v/>
      </c>
      <c r="C227">
        <f>IF($A227="","",Students!C221)</f>
        <v/>
      </c>
      <c r="D227">
        <f>IF($A227="","",COUNTIFS(Assessments!G:G,$A227,Assessments!B:B,"&gt;="&amp;$B$4,Assessments!B:B,"&lt;="&amp;$B$5))</f>
        <v/>
      </c>
      <c r="E227">
        <f>IF($D227=0,"",ROUND(AVERAGEIFS(Assessments!J:J,Assessments!G:G,$A227,Assessments!B:B,"&gt;="&amp;$B$4,Assessments!B:B,"&lt;="&amp;$B$5),0))</f>
        <v/>
      </c>
      <c r="F227">
        <f>IF($D227=0,"",IFERROR(AVERAGEIFS(Assessments!J:J,Assessments!G:G,$A227,Assessments!B:B,$B$5),0)-IFERROR(AVERAGEIFS(Assessments!J:J,Assessments!G:G,$A227,Assessments!B:B,$B$4),0))</f>
        <v/>
      </c>
      <c r="G227">
        <f>IF($D227=0,"",MAXIFS(Assessments!J:J,Assessments!G:G,$A227,Assessments!B:B,"&gt;="&amp;$B$4,Assessments!B:B,"&lt;="&amp;$B$5))</f>
        <v/>
      </c>
      <c r="H227">
        <f>IF($D227=0,"",MINIFS(Assessments!J:J,Assessments!G:G,$A227,Assessments!B:B,"&gt;="&amp;$B$4,Assessments!B:B,"&lt;="&amp;$B$5))</f>
        <v/>
      </c>
    </row>
    <row r="228">
      <c r="A228">
        <f>IF(Students!A222="","",Students!A222)</f>
        <v/>
      </c>
      <c r="B228">
        <f>IF($A228="","",Students!B222)</f>
        <v/>
      </c>
      <c r="C228">
        <f>IF($A228="","",Students!C222)</f>
        <v/>
      </c>
      <c r="D228">
        <f>IF($A228="","",COUNTIFS(Assessments!G:G,$A228,Assessments!B:B,"&gt;="&amp;$B$4,Assessments!B:B,"&lt;="&amp;$B$5))</f>
        <v/>
      </c>
      <c r="E228">
        <f>IF($D228=0,"",ROUND(AVERAGEIFS(Assessments!J:J,Assessments!G:G,$A228,Assessments!B:B,"&gt;="&amp;$B$4,Assessments!B:B,"&lt;="&amp;$B$5),0))</f>
        <v/>
      </c>
      <c r="F228">
        <f>IF($D228=0,"",IFERROR(AVERAGEIFS(Assessments!J:J,Assessments!G:G,$A228,Assessments!B:B,$B$5),0)-IFERROR(AVERAGEIFS(Assessments!J:J,Assessments!G:G,$A228,Assessments!B:B,$B$4),0))</f>
        <v/>
      </c>
      <c r="G228">
        <f>IF($D228=0,"",MAXIFS(Assessments!J:J,Assessments!G:G,$A228,Assessments!B:B,"&gt;="&amp;$B$4,Assessments!B:B,"&lt;="&amp;$B$5))</f>
        <v/>
      </c>
      <c r="H228">
        <f>IF($D228=0,"",MINIFS(Assessments!J:J,Assessments!G:G,$A228,Assessments!B:B,"&gt;="&amp;$B$4,Assessments!B:B,"&lt;="&amp;$B$5))</f>
        <v/>
      </c>
    </row>
    <row r="229">
      <c r="A229">
        <f>IF(Students!A223="","",Students!A223)</f>
        <v/>
      </c>
      <c r="B229">
        <f>IF($A229="","",Students!B223)</f>
        <v/>
      </c>
      <c r="C229">
        <f>IF($A229="","",Students!C223)</f>
        <v/>
      </c>
      <c r="D229">
        <f>IF($A229="","",COUNTIFS(Assessments!G:G,$A229,Assessments!B:B,"&gt;="&amp;$B$4,Assessments!B:B,"&lt;="&amp;$B$5))</f>
        <v/>
      </c>
      <c r="E229">
        <f>IF($D229=0,"",ROUND(AVERAGEIFS(Assessments!J:J,Assessments!G:G,$A229,Assessments!B:B,"&gt;="&amp;$B$4,Assessments!B:B,"&lt;="&amp;$B$5),0))</f>
        <v/>
      </c>
      <c r="F229">
        <f>IF($D229=0,"",IFERROR(AVERAGEIFS(Assessments!J:J,Assessments!G:G,$A229,Assessments!B:B,$B$5),0)-IFERROR(AVERAGEIFS(Assessments!J:J,Assessments!G:G,$A229,Assessments!B:B,$B$4),0))</f>
        <v/>
      </c>
      <c r="G229">
        <f>IF($D229=0,"",MAXIFS(Assessments!J:J,Assessments!G:G,$A229,Assessments!B:B,"&gt;="&amp;$B$4,Assessments!B:B,"&lt;="&amp;$B$5))</f>
        <v/>
      </c>
      <c r="H229">
        <f>IF($D229=0,"",MINIFS(Assessments!J:J,Assessments!G:G,$A229,Assessments!B:B,"&gt;="&amp;$B$4,Assessments!B:B,"&lt;="&amp;$B$5))</f>
        <v/>
      </c>
    </row>
    <row r="230">
      <c r="A230">
        <f>IF(Students!A224="","",Students!A224)</f>
        <v/>
      </c>
      <c r="B230">
        <f>IF($A230="","",Students!B224)</f>
        <v/>
      </c>
      <c r="C230">
        <f>IF($A230="","",Students!C224)</f>
        <v/>
      </c>
      <c r="D230">
        <f>IF($A230="","",COUNTIFS(Assessments!G:G,$A230,Assessments!B:B,"&gt;="&amp;$B$4,Assessments!B:B,"&lt;="&amp;$B$5))</f>
        <v/>
      </c>
      <c r="E230">
        <f>IF($D230=0,"",ROUND(AVERAGEIFS(Assessments!J:J,Assessments!G:G,$A230,Assessments!B:B,"&gt;="&amp;$B$4,Assessments!B:B,"&lt;="&amp;$B$5),0))</f>
        <v/>
      </c>
      <c r="F230">
        <f>IF($D230=0,"",IFERROR(AVERAGEIFS(Assessments!J:J,Assessments!G:G,$A230,Assessments!B:B,$B$5),0)-IFERROR(AVERAGEIFS(Assessments!J:J,Assessments!G:G,$A230,Assessments!B:B,$B$4),0))</f>
        <v/>
      </c>
      <c r="G230">
        <f>IF($D230=0,"",MAXIFS(Assessments!J:J,Assessments!G:G,$A230,Assessments!B:B,"&gt;="&amp;$B$4,Assessments!B:B,"&lt;="&amp;$B$5))</f>
        <v/>
      </c>
      <c r="H230">
        <f>IF($D230=0,"",MINIFS(Assessments!J:J,Assessments!G:G,$A230,Assessments!B:B,"&gt;="&amp;$B$4,Assessments!B:B,"&lt;="&amp;$B$5))</f>
        <v/>
      </c>
    </row>
    <row r="231">
      <c r="A231">
        <f>IF(Students!A225="","",Students!A225)</f>
        <v/>
      </c>
      <c r="B231">
        <f>IF($A231="","",Students!B225)</f>
        <v/>
      </c>
      <c r="C231">
        <f>IF($A231="","",Students!C225)</f>
        <v/>
      </c>
      <c r="D231">
        <f>IF($A231="","",COUNTIFS(Assessments!G:G,$A231,Assessments!B:B,"&gt;="&amp;$B$4,Assessments!B:B,"&lt;="&amp;$B$5))</f>
        <v/>
      </c>
      <c r="E231">
        <f>IF($D231=0,"",ROUND(AVERAGEIFS(Assessments!J:J,Assessments!G:G,$A231,Assessments!B:B,"&gt;="&amp;$B$4,Assessments!B:B,"&lt;="&amp;$B$5),0))</f>
        <v/>
      </c>
      <c r="F231">
        <f>IF($D231=0,"",IFERROR(AVERAGEIFS(Assessments!J:J,Assessments!G:G,$A231,Assessments!B:B,$B$5),0)-IFERROR(AVERAGEIFS(Assessments!J:J,Assessments!G:G,$A231,Assessments!B:B,$B$4),0))</f>
        <v/>
      </c>
      <c r="G231">
        <f>IF($D231=0,"",MAXIFS(Assessments!J:J,Assessments!G:G,$A231,Assessments!B:B,"&gt;="&amp;$B$4,Assessments!B:B,"&lt;="&amp;$B$5))</f>
        <v/>
      </c>
      <c r="H231">
        <f>IF($D231=0,"",MINIFS(Assessments!J:J,Assessments!G:G,$A231,Assessments!B:B,"&gt;="&amp;$B$4,Assessments!B:B,"&lt;="&amp;$B$5))</f>
        <v/>
      </c>
    </row>
    <row r="232">
      <c r="A232">
        <f>IF(Students!A226="","",Students!A226)</f>
        <v/>
      </c>
      <c r="B232">
        <f>IF($A232="","",Students!B226)</f>
        <v/>
      </c>
      <c r="C232">
        <f>IF($A232="","",Students!C226)</f>
        <v/>
      </c>
      <c r="D232">
        <f>IF($A232="","",COUNTIFS(Assessments!G:G,$A232,Assessments!B:B,"&gt;="&amp;$B$4,Assessments!B:B,"&lt;="&amp;$B$5))</f>
        <v/>
      </c>
      <c r="E232">
        <f>IF($D232=0,"",ROUND(AVERAGEIFS(Assessments!J:J,Assessments!G:G,$A232,Assessments!B:B,"&gt;="&amp;$B$4,Assessments!B:B,"&lt;="&amp;$B$5),0))</f>
        <v/>
      </c>
      <c r="F232">
        <f>IF($D232=0,"",IFERROR(AVERAGEIFS(Assessments!J:J,Assessments!G:G,$A232,Assessments!B:B,$B$5),0)-IFERROR(AVERAGEIFS(Assessments!J:J,Assessments!G:G,$A232,Assessments!B:B,$B$4),0))</f>
        <v/>
      </c>
      <c r="G232">
        <f>IF($D232=0,"",MAXIFS(Assessments!J:J,Assessments!G:G,$A232,Assessments!B:B,"&gt;="&amp;$B$4,Assessments!B:B,"&lt;="&amp;$B$5))</f>
        <v/>
      </c>
      <c r="H232">
        <f>IF($D232=0,"",MINIFS(Assessments!J:J,Assessments!G:G,$A232,Assessments!B:B,"&gt;="&amp;$B$4,Assessments!B:B,"&lt;="&amp;$B$5))</f>
        <v/>
      </c>
    </row>
    <row r="233">
      <c r="A233">
        <f>IF(Students!A227="","",Students!A227)</f>
        <v/>
      </c>
      <c r="B233">
        <f>IF($A233="","",Students!B227)</f>
        <v/>
      </c>
      <c r="C233">
        <f>IF($A233="","",Students!C227)</f>
        <v/>
      </c>
      <c r="D233">
        <f>IF($A233="","",COUNTIFS(Assessments!G:G,$A233,Assessments!B:B,"&gt;="&amp;$B$4,Assessments!B:B,"&lt;="&amp;$B$5))</f>
        <v/>
      </c>
      <c r="E233">
        <f>IF($D233=0,"",ROUND(AVERAGEIFS(Assessments!J:J,Assessments!G:G,$A233,Assessments!B:B,"&gt;="&amp;$B$4,Assessments!B:B,"&lt;="&amp;$B$5),0))</f>
        <v/>
      </c>
      <c r="F233">
        <f>IF($D233=0,"",IFERROR(AVERAGEIFS(Assessments!J:J,Assessments!G:G,$A233,Assessments!B:B,$B$5),0)-IFERROR(AVERAGEIFS(Assessments!J:J,Assessments!G:G,$A233,Assessments!B:B,$B$4),0))</f>
        <v/>
      </c>
      <c r="G233">
        <f>IF($D233=0,"",MAXIFS(Assessments!J:J,Assessments!G:G,$A233,Assessments!B:B,"&gt;="&amp;$B$4,Assessments!B:B,"&lt;="&amp;$B$5))</f>
        <v/>
      </c>
      <c r="H233">
        <f>IF($D233=0,"",MINIFS(Assessments!J:J,Assessments!G:G,$A233,Assessments!B:B,"&gt;="&amp;$B$4,Assessments!B:B,"&lt;="&amp;$B$5))</f>
        <v/>
      </c>
    </row>
    <row r="234">
      <c r="A234">
        <f>IF(Students!A228="","",Students!A228)</f>
        <v/>
      </c>
      <c r="B234">
        <f>IF($A234="","",Students!B228)</f>
        <v/>
      </c>
      <c r="C234">
        <f>IF($A234="","",Students!C228)</f>
        <v/>
      </c>
      <c r="D234">
        <f>IF($A234="","",COUNTIFS(Assessments!G:G,$A234,Assessments!B:B,"&gt;="&amp;$B$4,Assessments!B:B,"&lt;="&amp;$B$5))</f>
        <v/>
      </c>
      <c r="E234">
        <f>IF($D234=0,"",ROUND(AVERAGEIFS(Assessments!J:J,Assessments!G:G,$A234,Assessments!B:B,"&gt;="&amp;$B$4,Assessments!B:B,"&lt;="&amp;$B$5),0))</f>
        <v/>
      </c>
      <c r="F234">
        <f>IF($D234=0,"",IFERROR(AVERAGEIFS(Assessments!J:J,Assessments!G:G,$A234,Assessments!B:B,$B$5),0)-IFERROR(AVERAGEIFS(Assessments!J:J,Assessments!G:G,$A234,Assessments!B:B,$B$4),0))</f>
        <v/>
      </c>
      <c r="G234">
        <f>IF($D234=0,"",MAXIFS(Assessments!J:J,Assessments!G:G,$A234,Assessments!B:B,"&gt;="&amp;$B$4,Assessments!B:B,"&lt;="&amp;$B$5))</f>
        <v/>
      </c>
      <c r="H234">
        <f>IF($D234=0,"",MINIFS(Assessments!J:J,Assessments!G:G,$A234,Assessments!B:B,"&gt;="&amp;$B$4,Assessments!B:B,"&lt;="&amp;$B$5))</f>
        <v/>
      </c>
    </row>
    <row r="235">
      <c r="A235">
        <f>IF(Students!A229="","",Students!A229)</f>
        <v/>
      </c>
      <c r="B235">
        <f>IF($A235="","",Students!B229)</f>
        <v/>
      </c>
      <c r="C235">
        <f>IF($A235="","",Students!C229)</f>
        <v/>
      </c>
      <c r="D235">
        <f>IF($A235="","",COUNTIFS(Assessments!G:G,$A235,Assessments!B:B,"&gt;="&amp;$B$4,Assessments!B:B,"&lt;="&amp;$B$5))</f>
        <v/>
      </c>
      <c r="E235">
        <f>IF($D235=0,"",ROUND(AVERAGEIFS(Assessments!J:J,Assessments!G:G,$A235,Assessments!B:B,"&gt;="&amp;$B$4,Assessments!B:B,"&lt;="&amp;$B$5),0))</f>
        <v/>
      </c>
      <c r="F235">
        <f>IF($D235=0,"",IFERROR(AVERAGEIFS(Assessments!J:J,Assessments!G:G,$A235,Assessments!B:B,$B$5),0)-IFERROR(AVERAGEIFS(Assessments!J:J,Assessments!G:G,$A235,Assessments!B:B,$B$4),0))</f>
        <v/>
      </c>
      <c r="G235">
        <f>IF($D235=0,"",MAXIFS(Assessments!J:J,Assessments!G:G,$A235,Assessments!B:B,"&gt;="&amp;$B$4,Assessments!B:B,"&lt;="&amp;$B$5))</f>
        <v/>
      </c>
      <c r="H235">
        <f>IF($D235=0,"",MINIFS(Assessments!J:J,Assessments!G:G,$A235,Assessments!B:B,"&gt;="&amp;$B$4,Assessments!B:B,"&lt;="&amp;$B$5))</f>
        <v/>
      </c>
    </row>
    <row r="236">
      <c r="A236">
        <f>IF(Students!A230="","",Students!A230)</f>
        <v/>
      </c>
      <c r="B236">
        <f>IF($A236="","",Students!B230)</f>
        <v/>
      </c>
      <c r="C236">
        <f>IF($A236="","",Students!C230)</f>
        <v/>
      </c>
      <c r="D236">
        <f>IF($A236="","",COUNTIFS(Assessments!G:G,$A236,Assessments!B:B,"&gt;="&amp;$B$4,Assessments!B:B,"&lt;="&amp;$B$5))</f>
        <v/>
      </c>
      <c r="E236">
        <f>IF($D236=0,"",ROUND(AVERAGEIFS(Assessments!J:J,Assessments!G:G,$A236,Assessments!B:B,"&gt;="&amp;$B$4,Assessments!B:B,"&lt;="&amp;$B$5),0))</f>
        <v/>
      </c>
      <c r="F236">
        <f>IF($D236=0,"",IFERROR(AVERAGEIFS(Assessments!J:J,Assessments!G:G,$A236,Assessments!B:B,$B$5),0)-IFERROR(AVERAGEIFS(Assessments!J:J,Assessments!G:G,$A236,Assessments!B:B,$B$4),0))</f>
        <v/>
      </c>
      <c r="G236">
        <f>IF($D236=0,"",MAXIFS(Assessments!J:J,Assessments!G:G,$A236,Assessments!B:B,"&gt;="&amp;$B$4,Assessments!B:B,"&lt;="&amp;$B$5))</f>
        <v/>
      </c>
      <c r="H236">
        <f>IF($D236=0,"",MINIFS(Assessments!J:J,Assessments!G:G,$A236,Assessments!B:B,"&gt;="&amp;$B$4,Assessments!B:B,"&lt;="&amp;$B$5))</f>
        <v/>
      </c>
    </row>
    <row r="237">
      <c r="A237">
        <f>IF(Students!A231="","",Students!A231)</f>
        <v/>
      </c>
      <c r="B237">
        <f>IF($A237="","",Students!B231)</f>
        <v/>
      </c>
      <c r="C237">
        <f>IF($A237="","",Students!C231)</f>
        <v/>
      </c>
      <c r="D237">
        <f>IF($A237="","",COUNTIFS(Assessments!G:G,$A237,Assessments!B:B,"&gt;="&amp;$B$4,Assessments!B:B,"&lt;="&amp;$B$5))</f>
        <v/>
      </c>
      <c r="E237">
        <f>IF($D237=0,"",ROUND(AVERAGEIFS(Assessments!J:J,Assessments!G:G,$A237,Assessments!B:B,"&gt;="&amp;$B$4,Assessments!B:B,"&lt;="&amp;$B$5),0))</f>
        <v/>
      </c>
      <c r="F237">
        <f>IF($D237=0,"",IFERROR(AVERAGEIFS(Assessments!J:J,Assessments!G:G,$A237,Assessments!B:B,$B$5),0)-IFERROR(AVERAGEIFS(Assessments!J:J,Assessments!G:G,$A237,Assessments!B:B,$B$4),0))</f>
        <v/>
      </c>
      <c r="G237">
        <f>IF($D237=0,"",MAXIFS(Assessments!J:J,Assessments!G:G,$A237,Assessments!B:B,"&gt;="&amp;$B$4,Assessments!B:B,"&lt;="&amp;$B$5))</f>
        <v/>
      </c>
      <c r="H237">
        <f>IF($D237=0,"",MINIFS(Assessments!J:J,Assessments!G:G,$A237,Assessments!B:B,"&gt;="&amp;$B$4,Assessments!B:B,"&lt;="&amp;$B$5))</f>
        <v/>
      </c>
    </row>
    <row r="238">
      <c r="A238">
        <f>IF(Students!A232="","",Students!A232)</f>
        <v/>
      </c>
      <c r="B238">
        <f>IF($A238="","",Students!B232)</f>
        <v/>
      </c>
      <c r="C238">
        <f>IF($A238="","",Students!C232)</f>
        <v/>
      </c>
      <c r="D238">
        <f>IF($A238="","",COUNTIFS(Assessments!G:G,$A238,Assessments!B:B,"&gt;="&amp;$B$4,Assessments!B:B,"&lt;="&amp;$B$5))</f>
        <v/>
      </c>
      <c r="E238">
        <f>IF($D238=0,"",ROUND(AVERAGEIFS(Assessments!J:J,Assessments!G:G,$A238,Assessments!B:B,"&gt;="&amp;$B$4,Assessments!B:B,"&lt;="&amp;$B$5),0))</f>
        <v/>
      </c>
      <c r="F238">
        <f>IF($D238=0,"",IFERROR(AVERAGEIFS(Assessments!J:J,Assessments!G:G,$A238,Assessments!B:B,$B$5),0)-IFERROR(AVERAGEIFS(Assessments!J:J,Assessments!G:G,$A238,Assessments!B:B,$B$4),0))</f>
        <v/>
      </c>
      <c r="G238">
        <f>IF($D238=0,"",MAXIFS(Assessments!J:J,Assessments!G:G,$A238,Assessments!B:B,"&gt;="&amp;$B$4,Assessments!B:B,"&lt;="&amp;$B$5))</f>
        <v/>
      </c>
      <c r="H238">
        <f>IF($D238=0,"",MINIFS(Assessments!J:J,Assessments!G:G,$A238,Assessments!B:B,"&gt;="&amp;$B$4,Assessments!B:B,"&lt;="&amp;$B$5))</f>
        <v/>
      </c>
    </row>
    <row r="239">
      <c r="A239">
        <f>IF(Students!A233="","",Students!A233)</f>
        <v/>
      </c>
      <c r="B239">
        <f>IF($A239="","",Students!B233)</f>
        <v/>
      </c>
      <c r="C239">
        <f>IF($A239="","",Students!C233)</f>
        <v/>
      </c>
      <c r="D239">
        <f>IF($A239="","",COUNTIFS(Assessments!G:G,$A239,Assessments!B:B,"&gt;="&amp;$B$4,Assessments!B:B,"&lt;="&amp;$B$5))</f>
        <v/>
      </c>
      <c r="E239">
        <f>IF($D239=0,"",ROUND(AVERAGEIFS(Assessments!J:J,Assessments!G:G,$A239,Assessments!B:B,"&gt;="&amp;$B$4,Assessments!B:B,"&lt;="&amp;$B$5),0))</f>
        <v/>
      </c>
      <c r="F239">
        <f>IF($D239=0,"",IFERROR(AVERAGEIFS(Assessments!J:J,Assessments!G:G,$A239,Assessments!B:B,$B$5),0)-IFERROR(AVERAGEIFS(Assessments!J:J,Assessments!G:G,$A239,Assessments!B:B,$B$4),0))</f>
        <v/>
      </c>
      <c r="G239">
        <f>IF($D239=0,"",MAXIFS(Assessments!J:J,Assessments!G:G,$A239,Assessments!B:B,"&gt;="&amp;$B$4,Assessments!B:B,"&lt;="&amp;$B$5))</f>
        <v/>
      </c>
      <c r="H239">
        <f>IF($D239=0,"",MINIFS(Assessments!J:J,Assessments!G:G,$A239,Assessments!B:B,"&gt;="&amp;$B$4,Assessments!B:B,"&lt;="&amp;$B$5))</f>
        <v/>
      </c>
    </row>
    <row r="240">
      <c r="A240">
        <f>IF(Students!A234="","",Students!A234)</f>
        <v/>
      </c>
      <c r="B240">
        <f>IF($A240="","",Students!B234)</f>
        <v/>
      </c>
      <c r="C240">
        <f>IF($A240="","",Students!C234)</f>
        <v/>
      </c>
      <c r="D240">
        <f>IF($A240="","",COUNTIFS(Assessments!G:G,$A240,Assessments!B:B,"&gt;="&amp;$B$4,Assessments!B:B,"&lt;="&amp;$B$5))</f>
        <v/>
      </c>
      <c r="E240">
        <f>IF($D240=0,"",ROUND(AVERAGEIFS(Assessments!J:J,Assessments!G:G,$A240,Assessments!B:B,"&gt;="&amp;$B$4,Assessments!B:B,"&lt;="&amp;$B$5),0))</f>
        <v/>
      </c>
      <c r="F240">
        <f>IF($D240=0,"",IFERROR(AVERAGEIFS(Assessments!J:J,Assessments!G:G,$A240,Assessments!B:B,$B$5),0)-IFERROR(AVERAGEIFS(Assessments!J:J,Assessments!G:G,$A240,Assessments!B:B,$B$4),0))</f>
        <v/>
      </c>
      <c r="G240">
        <f>IF($D240=0,"",MAXIFS(Assessments!J:J,Assessments!G:G,$A240,Assessments!B:B,"&gt;="&amp;$B$4,Assessments!B:B,"&lt;="&amp;$B$5))</f>
        <v/>
      </c>
      <c r="H240">
        <f>IF($D240=0,"",MINIFS(Assessments!J:J,Assessments!G:G,$A240,Assessments!B:B,"&gt;="&amp;$B$4,Assessments!B:B,"&lt;="&amp;$B$5))</f>
        <v/>
      </c>
    </row>
    <row r="241">
      <c r="A241">
        <f>IF(Students!A235="","",Students!A235)</f>
        <v/>
      </c>
      <c r="B241">
        <f>IF($A241="","",Students!B235)</f>
        <v/>
      </c>
      <c r="C241">
        <f>IF($A241="","",Students!C235)</f>
        <v/>
      </c>
      <c r="D241">
        <f>IF($A241="","",COUNTIFS(Assessments!G:G,$A241,Assessments!B:B,"&gt;="&amp;$B$4,Assessments!B:B,"&lt;="&amp;$B$5))</f>
        <v/>
      </c>
      <c r="E241">
        <f>IF($D241=0,"",ROUND(AVERAGEIFS(Assessments!J:J,Assessments!G:G,$A241,Assessments!B:B,"&gt;="&amp;$B$4,Assessments!B:B,"&lt;="&amp;$B$5),0))</f>
        <v/>
      </c>
      <c r="F241">
        <f>IF($D241=0,"",IFERROR(AVERAGEIFS(Assessments!J:J,Assessments!G:G,$A241,Assessments!B:B,$B$5),0)-IFERROR(AVERAGEIFS(Assessments!J:J,Assessments!G:G,$A241,Assessments!B:B,$B$4),0))</f>
        <v/>
      </c>
      <c r="G241">
        <f>IF($D241=0,"",MAXIFS(Assessments!J:J,Assessments!G:G,$A241,Assessments!B:B,"&gt;="&amp;$B$4,Assessments!B:B,"&lt;="&amp;$B$5))</f>
        <v/>
      </c>
      <c r="H241">
        <f>IF($D241=0,"",MINIFS(Assessments!J:J,Assessments!G:G,$A241,Assessments!B:B,"&gt;="&amp;$B$4,Assessments!B:B,"&lt;="&amp;$B$5))</f>
        <v/>
      </c>
    </row>
    <row r="242">
      <c r="A242">
        <f>IF(Students!A236="","",Students!A236)</f>
        <v/>
      </c>
      <c r="B242">
        <f>IF($A242="","",Students!B236)</f>
        <v/>
      </c>
      <c r="C242">
        <f>IF($A242="","",Students!C236)</f>
        <v/>
      </c>
      <c r="D242">
        <f>IF($A242="","",COUNTIFS(Assessments!G:G,$A242,Assessments!B:B,"&gt;="&amp;$B$4,Assessments!B:B,"&lt;="&amp;$B$5))</f>
        <v/>
      </c>
      <c r="E242">
        <f>IF($D242=0,"",ROUND(AVERAGEIFS(Assessments!J:J,Assessments!G:G,$A242,Assessments!B:B,"&gt;="&amp;$B$4,Assessments!B:B,"&lt;="&amp;$B$5),0))</f>
        <v/>
      </c>
      <c r="F242">
        <f>IF($D242=0,"",IFERROR(AVERAGEIFS(Assessments!J:J,Assessments!G:G,$A242,Assessments!B:B,$B$5),0)-IFERROR(AVERAGEIFS(Assessments!J:J,Assessments!G:G,$A242,Assessments!B:B,$B$4),0))</f>
        <v/>
      </c>
      <c r="G242">
        <f>IF($D242=0,"",MAXIFS(Assessments!J:J,Assessments!G:G,$A242,Assessments!B:B,"&gt;="&amp;$B$4,Assessments!B:B,"&lt;="&amp;$B$5))</f>
        <v/>
      </c>
      <c r="H242">
        <f>IF($D242=0,"",MINIFS(Assessments!J:J,Assessments!G:G,$A242,Assessments!B:B,"&gt;="&amp;$B$4,Assessments!B:B,"&lt;="&amp;$B$5))</f>
        <v/>
      </c>
    </row>
    <row r="243">
      <c r="A243">
        <f>IF(Students!A237="","",Students!A237)</f>
        <v/>
      </c>
      <c r="B243">
        <f>IF($A243="","",Students!B237)</f>
        <v/>
      </c>
      <c r="C243">
        <f>IF($A243="","",Students!C237)</f>
        <v/>
      </c>
      <c r="D243">
        <f>IF($A243="","",COUNTIFS(Assessments!G:G,$A243,Assessments!B:B,"&gt;="&amp;$B$4,Assessments!B:B,"&lt;="&amp;$B$5))</f>
        <v/>
      </c>
      <c r="E243">
        <f>IF($D243=0,"",ROUND(AVERAGEIFS(Assessments!J:J,Assessments!G:G,$A243,Assessments!B:B,"&gt;="&amp;$B$4,Assessments!B:B,"&lt;="&amp;$B$5),0))</f>
        <v/>
      </c>
      <c r="F243">
        <f>IF($D243=0,"",IFERROR(AVERAGEIFS(Assessments!J:J,Assessments!G:G,$A243,Assessments!B:B,$B$5),0)-IFERROR(AVERAGEIFS(Assessments!J:J,Assessments!G:G,$A243,Assessments!B:B,$B$4),0))</f>
        <v/>
      </c>
      <c r="G243">
        <f>IF($D243=0,"",MAXIFS(Assessments!J:J,Assessments!G:G,$A243,Assessments!B:B,"&gt;="&amp;$B$4,Assessments!B:B,"&lt;="&amp;$B$5))</f>
        <v/>
      </c>
      <c r="H243">
        <f>IF($D243=0,"",MINIFS(Assessments!J:J,Assessments!G:G,$A243,Assessments!B:B,"&gt;="&amp;$B$4,Assessments!B:B,"&lt;="&amp;$B$5))</f>
        <v/>
      </c>
    </row>
    <row r="244">
      <c r="A244">
        <f>IF(Students!A238="","",Students!A238)</f>
        <v/>
      </c>
      <c r="B244">
        <f>IF($A244="","",Students!B238)</f>
        <v/>
      </c>
      <c r="C244">
        <f>IF($A244="","",Students!C238)</f>
        <v/>
      </c>
      <c r="D244">
        <f>IF($A244="","",COUNTIFS(Assessments!G:G,$A244,Assessments!B:B,"&gt;="&amp;$B$4,Assessments!B:B,"&lt;="&amp;$B$5))</f>
        <v/>
      </c>
      <c r="E244">
        <f>IF($D244=0,"",ROUND(AVERAGEIFS(Assessments!J:J,Assessments!G:G,$A244,Assessments!B:B,"&gt;="&amp;$B$4,Assessments!B:B,"&lt;="&amp;$B$5),0))</f>
        <v/>
      </c>
      <c r="F244">
        <f>IF($D244=0,"",IFERROR(AVERAGEIFS(Assessments!J:J,Assessments!G:G,$A244,Assessments!B:B,$B$5),0)-IFERROR(AVERAGEIFS(Assessments!J:J,Assessments!G:G,$A244,Assessments!B:B,$B$4),0))</f>
        <v/>
      </c>
      <c r="G244">
        <f>IF($D244=0,"",MAXIFS(Assessments!J:J,Assessments!G:G,$A244,Assessments!B:B,"&gt;="&amp;$B$4,Assessments!B:B,"&lt;="&amp;$B$5))</f>
        <v/>
      </c>
      <c r="H244">
        <f>IF($D244=0,"",MINIFS(Assessments!J:J,Assessments!G:G,$A244,Assessments!B:B,"&gt;="&amp;$B$4,Assessments!B:B,"&lt;="&amp;$B$5))</f>
        <v/>
      </c>
    </row>
    <row r="245">
      <c r="A245">
        <f>IF(Students!A239="","",Students!A239)</f>
        <v/>
      </c>
      <c r="B245">
        <f>IF($A245="","",Students!B239)</f>
        <v/>
      </c>
      <c r="C245">
        <f>IF($A245="","",Students!C239)</f>
        <v/>
      </c>
      <c r="D245">
        <f>IF($A245="","",COUNTIFS(Assessments!G:G,$A245,Assessments!B:B,"&gt;="&amp;$B$4,Assessments!B:B,"&lt;="&amp;$B$5))</f>
        <v/>
      </c>
      <c r="E245">
        <f>IF($D245=0,"",ROUND(AVERAGEIFS(Assessments!J:J,Assessments!G:G,$A245,Assessments!B:B,"&gt;="&amp;$B$4,Assessments!B:B,"&lt;="&amp;$B$5),0))</f>
        <v/>
      </c>
      <c r="F245">
        <f>IF($D245=0,"",IFERROR(AVERAGEIFS(Assessments!J:J,Assessments!G:G,$A245,Assessments!B:B,$B$5),0)-IFERROR(AVERAGEIFS(Assessments!J:J,Assessments!G:G,$A245,Assessments!B:B,$B$4),0))</f>
        <v/>
      </c>
      <c r="G245">
        <f>IF($D245=0,"",MAXIFS(Assessments!J:J,Assessments!G:G,$A245,Assessments!B:B,"&gt;="&amp;$B$4,Assessments!B:B,"&lt;="&amp;$B$5))</f>
        <v/>
      </c>
      <c r="H245">
        <f>IF($D245=0,"",MINIFS(Assessments!J:J,Assessments!G:G,$A245,Assessments!B:B,"&gt;="&amp;$B$4,Assessments!B:B,"&lt;="&amp;$B$5))</f>
        <v/>
      </c>
    </row>
    <row r="246">
      <c r="A246">
        <f>IF(Students!A240="","",Students!A240)</f>
        <v/>
      </c>
      <c r="B246">
        <f>IF($A246="","",Students!B240)</f>
        <v/>
      </c>
      <c r="C246">
        <f>IF($A246="","",Students!C240)</f>
        <v/>
      </c>
      <c r="D246">
        <f>IF($A246="","",COUNTIFS(Assessments!G:G,$A246,Assessments!B:B,"&gt;="&amp;$B$4,Assessments!B:B,"&lt;="&amp;$B$5))</f>
        <v/>
      </c>
      <c r="E246">
        <f>IF($D246=0,"",ROUND(AVERAGEIFS(Assessments!J:J,Assessments!G:G,$A246,Assessments!B:B,"&gt;="&amp;$B$4,Assessments!B:B,"&lt;="&amp;$B$5),0))</f>
        <v/>
      </c>
      <c r="F246">
        <f>IF($D246=0,"",IFERROR(AVERAGEIFS(Assessments!J:J,Assessments!G:G,$A246,Assessments!B:B,$B$5),0)-IFERROR(AVERAGEIFS(Assessments!J:J,Assessments!G:G,$A246,Assessments!B:B,$B$4),0))</f>
        <v/>
      </c>
      <c r="G246">
        <f>IF($D246=0,"",MAXIFS(Assessments!J:J,Assessments!G:G,$A246,Assessments!B:B,"&gt;="&amp;$B$4,Assessments!B:B,"&lt;="&amp;$B$5))</f>
        <v/>
      </c>
      <c r="H246">
        <f>IF($D246=0,"",MINIFS(Assessments!J:J,Assessments!G:G,$A246,Assessments!B:B,"&gt;="&amp;$B$4,Assessments!B:B,"&lt;="&amp;$B$5))</f>
        <v/>
      </c>
    </row>
    <row r="247">
      <c r="A247">
        <f>IF(Students!A241="","",Students!A241)</f>
        <v/>
      </c>
      <c r="B247">
        <f>IF($A247="","",Students!B241)</f>
        <v/>
      </c>
      <c r="C247">
        <f>IF($A247="","",Students!C241)</f>
        <v/>
      </c>
      <c r="D247">
        <f>IF($A247="","",COUNTIFS(Assessments!G:G,$A247,Assessments!B:B,"&gt;="&amp;$B$4,Assessments!B:B,"&lt;="&amp;$B$5))</f>
        <v/>
      </c>
      <c r="E247">
        <f>IF($D247=0,"",ROUND(AVERAGEIFS(Assessments!J:J,Assessments!G:G,$A247,Assessments!B:B,"&gt;="&amp;$B$4,Assessments!B:B,"&lt;="&amp;$B$5),0))</f>
        <v/>
      </c>
      <c r="F247">
        <f>IF($D247=0,"",IFERROR(AVERAGEIFS(Assessments!J:J,Assessments!G:G,$A247,Assessments!B:B,$B$5),0)-IFERROR(AVERAGEIFS(Assessments!J:J,Assessments!G:G,$A247,Assessments!B:B,$B$4),0))</f>
        <v/>
      </c>
      <c r="G247">
        <f>IF($D247=0,"",MAXIFS(Assessments!J:J,Assessments!G:G,$A247,Assessments!B:B,"&gt;="&amp;$B$4,Assessments!B:B,"&lt;="&amp;$B$5))</f>
        <v/>
      </c>
      <c r="H247">
        <f>IF($D247=0,"",MINIFS(Assessments!J:J,Assessments!G:G,$A247,Assessments!B:B,"&gt;="&amp;$B$4,Assessments!B:B,"&lt;="&amp;$B$5))</f>
        <v/>
      </c>
    </row>
    <row r="248">
      <c r="A248">
        <f>IF(Students!A242="","",Students!A242)</f>
        <v/>
      </c>
      <c r="B248">
        <f>IF($A248="","",Students!B242)</f>
        <v/>
      </c>
      <c r="C248">
        <f>IF($A248="","",Students!C242)</f>
        <v/>
      </c>
      <c r="D248">
        <f>IF($A248="","",COUNTIFS(Assessments!G:G,$A248,Assessments!B:B,"&gt;="&amp;$B$4,Assessments!B:B,"&lt;="&amp;$B$5))</f>
        <v/>
      </c>
      <c r="E248">
        <f>IF($D248=0,"",ROUND(AVERAGEIFS(Assessments!J:J,Assessments!G:G,$A248,Assessments!B:B,"&gt;="&amp;$B$4,Assessments!B:B,"&lt;="&amp;$B$5),0))</f>
        <v/>
      </c>
      <c r="F248">
        <f>IF($D248=0,"",IFERROR(AVERAGEIFS(Assessments!J:J,Assessments!G:G,$A248,Assessments!B:B,$B$5),0)-IFERROR(AVERAGEIFS(Assessments!J:J,Assessments!G:G,$A248,Assessments!B:B,$B$4),0))</f>
        <v/>
      </c>
      <c r="G248">
        <f>IF($D248=0,"",MAXIFS(Assessments!J:J,Assessments!G:G,$A248,Assessments!B:B,"&gt;="&amp;$B$4,Assessments!B:B,"&lt;="&amp;$B$5))</f>
        <v/>
      </c>
      <c r="H248">
        <f>IF($D248=0,"",MINIFS(Assessments!J:J,Assessments!G:G,$A248,Assessments!B:B,"&gt;="&amp;$B$4,Assessments!B:B,"&lt;="&amp;$B$5))</f>
        <v/>
      </c>
    </row>
    <row r="249">
      <c r="A249">
        <f>IF(Students!A243="","",Students!A243)</f>
        <v/>
      </c>
      <c r="B249">
        <f>IF($A249="","",Students!B243)</f>
        <v/>
      </c>
      <c r="C249">
        <f>IF($A249="","",Students!C243)</f>
        <v/>
      </c>
      <c r="D249">
        <f>IF($A249="","",COUNTIFS(Assessments!G:G,$A249,Assessments!B:B,"&gt;="&amp;$B$4,Assessments!B:B,"&lt;="&amp;$B$5))</f>
        <v/>
      </c>
      <c r="E249">
        <f>IF($D249=0,"",ROUND(AVERAGEIFS(Assessments!J:J,Assessments!G:G,$A249,Assessments!B:B,"&gt;="&amp;$B$4,Assessments!B:B,"&lt;="&amp;$B$5),0))</f>
        <v/>
      </c>
      <c r="F249">
        <f>IF($D249=0,"",IFERROR(AVERAGEIFS(Assessments!J:J,Assessments!G:G,$A249,Assessments!B:B,$B$5),0)-IFERROR(AVERAGEIFS(Assessments!J:J,Assessments!G:G,$A249,Assessments!B:B,$B$4),0))</f>
        <v/>
      </c>
      <c r="G249">
        <f>IF($D249=0,"",MAXIFS(Assessments!J:J,Assessments!G:G,$A249,Assessments!B:B,"&gt;="&amp;$B$4,Assessments!B:B,"&lt;="&amp;$B$5))</f>
        <v/>
      </c>
      <c r="H249">
        <f>IF($D249=0,"",MINIFS(Assessments!J:J,Assessments!G:G,$A249,Assessments!B:B,"&gt;="&amp;$B$4,Assessments!B:B,"&lt;="&amp;$B$5))</f>
        <v/>
      </c>
    </row>
    <row r="250">
      <c r="A250">
        <f>IF(Students!A244="","",Students!A244)</f>
        <v/>
      </c>
      <c r="B250">
        <f>IF($A250="","",Students!B244)</f>
        <v/>
      </c>
      <c r="C250">
        <f>IF($A250="","",Students!C244)</f>
        <v/>
      </c>
      <c r="D250">
        <f>IF($A250="","",COUNTIFS(Assessments!G:G,$A250,Assessments!B:B,"&gt;="&amp;$B$4,Assessments!B:B,"&lt;="&amp;$B$5))</f>
        <v/>
      </c>
      <c r="E250">
        <f>IF($D250=0,"",ROUND(AVERAGEIFS(Assessments!J:J,Assessments!G:G,$A250,Assessments!B:B,"&gt;="&amp;$B$4,Assessments!B:B,"&lt;="&amp;$B$5),0))</f>
        <v/>
      </c>
      <c r="F250">
        <f>IF($D250=0,"",IFERROR(AVERAGEIFS(Assessments!J:J,Assessments!G:G,$A250,Assessments!B:B,$B$5),0)-IFERROR(AVERAGEIFS(Assessments!J:J,Assessments!G:G,$A250,Assessments!B:B,$B$4),0))</f>
        <v/>
      </c>
      <c r="G250">
        <f>IF($D250=0,"",MAXIFS(Assessments!J:J,Assessments!G:G,$A250,Assessments!B:B,"&gt;="&amp;$B$4,Assessments!B:B,"&lt;="&amp;$B$5))</f>
        <v/>
      </c>
      <c r="H250">
        <f>IF($D250=0,"",MINIFS(Assessments!J:J,Assessments!G:G,$A250,Assessments!B:B,"&gt;="&amp;$B$4,Assessments!B:B,"&lt;="&amp;$B$5))</f>
        <v/>
      </c>
    </row>
    <row r="251">
      <c r="A251">
        <f>IF(Students!A245="","",Students!A245)</f>
        <v/>
      </c>
      <c r="B251">
        <f>IF($A251="","",Students!B245)</f>
        <v/>
      </c>
      <c r="C251">
        <f>IF($A251="","",Students!C245)</f>
        <v/>
      </c>
      <c r="D251">
        <f>IF($A251="","",COUNTIFS(Assessments!G:G,$A251,Assessments!B:B,"&gt;="&amp;$B$4,Assessments!B:B,"&lt;="&amp;$B$5))</f>
        <v/>
      </c>
      <c r="E251">
        <f>IF($D251=0,"",ROUND(AVERAGEIFS(Assessments!J:J,Assessments!G:G,$A251,Assessments!B:B,"&gt;="&amp;$B$4,Assessments!B:B,"&lt;="&amp;$B$5),0))</f>
        <v/>
      </c>
      <c r="F251">
        <f>IF($D251=0,"",IFERROR(AVERAGEIFS(Assessments!J:J,Assessments!G:G,$A251,Assessments!B:B,$B$5),0)-IFERROR(AVERAGEIFS(Assessments!J:J,Assessments!G:G,$A251,Assessments!B:B,$B$4),0))</f>
        <v/>
      </c>
      <c r="G251">
        <f>IF($D251=0,"",MAXIFS(Assessments!J:J,Assessments!G:G,$A251,Assessments!B:B,"&gt;="&amp;$B$4,Assessments!B:B,"&lt;="&amp;$B$5))</f>
        <v/>
      </c>
      <c r="H251">
        <f>IF($D251=0,"",MINIFS(Assessments!J:J,Assessments!G:G,$A251,Assessments!B:B,"&gt;="&amp;$B$4,Assessments!B:B,"&lt;="&amp;$B$5))</f>
        <v/>
      </c>
    </row>
    <row r="252">
      <c r="A252">
        <f>IF(Students!A246="","",Students!A246)</f>
        <v/>
      </c>
      <c r="B252">
        <f>IF($A252="","",Students!B246)</f>
        <v/>
      </c>
      <c r="C252">
        <f>IF($A252="","",Students!C246)</f>
        <v/>
      </c>
      <c r="D252">
        <f>IF($A252="","",COUNTIFS(Assessments!G:G,$A252,Assessments!B:B,"&gt;="&amp;$B$4,Assessments!B:B,"&lt;="&amp;$B$5))</f>
        <v/>
      </c>
      <c r="E252">
        <f>IF($D252=0,"",ROUND(AVERAGEIFS(Assessments!J:J,Assessments!G:G,$A252,Assessments!B:B,"&gt;="&amp;$B$4,Assessments!B:B,"&lt;="&amp;$B$5),0))</f>
        <v/>
      </c>
      <c r="F252">
        <f>IF($D252=0,"",IFERROR(AVERAGEIFS(Assessments!J:J,Assessments!G:G,$A252,Assessments!B:B,$B$5),0)-IFERROR(AVERAGEIFS(Assessments!J:J,Assessments!G:G,$A252,Assessments!B:B,$B$4),0))</f>
        <v/>
      </c>
      <c r="G252">
        <f>IF($D252=0,"",MAXIFS(Assessments!J:J,Assessments!G:G,$A252,Assessments!B:B,"&gt;="&amp;$B$4,Assessments!B:B,"&lt;="&amp;$B$5))</f>
        <v/>
      </c>
      <c r="H252">
        <f>IF($D252=0,"",MINIFS(Assessments!J:J,Assessments!G:G,$A252,Assessments!B:B,"&gt;="&amp;$B$4,Assessments!B:B,"&lt;="&amp;$B$5))</f>
        <v/>
      </c>
    </row>
    <row r="253">
      <c r="A253">
        <f>IF(Students!A247="","",Students!A247)</f>
        <v/>
      </c>
      <c r="B253">
        <f>IF($A253="","",Students!B247)</f>
        <v/>
      </c>
      <c r="C253">
        <f>IF($A253="","",Students!C247)</f>
        <v/>
      </c>
      <c r="D253">
        <f>IF($A253="","",COUNTIFS(Assessments!G:G,$A253,Assessments!B:B,"&gt;="&amp;$B$4,Assessments!B:B,"&lt;="&amp;$B$5))</f>
        <v/>
      </c>
      <c r="E253">
        <f>IF($D253=0,"",ROUND(AVERAGEIFS(Assessments!J:J,Assessments!G:G,$A253,Assessments!B:B,"&gt;="&amp;$B$4,Assessments!B:B,"&lt;="&amp;$B$5),0))</f>
        <v/>
      </c>
      <c r="F253">
        <f>IF($D253=0,"",IFERROR(AVERAGEIFS(Assessments!J:J,Assessments!G:G,$A253,Assessments!B:B,$B$5),0)-IFERROR(AVERAGEIFS(Assessments!J:J,Assessments!G:G,$A253,Assessments!B:B,$B$4),0))</f>
        <v/>
      </c>
      <c r="G253">
        <f>IF($D253=0,"",MAXIFS(Assessments!J:J,Assessments!G:G,$A253,Assessments!B:B,"&gt;="&amp;$B$4,Assessments!B:B,"&lt;="&amp;$B$5))</f>
        <v/>
      </c>
      <c r="H253">
        <f>IF($D253=0,"",MINIFS(Assessments!J:J,Assessments!G:G,$A253,Assessments!B:B,"&gt;="&amp;$B$4,Assessments!B:B,"&lt;="&amp;$B$5))</f>
        <v/>
      </c>
    </row>
    <row r="254">
      <c r="A254">
        <f>IF(Students!A248="","",Students!A248)</f>
        <v/>
      </c>
      <c r="B254">
        <f>IF($A254="","",Students!B248)</f>
        <v/>
      </c>
      <c r="C254">
        <f>IF($A254="","",Students!C248)</f>
        <v/>
      </c>
      <c r="D254">
        <f>IF($A254="","",COUNTIFS(Assessments!G:G,$A254,Assessments!B:B,"&gt;="&amp;$B$4,Assessments!B:B,"&lt;="&amp;$B$5))</f>
        <v/>
      </c>
      <c r="E254">
        <f>IF($D254=0,"",ROUND(AVERAGEIFS(Assessments!J:J,Assessments!G:G,$A254,Assessments!B:B,"&gt;="&amp;$B$4,Assessments!B:B,"&lt;="&amp;$B$5),0))</f>
        <v/>
      </c>
      <c r="F254">
        <f>IF($D254=0,"",IFERROR(AVERAGEIFS(Assessments!J:J,Assessments!G:G,$A254,Assessments!B:B,$B$5),0)-IFERROR(AVERAGEIFS(Assessments!J:J,Assessments!G:G,$A254,Assessments!B:B,$B$4),0))</f>
        <v/>
      </c>
      <c r="G254">
        <f>IF($D254=0,"",MAXIFS(Assessments!J:J,Assessments!G:G,$A254,Assessments!B:B,"&gt;="&amp;$B$4,Assessments!B:B,"&lt;="&amp;$B$5))</f>
        <v/>
      </c>
      <c r="H254">
        <f>IF($D254=0,"",MINIFS(Assessments!J:J,Assessments!G:G,$A254,Assessments!B:B,"&gt;="&amp;$B$4,Assessments!B:B,"&lt;="&amp;$B$5))</f>
        <v/>
      </c>
    </row>
    <row r="255">
      <c r="A255">
        <f>IF(Students!A249="","",Students!A249)</f>
        <v/>
      </c>
      <c r="B255">
        <f>IF($A255="","",Students!B249)</f>
        <v/>
      </c>
      <c r="C255">
        <f>IF($A255="","",Students!C249)</f>
        <v/>
      </c>
      <c r="D255">
        <f>IF($A255="","",COUNTIFS(Assessments!G:G,$A255,Assessments!B:B,"&gt;="&amp;$B$4,Assessments!B:B,"&lt;="&amp;$B$5))</f>
        <v/>
      </c>
      <c r="E255">
        <f>IF($D255=0,"",ROUND(AVERAGEIFS(Assessments!J:J,Assessments!G:G,$A255,Assessments!B:B,"&gt;="&amp;$B$4,Assessments!B:B,"&lt;="&amp;$B$5),0))</f>
        <v/>
      </c>
      <c r="F255">
        <f>IF($D255=0,"",IFERROR(AVERAGEIFS(Assessments!J:J,Assessments!G:G,$A255,Assessments!B:B,$B$5),0)-IFERROR(AVERAGEIFS(Assessments!J:J,Assessments!G:G,$A255,Assessments!B:B,$B$4),0))</f>
        <v/>
      </c>
      <c r="G255">
        <f>IF($D255=0,"",MAXIFS(Assessments!J:J,Assessments!G:G,$A255,Assessments!B:B,"&gt;="&amp;$B$4,Assessments!B:B,"&lt;="&amp;$B$5))</f>
        <v/>
      </c>
      <c r="H255">
        <f>IF($D255=0,"",MINIFS(Assessments!J:J,Assessments!G:G,$A255,Assessments!B:B,"&gt;="&amp;$B$4,Assessments!B:B,"&lt;="&amp;$B$5))</f>
        <v/>
      </c>
    </row>
    <row r="256">
      <c r="A256">
        <f>IF(Students!A250="","",Students!A250)</f>
        <v/>
      </c>
      <c r="B256">
        <f>IF($A256="","",Students!B250)</f>
        <v/>
      </c>
      <c r="C256">
        <f>IF($A256="","",Students!C250)</f>
        <v/>
      </c>
      <c r="D256">
        <f>IF($A256="","",COUNTIFS(Assessments!G:G,$A256,Assessments!B:B,"&gt;="&amp;$B$4,Assessments!B:B,"&lt;="&amp;$B$5))</f>
        <v/>
      </c>
      <c r="E256">
        <f>IF($D256=0,"",ROUND(AVERAGEIFS(Assessments!J:J,Assessments!G:G,$A256,Assessments!B:B,"&gt;="&amp;$B$4,Assessments!B:B,"&lt;="&amp;$B$5),0))</f>
        <v/>
      </c>
      <c r="F256">
        <f>IF($D256=0,"",IFERROR(AVERAGEIFS(Assessments!J:J,Assessments!G:G,$A256,Assessments!B:B,$B$5),0)-IFERROR(AVERAGEIFS(Assessments!J:J,Assessments!G:G,$A256,Assessments!B:B,$B$4),0))</f>
        <v/>
      </c>
      <c r="G256">
        <f>IF($D256=0,"",MAXIFS(Assessments!J:J,Assessments!G:G,$A256,Assessments!B:B,"&gt;="&amp;$B$4,Assessments!B:B,"&lt;="&amp;$B$5))</f>
        <v/>
      </c>
      <c r="H256">
        <f>IF($D256=0,"",MINIFS(Assessments!J:J,Assessments!G:G,$A256,Assessments!B:B,"&gt;="&amp;$B$4,Assessments!B:B,"&lt;="&amp;$B$5))</f>
        <v/>
      </c>
    </row>
    <row r="257">
      <c r="A257">
        <f>IF(Students!A251="","",Students!A251)</f>
        <v/>
      </c>
      <c r="B257">
        <f>IF($A257="","",Students!B251)</f>
        <v/>
      </c>
      <c r="C257">
        <f>IF($A257="","",Students!C251)</f>
        <v/>
      </c>
      <c r="D257">
        <f>IF($A257="","",COUNTIFS(Assessments!G:G,$A257,Assessments!B:B,"&gt;="&amp;$B$4,Assessments!B:B,"&lt;="&amp;$B$5))</f>
        <v/>
      </c>
      <c r="E257">
        <f>IF($D257=0,"",ROUND(AVERAGEIFS(Assessments!J:J,Assessments!G:G,$A257,Assessments!B:B,"&gt;="&amp;$B$4,Assessments!B:B,"&lt;="&amp;$B$5),0))</f>
        <v/>
      </c>
      <c r="F257">
        <f>IF($D257=0,"",IFERROR(AVERAGEIFS(Assessments!J:J,Assessments!G:G,$A257,Assessments!B:B,$B$5),0)-IFERROR(AVERAGEIFS(Assessments!J:J,Assessments!G:G,$A257,Assessments!B:B,$B$4),0))</f>
        <v/>
      </c>
      <c r="G257">
        <f>IF($D257=0,"",MAXIFS(Assessments!J:J,Assessments!G:G,$A257,Assessments!B:B,"&gt;="&amp;$B$4,Assessments!B:B,"&lt;="&amp;$B$5))</f>
        <v/>
      </c>
      <c r="H257">
        <f>IF($D257=0,"",MINIFS(Assessments!J:J,Assessments!G:G,$A257,Assessments!B:B,"&gt;="&amp;$B$4,Assessments!B:B,"&lt;="&amp;$B$5))</f>
        <v/>
      </c>
    </row>
    <row r="258">
      <c r="A258">
        <f>IF(Students!A252="","",Students!A252)</f>
        <v/>
      </c>
      <c r="B258">
        <f>IF($A258="","",Students!B252)</f>
        <v/>
      </c>
      <c r="C258">
        <f>IF($A258="","",Students!C252)</f>
        <v/>
      </c>
      <c r="D258">
        <f>IF($A258="","",COUNTIFS(Assessments!G:G,$A258,Assessments!B:B,"&gt;="&amp;$B$4,Assessments!B:B,"&lt;="&amp;$B$5))</f>
        <v/>
      </c>
      <c r="E258">
        <f>IF($D258=0,"",ROUND(AVERAGEIFS(Assessments!J:J,Assessments!G:G,$A258,Assessments!B:B,"&gt;="&amp;$B$4,Assessments!B:B,"&lt;="&amp;$B$5),0))</f>
        <v/>
      </c>
      <c r="F258">
        <f>IF($D258=0,"",IFERROR(AVERAGEIFS(Assessments!J:J,Assessments!G:G,$A258,Assessments!B:B,$B$5),0)-IFERROR(AVERAGEIFS(Assessments!J:J,Assessments!G:G,$A258,Assessments!B:B,$B$4),0))</f>
        <v/>
      </c>
      <c r="G258">
        <f>IF($D258=0,"",MAXIFS(Assessments!J:J,Assessments!G:G,$A258,Assessments!B:B,"&gt;="&amp;$B$4,Assessments!B:B,"&lt;="&amp;$B$5))</f>
        <v/>
      </c>
      <c r="H258">
        <f>IF($D258=0,"",MINIFS(Assessments!J:J,Assessments!G:G,$A258,Assessments!B:B,"&gt;="&amp;$B$4,Assessments!B:B,"&lt;="&amp;$B$5))</f>
        <v/>
      </c>
    </row>
    <row r="259">
      <c r="A259">
        <f>IF(Students!A253="","",Students!A253)</f>
        <v/>
      </c>
      <c r="B259">
        <f>IF($A259="","",Students!B253)</f>
        <v/>
      </c>
      <c r="C259">
        <f>IF($A259="","",Students!C253)</f>
        <v/>
      </c>
      <c r="D259">
        <f>IF($A259="","",COUNTIFS(Assessments!G:G,$A259,Assessments!B:B,"&gt;="&amp;$B$4,Assessments!B:B,"&lt;="&amp;$B$5))</f>
        <v/>
      </c>
      <c r="E259">
        <f>IF($D259=0,"",ROUND(AVERAGEIFS(Assessments!J:J,Assessments!G:G,$A259,Assessments!B:B,"&gt;="&amp;$B$4,Assessments!B:B,"&lt;="&amp;$B$5),0))</f>
        <v/>
      </c>
      <c r="F259">
        <f>IF($D259=0,"",IFERROR(AVERAGEIFS(Assessments!J:J,Assessments!G:G,$A259,Assessments!B:B,$B$5),0)-IFERROR(AVERAGEIFS(Assessments!J:J,Assessments!G:G,$A259,Assessments!B:B,$B$4),0))</f>
        <v/>
      </c>
      <c r="G259">
        <f>IF($D259=0,"",MAXIFS(Assessments!J:J,Assessments!G:G,$A259,Assessments!B:B,"&gt;="&amp;$B$4,Assessments!B:B,"&lt;="&amp;$B$5))</f>
        <v/>
      </c>
      <c r="H259">
        <f>IF($D259=0,"",MINIFS(Assessments!J:J,Assessments!G:G,$A259,Assessments!B:B,"&gt;="&amp;$B$4,Assessments!B:B,"&lt;="&amp;$B$5))</f>
        <v/>
      </c>
    </row>
    <row r="260">
      <c r="A260">
        <f>IF(Students!A254="","",Students!A254)</f>
        <v/>
      </c>
      <c r="B260">
        <f>IF($A260="","",Students!B254)</f>
        <v/>
      </c>
      <c r="C260">
        <f>IF($A260="","",Students!C254)</f>
        <v/>
      </c>
      <c r="D260">
        <f>IF($A260="","",COUNTIFS(Assessments!G:G,$A260,Assessments!B:B,"&gt;="&amp;$B$4,Assessments!B:B,"&lt;="&amp;$B$5))</f>
        <v/>
      </c>
      <c r="E260">
        <f>IF($D260=0,"",ROUND(AVERAGEIFS(Assessments!J:J,Assessments!G:G,$A260,Assessments!B:B,"&gt;="&amp;$B$4,Assessments!B:B,"&lt;="&amp;$B$5),0))</f>
        <v/>
      </c>
      <c r="F260">
        <f>IF($D260=0,"",IFERROR(AVERAGEIFS(Assessments!J:J,Assessments!G:G,$A260,Assessments!B:B,$B$5),0)-IFERROR(AVERAGEIFS(Assessments!J:J,Assessments!G:G,$A260,Assessments!B:B,$B$4),0))</f>
        <v/>
      </c>
      <c r="G260">
        <f>IF($D260=0,"",MAXIFS(Assessments!J:J,Assessments!G:G,$A260,Assessments!B:B,"&gt;="&amp;$B$4,Assessments!B:B,"&lt;="&amp;$B$5))</f>
        <v/>
      </c>
      <c r="H260">
        <f>IF($D260=0,"",MINIFS(Assessments!J:J,Assessments!G:G,$A260,Assessments!B:B,"&gt;="&amp;$B$4,Assessments!B:B,"&lt;="&amp;$B$5))</f>
        <v/>
      </c>
    </row>
    <row r="261">
      <c r="A261">
        <f>IF(Students!A255="","",Students!A255)</f>
        <v/>
      </c>
      <c r="B261">
        <f>IF($A261="","",Students!B255)</f>
        <v/>
      </c>
      <c r="C261">
        <f>IF($A261="","",Students!C255)</f>
        <v/>
      </c>
      <c r="D261">
        <f>IF($A261="","",COUNTIFS(Assessments!G:G,$A261,Assessments!B:B,"&gt;="&amp;$B$4,Assessments!B:B,"&lt;="&amp;$B$5))</f>
        <v/>
      </c>
      <c r="E261">
        <f>IF($D261=0,"",ROUND(AVERAGEIFS(Assessments!J:J,Assessments!G:G,$A261,Assessments!B:B,"&gt;="&amp;$B$4,Assessments!B:B,"&lt;="&amp;$B$5),0))</f>
        <v/>
      </c>
      <c r="F261">
        <f>IF($D261=0,"",IFERROR(AVERAGEIFS(Assessments!J:J,Assessments!G:G,$A261,Assessments!B:B,$B$5),0)-IFERROR(AVERAGEIFS(Assessments!J:J,Assessments!G:G,$A261,Assessments!B:B,$B$4),0))</f>
        <v/>
      </c>
      <c r="G261">
        <f>IF($D261=0,"",MAXIFS(Assessments!J:J,Assessments!G:G,$A261,Assessments!B:B,"&gt;="&amp;$B$4,Assessments!B:B,"&lt;="&amp;$B$5))</f>
        <v/>
      </c>
      <c r="H261">
        <f>IF($D261=0,"",MINIFS(Assessments!J:J,Assessments!G:G,$A261,Assessments!B:B,"&gt;="&amp;$B$4,Assessments!B:B,"&lt;="&amp;$B$5))</f>
        <v/>
      </c>
    </row>
    <row r="262">
      <c r="A262">
        <f>IF(Students!A256="","",Students!A256)</f>
        <v/>
      </c>
      <c r="B262">
        <f>IF($A262="","",Students!B256)</f>
        <v/>
      </c>
      <c r="C262">
        <f>IF($A262="","",Students!C256)</f>
        <v/>
      </c>
      <c r="D262">
        <f>IF($A262="","",COUNTIFS(Assessments!G:G,$A262,Assessments!B:B,"&gt;="&amp;$B$4,Assessments!B:B,"&lt;="&amp;$B$5))</f>
        <v/>
      </c>
      <c r="E262">
        <f>IF($D262=0,"",ROUND(AVERAGEIFS(Assessments!J:J,Assessments!G:G,$A262,Assessments!B:B,"&gt;="&amp;$B$4,Assessments!B:B,"&lt;="&amp;$B$5),0))</f>
        <v/>
      </c>
      <c r="F262">
        <f>IF($D262=0,"",IFERROR(AVERAGEIFS(Assessments!J:J,Assessments!G:G,$A262,Assessments!B:B,$B$5),0)-IFERROR(AVERAGEIFS(Assessments!J:J,Assessments!G:G,$A262,Assessments!B:B,$B$4),0))</f>
        <v/>
      </c>
      <c r="G262">
        <f>IF($D262=0,"",MAXIFS(Assessments!J:J,Assessments!G:G,$A262,Assessments!B:B,"&gt;="&amp;$B$4,Assessments!B:B,"&lt;="&amp;$B$5))</f>
        <v/>
      </c>
      <c r="H262">
        <f>IF($D262=0,"",MINIFS(Assessments!J:J,Assessments!G:G,$A262,Assessments!B:B,"&gt;="&amp;$B$4,Assessments!B:B,"&lt;="&amp;$B$5))</f>
        <v/>
      </c>
    </row>
    <row r="263">
      <c r="A263">
        <f>IF(Students!A257="","",Students!A257)</f>
        <v/>
      </c>
      <c r="B263">
        <f>IF($A263="","",Students!B257)</f>
        <v/>
      </c>
      <c r="C263">
        <f>IF($A263="","",Students!C257)</f>
        <v/>
      </c>
      <c r="D263">
        <f>IF($A263="","",COUNTIFS(Assessments!G:G,$A263,Assessments!B:B,"&gt;="&amp;$B$4,Assessments!B:B,"&lt;="&amp;$B$5))</f>
        <v/>
      </c>
      <c r="E263">
        <f>IF($D263=0,"",ROUND(AVERAGEIFS(Assessments!J:J,Assessments!G:G,$A263,Assessments!B:B,"&gt;="&amp;$B$4,Assessments!B:B,"&lt;="&amp;$B$5),0))</f>
        <v/>
      </c>
      <c r="F263">
        <f>IF($D263=0,"",IFERROR(AVERAGEIFS(Assessments!J:J,Assessments!G:G,$A263,Assessments!B:B,$B$5),0)-IFERROR(AVERAGEIFS(Assessments!J:J,Assessments!G:G,$A263,Assessments!B:B,$B$4),0))</f>
        <v/>
      </c>
      <c r="G263">
        <f>IF($D263=0,"",MAXIFS(Assessments!J:J,Assessments!G:G,$A263,Assessments!B:B,"&gt;="&amp;$B$4,Assessments!B:B,"&lt;="&amp;$B$5))</f>
        <v/>
      </c>
      <c r="H263">
        <f>IF($D263=0,"",MINIFS(Assessments!J:J,Assessments!G:G,$A263,Assessments!B:B,"&gt;="&amp;$B$4,Assessments!B:B,"&lt;="&amp;$B$5))</f>
        <v/>
      </c>
    </row>
    <row r="264">
      <c r="A264">
        <f>IF(Students!A258="","",Students!A258)</f>
        <v/>
      </c>
      <c r="B264">
        <f>IF($A264="","",Students!B258)</f>
        <v/>
      </c>
      <c r="C264">
        <f>IF($A264="","",Students!C258)</f>
        <v/>
      </c>
      <c r="D264">
        <f>IF($A264="","",COUNTIFS(Assessments!G:G,$A264,Assessments!B:B,"&gt;="&amp;$B$4,Assessments!B:B,"&lt;="&amp;$B$5))</f>
        <v/>
      </c>
      <c r="E264">
        <f>IF($D264=0,"",ROUND(AVERAGEIFS(Assessments!J:J,Assessments!G:G,$A264,Assessments!B:B,"&gt;="&amp;$B$4,Assessments!B:B,"&lt;="&amp;$B$5),0))</f>
        <v/>
      </c>
      <c r="F264">
        <f>IF($D264=0,"",IFERROR(AVERAGEIFS(Assessments!J:J,Assessments!G:G,$A264,Assessments!B:B,$B$5),0)-IFERROR(AVERAGEIFS(Assessments!J:J,Assessments!G:G,$A264,Assessments!B:B,$B$4),0))</f>
        <v/>
      </c>
      <c r="G264">
        <f>IF($D264=0,"",MAXIFS(Assessments!J:J,Assessments!G:G,$A264,Assessments!B:B,"&gt;="&amp;$B$4,Assessments!B:B,"&lt;="&amp;$B$5))</f>
        <v/>
      </c>
      <c r="H264">
        <f>IF($D264=0,"",MINIFS(Assessments!J:J,Assessments!G:G,$A264,Assessments!B:B,"&gt;="&amp;$B$4,Assessments!B:B,"&lt;="&amp;$B$5))</f>
        <v/>
      </c>
    </row>
    <row r="265">
      <c r="A265">
        <f>IF(Students!A259="","",Students!A259)</f>
        <v/>
      </c>
      <c r="B265">
        <f>IF($A265="","",Students!B259)</f>
        <v/>
      </c>
      <c r="C265">
        <f>IF($A265="","",Students!C259)</f>
        <v/>
      </c>
      <c r="D265">
        <f>IF($A265="","",COUNTIFS(Assessments!G:G,$A265,Assessments!B:B,"&gt;="&amp;$B$4,Assessments!B:B,"&lt;="&amp;$B$5))</f>
        <v/>
      </c>
      <c r="E265">
        <f>IF($D265=0,"",ROUND(AVERAGEIFS(Assessments!J:J,Assessments!G:G,$A265,Assessments!B:B,"&gt;="&amp;$B$4,Assessments!B:B,"&lt;="&amp;$B$5),0))</f>
        <v/>
      </c>
      <c r="F265">
        <f>IF($D265=0,"",IFERROR(AVERAGEIFS(Assessments!J:J,Assessments!G:G,$A265,Assessments!B:B,$B$5),0)-IFERROR(AVERAGEIFS(Assessments!J:J,Assessments!G:G,$A265,Assessments!B:B,$B$4),0))</f>
        <v/>
      </c>
      <c r="G265">
        <f>IF($D265=0,"",MAXIFS(Assessments!J:J,Assessments!G:G,$A265,Assessments!B:B,"&gt;="&amp;$B$4,Assessments!B:B,"&lt;="&amp;$B$5))</f>
        <v/>
      </c>
      <c r="H265">
        <f>IF($D265=0,"",MINIFS(Assessments!J:J,Assessments!G:G,$A265,Assessments!B:B,"&gt;="&amp;$B$4,Assessments!B:B,"&lt;="&amp;$B$5))</f>
        <v/>
      </c>
    </row>
    <row r="266">
      <c r="A266">
        <f>IF(Students!A260="","",Students!A260)</f>
        <v/>
      </c>
      <c r="B266">
        <f>IF($A266="","",Students!B260)</f>
        <v/>
      </c>
      <c r="C266">
        <f>IF($A266="","",Students!C260)</f>
        <v/>
      </c>
      <c r="D266">
        <f>IF($A266="","",COUNTIFS(Assessments!G:G,$A266,Assessments!B:B,"&gt;="&amp;$B$4,Assessments!B:B,"&lt;="&amp;$B$5))</f>
        <v/>
      </c>
      <c r="E266">
        <f>IF($D266=0,"",ROUND(AVERAGEIFS(Assessments!J:J,Assessments!G:G,$A266,Assessments!B:B,"&gt;="&amp;$B$4,Assessments!B:B,"&lt;="&amp;$B$5),0))</f>
        <v/>
      </c>
      <c r="F266">
        <f>IF($D266=0,"",IFERROR(AVERAGEIFS(Assessments!J:J,Assessments!G:G,$A266,Assessments!B:B,$B$5),0)-IFERROR(AVERAGEIFS(Assessments!J:J,Assessments!G:G,$A266,Assessments!B:B,$B$4),0))</f>
        <v/>
      </c>
      <c r="G266">
        <f>IF($D266=0,"",MAXIFS(Assessments!J:J,Assessments!G:G,$A266,Assessments!B:B,"&gt;="&amp;$B$4,Assessments!B:B,"&lt;="&amp;$B$5))</f>
        <v/>
      </c>
      <c r="H266">
        <f>IF($D266=0,"",MINIFS(Assessments!J:J,Assessments!G:G,$A266,Assessments!B:B,"&gt;="&amp;$B$4,Assessments!B:B,"&lt;="&amp;$B$5))</f>
        <v/>
      </c>
    </row>
    <row r="267">
      <c r="A267">
        <f>IF(Students!A261="","",Students!A261)</f>
        <v/>
      </c>
      <c r="B267">
        <f>IF($A267="","",Students!B261)</f>
        <v/>
      </c>
      <c r="C267">
        <f>IF($A267="","",Students!C261)</f>
        <v/>
      </c>
      <c r="D267">
        <f>IF($A267="","",COUNTIFS(Assessments!G:G,$A267,Assessments!B:B,"&gt;="&amp;$B$4,Assessments!B:B,"&lt;="&amp;$B$5))</f>
        <v/>
      </c>
      <c r="E267">
        <f>IF($D267=0,"",ROUND(AVERAGEIFS(Assessments!J:J,Assessments!G:G,$A267,Assessments!B:B,"&gt;="&amp;$B$4,Assessments!B:B,"&lt;="&amp;$B$5),0))</f>
        <v/>
      </c>
      <c r="F267">
        <f>IF($D267=0,"",IFERROR(AVERAGEIFS(Assessments!J:J,Assessments!G:G,$A267,Assessments!B:B,$B$5),0)-IFERROR(AVERAGEIFS(Assessments!J:J,Assessments!G:G,$A267,Assessments!B:B,$B$4),0))</f>
        <v/>
      </c>
      <c r="G267">
        <f>IF($D267=0,"",MAXIFS(Assessments!J:J,Assessments!G:G,$A267,Assessments!B:B,"&gt;="&amp;$B$4,Assessments!B:B,"&lt;="&amp;$B$5))</f>
        <v/>
      </c>
      <c r="H267">
        <f>IF($D267=0,"",MINIFS(Assessments!J:J,Assessments!G:G,$A267,Assessments!B:B,"&gt;="&amp;$B$4,Assessments!B:B,"&lt;="&amp;$B$5))</f>
        <v/>
      </c>
    </row>
    <row r="268">
      <c r="A268">
        <f>IF(Students!A262="","",Students!A262)</f>
        <v/>
      </c>
      <c r="B268">
        <f>IF($A268="","",Students!B262)</f>
        <v/>
      </c>
      <c r="C268">
        <f>IF($A268="","",Students!C262)</f>
        <v/>
      </c>
      <c r="D268">
        <f>IF($A268="","",COUNTIFS(Assessments!G:G,$A268,Assessments!B:B,"&gt;="&amp;$B$4,Assessments!B:B,"&lt;="&amp;$B$5))</f>
        <v/>
      </c>
      <c r="E268">
        <f>IF($D268=0,"",ROUND(AVERAGEIFS(Assessments!J:J,Assessments!G:G,$A268,Assessments!B:B,"&gt;="&amp;$B$4,Assessments!B:B,"&lt;="&amp;$B$5),0))</f>
        <v/>
      </c>
      <c r="F268">
        <f>IF($D268=0,"",IFERROR(AVERAGEIFS(Assessments!J:J,Assessments!G:G,$A268,Assessments!B:B,$B$5),0)-IFERROR(AVERAGEIFS(Assessments!J:J,Assessments!G:G,$A268,Assessments!B:B,$B$4),0))</f>
        <v/>
      </c>
      <c r="G268">
        <f>IF($D268=0,"",MAXIFS(Assessments!J:J,Assessments!G:G,$A268,Assessments!B:B,"&gt;="&amp;$B$4,Assessments!B:B,"&lt;="&amp;$B$5))</f>
        <v/>
      </c>
      <c r="H268">
        <f>IF($D268=0,"",MINIFS(Assessments!J:J,Assessments!G:G,$A268,Assessments!B:B,"&gt;="&amp;$B$4,Assessments!B:B,"&lt;="&amp;$B$5))</f>
        <v/>
      </c>
    </row>
    <row r="269">
      <c r="A269">
        <f>IF(Students!A263="","",Students!A263)</f>
        <v/>
      </c>
      <c r="B269">
        <f>IF($A269="","",Students!B263)</f>
        <v/>
      </c>
      <c r="C269">
        <f>IF($A269="","",Students!C263)</f>
        <v/>
      </c>
      <c r="D269">
        <f>IF($A269="","",COUNTIFS(Assessments!G:G,$A269,Assessments!B:B,"&gt;="&amp;$B$4,Assessments!B:B,"&lt;="&amp;$B$5))</f>
        <v/>
      </c>
      <c r="E269">
        <f>IF($D269=0,"",ROUND(AVERAGEIFS(Assessments!J:J,Assessments!G:G,$A269,Assessments!B:B,"&gt;="&amp;$B$4,Assessments!B:B,"&lt;="&amp;$B$5),0))</f>
        <v/>
      </c>
      <c r="F269">
        <f>IF($D269=0,"",IFERROR(AVERAGEIFS(Assessments!J:J,Assessments!G:G,$A269,Assessments!B:B,$B$5),0)-IFERROR(AVERAGEIFS(Assessments!J:J,Assessments!G:G,$A269,Assessments!B:B,$B$4),0))</f>
        <v/>
      </c>
      <c r="G269">
        <f>IF($D269=0,"",MAXIFS(Assessments!J:J,Assessments!G:G,$A269,Assessments!B:B,"&gt;="&amp;$B$4,Assessments!B:B,"&lt;="&amp;$B$5))</f>
        <v/>
      </c>
      <c r="H269">
        <f>IF($D269=0,"",MINIFS(Assessments!J:J,Assessments!G:G,$A269,Assessments!B:B,"&gt;="&amp;$B$4,Assessments!B:B,"&lt;="&amp;$B$5))</f>
        <v/>
      </c>
    </row>
    <row r="270">
      <c r="A270">
        <f>IF(Students!A264="","",Students!A264)</f>
        <v/>
      </c>
      <c r="B270">
        <f>IF($A270="","",Students!B264)</f>
        <v/>
      </c>
      <c r="C270">
        <f>IF($A270="","",Students!C264)</f>
        <v/>
      </c>
      <c r="D270">
        <f>IF($A270="","",COUNTIFS(Assessments!G:G,$A270,Assessments!B:B,"&gt;="&amp;$B$4,Assessments!B:B,"&lt;="&amp;$B$5))</f>
        <v/>
      </c>
      <c r="E270">
        <f>IF($D270=0,"",ROUND(AVERAGEIFS(Assessments!J:J,Assessments!G:G,$A270,Assessments!B:B,"&gt;="&amp;$B$4,Assessments!B:B,"&lt;="&amp;$B$5),0))</f>
        <v/>
      </c>
      <c r="F270">
        <f>IF($D270=0,"",IFERROR(AVERAGEIFS(Assessments!J:J,Assessments!G:G,$A270,Assessments!B:B,$B$5),0)-IFERROR(AVERAGEIFS(Assessments!J:J,Assessments!G:G,$A270,Assessments!B:B,$B$4),0))</f>
        <v/>
      </c>
      <c r="G270">
        <f>IF($D270=0,"",MAXIFS(Assessments!J:J,Assessments!G:G,$A270,Assessments!B:B,"&gt;="&amp;$B$4,Assessments!B:B,"&lt;="&amp;$B$5))</f>
        <v/>
      </c>
      <c r="H270">
        <f>IF($D270=0,"",MINIFS(Assessments!J:J,Assessments!G:G,$A270,Assessments!B:B,"&gt;="&amp;$B$4,Assessments!B:B,"&lt;="&amp;$B$5))</f>
        <v/>
      </c>
    </row>
    <row r="271">
      <c r="A271">
        <f>IF(Students!A265="","",Students!A265)</f>
        <v/>
      </c>
      <c r="B271">
        <f>IF($A271="","",Students!B265)</f>
        <v/>
      </c>
      <c r="C271">
        <f>IF($A271="","",Students!C265)</f>
        <v/>
      </c>
      <c r="D271">
        <f>IF($A271="","",COUNTIFS(Assessments!G:G,$A271,Assessments!B:B,"&gt;="&amp;$B$4,Assessments!B:B,"&lt;="&amp;$B$5))</f>
        <v/>
      </c>
      <c r="E271">
        <f>IF($D271=0,"",ROUND(AVERAGEIFS(Assessments!J:J,Assessments!G:G,$A271,Assessments!B:B,"&gt;="&amp;$B$4,Assessments!B:B,"&lt;="&amp;$B$5),0))</f>
        <v/>
      </c>
      <c r="F271">
        <f>IF($D271=0,"",IFERROR(AVERAGEIFS(Assessments!J:J,Assessments!G:G,$A271,Assessments!B:B,$B$5),0)-IFERROR(AVERAGEIFS(Assessments!J:J,Assessments!G:G,$A271,Assessments!B:B,$B$4),0))</f>
        <v/>
      </c>
      <c r="G271">
        <f>IF($D271=0,"",MAXIFS(Assessments!J:J,Assessments!G:G,$A271,Assessments!B:B,"&gt;="&amp;$B$4,Assessments!B:B,"&lt;="&amp;$B$5))</f>
        <v/>
      </c>
      <c r="H271">
        <f>IF($D271=0,"",MINIFS(Assessments!J:J,Assessments!G:G,$A271,Assessments!B:B,"&gt;="&amp;$B$4,Assessments!B:B,"&lt;="&amp;$B$5))</f>
        <v/>
      </c>
    </row>
    <row r="272">
      <c r="A272">
        <f>IF(Students!A266="","",Students!A266)</f>
        <v/>
      </c>
      <c r="B272">
        <f>IF($A272="","",Students!B266)</f>
        <v/>
      </c>
      <c r="C272">
        <f>IF($A272="","",Students!C266)</f>
        <v/>
      </c>
      <c r="D272">
        <f>IF($A272="","",COUNTIFS(Assessments!G:G,$A272,Assessments!B:B,"&gt;="&amp;$B$4,Assessments!B:B,"&lt;="&amp;$B$5))</f>
        <v/>
      </c>
      <c r="E272">
        <f>IF($D272=0,"",ROUND(AVERAGEIFS(Assessments!J:J,Assessments!G:G,$A272,Assessments!B:B,"&gt;="&amp;$B$4,Assessments!B:B,"&lt;="&amp;$B$5),0))</f>
        <v/>
      </c>
      <c r="F272">
        <f>IF($D272=0,"",IFERROR(AVERAGEIFS(Assessments!J:J,Assessments!G:G,$A272,Assessments!B:B,$B$5),0)-IFERROR(AVERAGEIFS(Assessments!J:J,Assessments!G:G,$A272,Assessments!B:B,$B$4),0))</f>
        <v/>
      </c>
      <c r="G272">
        <f>IF($D272=0,"",MAXIFS(Assessments!J:J,Assessments!G:G,$A272,Assessments!B:B,"&gt;="&amp;$B$4,Assessments!B:B,"&lt;="&amp;$B$5))</f>
        <v/>
      </c>
      <c r="H272">
        <f>IF($D272=0,"",MINIFS(Assessments!J:J,Assessments!G:G,$A272,Assessments!B:B,"&gt;="&amp;$B$4,Assessments!B:B,"&lt;="&amp;$B$5))</f>
        <v/>
      </c>
    </row>
    <row r="273">
      <c r="A273">
        <f>IF(Students!A267="","",Students!A267)</f>
        <v/>
      </c>
      <c r="B273">
        <f>IF($A273="","",Students!B267)</f>
        <v/>
      </c>
      <c r="C273">
        <f>IF($A273="","",Students!C267)</f>
        <v/>
      </c>
      <c r="D273">
        <f>IF($A273="","",COUNTIFS(Assessments!G:G,$A273,Assessments!B:B,"&gt;="&amp;$B$4,Assessments!B:B,"&lt;="&amp;$B$5))</f>
        <v/>
      </c>
      <c r="E273">
        <f>IF($D273=0,"",ROUND(AVERAGEIFS(Assessments!J:J,Assessments!G:G,$A273,Assessments!B:B,"&gt;="&amp;$B$4,Assessments!B:B,"&lt;="&amp;$B$5),0))</f>
        <v/>
      </c>
      <c r="F273">
        <f>IF($D273=0,"",IFERROR(AVERAGEIFS(Assessments!J:J,Assessments!G:G,$A273,Assessments!B:B,$B$5),0)-IFERROR(AVERAGEIFS(Assessments!J:J,Assessments!G:G,$A273,Assessments!B:B,$B$4),0))</f>
        <v/>
      </c>
      <c r="G273">
        <f>IF($D273=0,"",MAXIFS(Assessments!J:J,Assessments!G:G,$A273,Assessments!B:B,"&gt;="&amp;$B$4,Assessments!B:B,"&lt;="&amp;$B$5))</f>
        <v/>
      </c>
      <c r="H273">
        <f>IF($D273=0,"",MINIFS(Assessments!J:J,Assessments!G:G,$A273,Assessments!B:B,"&gt;="&amp;$B$4,Assessments!B:B,"&lt;="&amp;$B$5))</f>
        <v/>
      </c>
    </row>
    <row r="274">
      <c r="A274">
        <f>IF(Students!A268="","",Students!A268)</f>
        <v/>
      </c>
      <c r="B274">
        <f>IF($A274="","",Students!B268)</f>
        <v/>
      </c>
      <c r="C274">
        <f>IF($A274="","",Students!C268)</f>
        <v/>
      </c>
      <c r="D274">
        <f>IF($A274="","",COUNTIFS(Assessments!G:G,$A274,Assessments!B:B,"&gt;="&amp;$B$4,Assessments!B:B,"&lt;="&amp;$B$5))</f>
        <v/>
      </c>
      <c r="E274">
        <f>IF($D274=0,"",ROUND(AVERAGEIFS(Assessments!J:J,Assessments!G:G,$A274,Assessments!B:B,"&gt;="&amp;$B$4,Assessments!B:B,"&lt;="&amp;$B$5),0))</f>
        <v/>
      </c>
      <c r="F274">
        <f>IF($D274=0,"",IFERROR(AVERAGEIFS(Assessments!J:J,Assessments!G:G,$A274,Assessments!B:B,$B$5),0)-IFERROR(AVERAGEIFS(Assessments!J:J,Assessments!G:G,$A274,Assessments!B:B,$B$4),0))</f>
        <v/>
      </c>
      <c r="G274">
        <f>IF($D274=0,"",MAXIFS(Assessments!J:J,Assessments!G:G,$A274,Assessments!B:B,"&gt;="&amp;$B$4,Assessments!B:B,"&lt;="&amp;$B$5))</f>
        <v/>
      </c>
      <c r="H274">
        <f>IF($D274=0,"",MINIFS(Assessments!J:J,Assessments!G:G,$A274,Assessments!B:B,"&gt;="&amp;$B$4,Assessments!B:B,"&lt;="&amp;$B$5))</f>
        <v/>
      </c>
    </row>
    <row r="275">
      <c r="A275">
        <f>IF(Students!A269="","",Students!A269)</f>
        <v/>
      </c>
      <c r="B275">
        <f>IF($A275="","",Students!B269)</f>
        <v/>
      </c>
      <c r="C275">
        <f>IF($A275="","",Students!C269)</f>
        <v/>
      </c>
      <c r="D275">
        <f>IF($A275="","",COUNTIFS(Assessments!G:G,$A275,Assessments!B:B,"&gt;="&amp;$B$4,Assessments!B:B,"&lt;="&amp;$B$5))</f>
        <v/>
      </c>
      <c r="E275">
        <f>IF($D275=0,"",ROUND(AVERAGEIFS(Assessments!J:J,Assessments!G:G,$A275,Assessments!B:B,"&gt;="&amp;$B$4,Assessments!B:B,"&lt;="&amp;$B$5),0))</f>
        <v/>
      </c>
      <c r="F275">
        <f>IF($D275=0,"",IFERROR(AVERAGEIFS(Assessments!J:J,Assessments!G:G,$A275,Assessments!B:B,$B$5),0)-IFERROR(AVERAGEIFS(Assessments!J:J,Assessments!G:G,$A275,Assessments!B:B,$B$4),0))</f>
        <v/>
      </c>
      <c r="G275">
        <f>IF($D275=0,"",MAXIFS(Assessments!J:J,Assessments!G:G,$A275,Assessments!B:B,"&gt;="&amp;$B$4,Assessments!B:B,"&lt;="&amp;$B$5))</f>
        <v/>
      </c>
      <c r="H275">
        <f>IF($D275=0,"",MINIFS(Assessments!J:J,Assessments!G:G,$A275,Assessments!B:B,"&gt;="&amp;$B$4,Assessments!B:B,"&lt;="&amp;$B$5))</f>
        <v/>
      </c>
    </row>
    <row r="276">
      <c r="A276">
        <f>IF(Students!A270="","",Students!A270)</f>
        <v/>
      </c>
      <c r="B276">
        <f>IF($A276="","",Students!B270)</f>
        <v/>
      </c>
      <c r="C276">
        <f>IF($A276="","",Students!C270)</f>
        <v/>
      </c>
      <c r="D276">
        <f>IF($A276="","",COUNTIFS(Assessments!G:G,$A276,Assessments!B:B,"&gt;="&amp;$B$4,Assessments!B:B,"&lt;="&amp;$B$5))</f>
        <v/>
      </c>
      <c r="E276">
        <f>IF($D276=0,"",ROUND(AVERAGEIFS(Assessments!J:J,Assessments!G:G,$A276,Assessments!B:B,"&gt;="&amp;$B$4,Assessments!B:B,"&lt;="&amp;$B$5),0))</f>
        <v/>
      </c>
      <c r="F276">
        <f>IF($D276=0,"",IFERROR(AVERAGEIFS(Assessments!J:J,Assessments!G:G,$A276,Assessments!B:B,$B$5),0)-IFERROR(AVERAGEIFS(Assessments!J:J,Assessments!G:G,$A276,Assessments!B:B,$B$4),0))</f>
        <v/>
      </c>
      <c r="G276">
        <f>IF($D276=0,"",MAXIFS(Assessments!J:J,Assessments!G:G,$A276,Assessments!B:B,"&gt;="&amp;$B$4,Assessments!B:B,"&lt;="&amp;$B$5))</f>
        <v/>
      </c>
      <c r="H276">
        <f>IF($D276=0,"",MINIFS(Assessments!J:J,Assessments!G:G,$A276,Assessments!B:B,"&gt;="&amp;$B$4,Assessments!B:B,"&lt;="&amp;$B$5))</f>
        <v/>
      </c>
    </row>
    <row r="277">
      <c r="A277">
        <f>IF(Students!A271="","",Students!A271)</f>
        <v/>
      </c>
      <c r="B277">
        <f>IF($A277="","",Students!B271)</f>
        <v/>
      </c>
      <c r="C277">
        <f>IF($A277="","",Students!C271)</f>
        <v/>
      </c>
      <c r="D277">
        <f>IF($A277="","",COUNTIFS(Assessments!G:G,$A277,Assessments!B:B,"&gt;="&amp;$B$4,Assessments!B:B,"&lt;="&amp;$B$5))</f>
        <v/>
      </c>
      <c r="E277">
        <f>IF($D277=0,"",ROUND(AVERAGEIFS(Assessments!J:J,Assessments!G:G,$A277,Assessments!B:B,"&gt;="&amp;$B$4,Assessments!B:B,"&lt;="&amp;$B$5),0))</f>
        <v/>
      </c>
      <c r="F277">
        <f>IF($D277=0,"",IFERROR(AVERAGEIFS(Assessments!J:J,Assessments!G:G,$A277,Assessments!B:B,$B$5),0)-IFERROR(AVERAGEIFS(Assessments!J:J,Assessments!G:G,$A277,Assessments!B:B,$B$4),0))</f>
        <v/>
      </c>
      <c r="G277">
        <f>IF($D277=0,"",MAXIFS(Assessments!J:J,Assessments!G:G,$A277,Assessments!B:B,"&gt;="&amp;$B$4,Assessments!B:B,"&lt;="&amp;$B$5))</f>
        <v/>
      </c>
      <c r="H277">
        <f>IF($D277=0,"",MINIFS(Assessments!J:J,Assessments!G:G,$A277,Assessments!B:B,"&gt;="&amp;$B$4,Assessments!B:B,"&lt;="&amp;$B$5))</f>
        <v/>
      </c>
    </row>
    <row r="278">
      <c r="A278">
        <f>IF(Students!A272="","",Students!A272)</f>
        <v/>
      </c>
      <c r="B278">
        <f>IF($A278="","",Students!B272)</f>
        <v/>
      </c>
      <c r="C278">
        <f>IF($A278="","",Students!C272)</f>
        <v/>
      </c>
      <c r="D278">
        <f>IF($A278="","",COUNTIFS(Assessments!G:G,$A278,Assessments!B:B,"&gt;="&amp;$B$4,Assessments!B:B,"&lt;="&amp;$B$5))</f>
        <v/>
      </c>
      <c r="E278">
        <f>IF($D278=0,"",ROUND(AVERAGEIFS(Assessments!J:J,Assessments!G:G,$A278,Assessments!B:B,"&gt;="&amp;$B$4,Assessments!B:B,"&lt;="&amp;$B$5),0))</f>
        <v/>
      </c>
      <c r="F278">
        <f>IF($D278=0,"",IFERROR(AVERAGEIFS(Assessments!J:J,Assessments!G:G,$A278,Assessments!B:B,$B$5),0)-IFERROR(AVERAGEIFS(Assessments!J:J,Assessments!G:G,$A278,Assessments!B:B,$B$4),0))</f>
        <v/>
      </c>
      <c r="G278">
        <f>IF($D278=0,"",MAXIFS(Assessments!J:J,Assessments!G:G,$A278,Assessments!B:B,"&gt;="&amp;$B$4,Assessments!B:B,"&lt;="&amp;$B$5))</f>
        <v/>
      </c>
      <c r="H278">
        <f>IF($D278=0,"",MINIFS(Assessments!J:J,Assessments!G:G,$A278,Assessments!B:B,"&gt;="&amp;$B$4,Assessments!B:B,"&lt;="&amp;$B$5))</f>
        <v/>
      </c>
    </row>
    <row r="279">
      <c r="A279">
        <f>IF(Students!A273="","",Students!A273)</f>
        <v/>
      </c>
      <c r="B279">
        <f>IF($A279="","",Students!B273)</f>
        <v/>
      </c>
      <c r="C279">
        <f>IF($A279="","",Students!C273)</f>
        <v/>
      </c>
      <c r="D279">
        <f>IF($A279="","",COUNTIFS(Assessments!G:G,$A279,Assessments!B:B,"&gt;="&amp;$B$4,Assessments!B:B,"&lt;="&amp;$B$5))</f>
        <v/>
      </c>
      <c r="E279">
        <f>IF($D279=0,"",ROUND(AVERAGEIFS(Assessments!J:J,Assessments!G:G,$A279,Assessments!B:B,"&gt;="&amp;$B$4,Assessments!B:B,"&lt;="&amp;$B$5),0))</f>
        <v/>
      </c>
      <c r="F279">
        <f>IF($D279=0,"",IFERROR(AVERAGEIFS(Assessments!J:J,Assessments!G:G,$A279,Assessments!B:B,$B$5),0)-IFERROR(AVERAGEIFS(Assessments!J:J,Assessments!G:G,$A279,Assessments!B:B,$B$4),0))</f>
        <v/>
      </c>
      <c r="G279">
        <f>IF($D279=0,"",MAXIFS(Assessments!J:J,Assessments!G:G,$A279,Assessments!B:B,"&gt;="&amp;$B$4,Assessments!B:B,"&lt;="&amp;$B$5))</f>
        <v/>
      </c>
      <c r="H279">
        <f>IF($D279=0,"",MINIFS(Assessments!J:J,Assessments!G:G,$A279,Assessments!B:B,"&gt;="&amp;$B$4,Assessments!B:B,"&lt;="&amp;$B$5))</f>
        <v/>
      </c>
    </row>
    <row r="280">
      <c r="A280">
        <f>IF(Students!A274="","",Students!A274)</f>
        <v/>
      </c>
      <c r="B280">
        <f>IF($A280="","",Students!B274)</f>
        <v/>
      </c>
      <c r="C280">
        <f>IF($A280="","",Students!C274)</f>
        <v/>
      </c>
      <c r="D280">
        <f>IF($A280="","",COUNTIFS(Assessments!G:G,$A280,Assessments!B:B,"&gt;="&amp;$B$4,Assessments!B:B,"&lt;="&amp;$B$5))</f>
        <v/>
      </c>
      <c r="E280">
        <f>IF($D280=0,"",ROUND(AVERAGEIFS(Assessments!J:J,Assessments!G:G,$A280,Assessments!B:B,"&gt;="&amp;$B$4,Assessments!B:B,"&lt;="&amp;$B$5),0))</f>
        <v/>
      </c>
      <c r="F280">
        <f>IF($D280=0,"",IFERROR(AVERAGEIFS(Assessments!J:J,Assessments!G:G,$A280,Assessments!B:B,$B$5),0)-IFERROR(AVERAGEIFS(Assessments!J:J,Assessments!G:G,$A280,Assessments!B:B,$B$4),0))</f>
        <v/>
      </c>
      <c r="G280">
        <f>IF($D280=0,"",MAXIFS(Assessments!J:J,Assessments!G:G,$A280,Assessments!B:B,"&gt;="&amp;$B$4,Assessments!B:B,"&lt;="&amp;$B$5))</f>
        <v/>
      </c>
      <c r="H280">
        <f>IF($D280=0,"",MINIFS(Assessments!J:J,Assessments!G:G,$A280,Assessments!B:B,"&gt;="&amp;$B$4,Assessments!B:B,"&lt;="&amp;$B$5))</f>
        <v/>
      </c>
    </row>
    <row r="281">
      <c r="A281">
        <f>IF(Students!A275="","",Students!A275)</f>
        <v/>
      </c>
      <c r="B281">
        <f>IF($A281="","",Students!B275)</f>
        <v/>
      </c>
      <c r="C281">
        <f>IF($A281="","",Students!C275)</f>
        <v/>
      </c>
      <c r="D281">
        <f>IF($A281="","",COUNTIFS(Assessments!G:G,$A281,Assessments!B:B,"&gt;="&amp;$B$4,Assessments!B:B,"&lt;="&amp;$B$5))</f>
        <v/>
      </c>
      <c r="E281">
        <f>IF($D281=0,"",ROUND(AVERAGEIFS(Assessments!J:J,Assessments!G:G,$A281,Assessments!B:B,"&gt;="&amp;$B$4,Assessments!B:B,"&lt;="&amp;$B$5),0))</f>
        <v/>
      </c>
      <c r="F281">
        <f>IF($D281=0,"",IFERROR(AVERAGEIFS(Assessments!J:J,Assessments!G:G,$A281,Assessments!B:B,$B$5),0)-IFERROR(AVERAGEIFS(Assessments!J:J,Assessments!G:G,$A281,Assessments!B:B,$B$4),0))</f>
        <v/>
      </c>
      <c r="G281">
        <f>IF($D281=0,"",MAXIFS(Assessments!J:J,Assessments!G:G,$A281,Assessments!B:B,"&gt;="&amp;$B$4,Assessments!B:B,"&lt;="&amp;$B$5))</f>
        <v/>
      </c>
      <c r="H281">
        <f>IF($D281=0,"",MINIFS(Assessments!J:J,Assessments!G:G,$A281,Assessments!B:B,"&gt;="&amp;$B$4,Assessments!B:B,"&lt;="&amp;$B$5))</f>
        <v/>
      </c>
    </row>
    <row r="282">
      <c r="A282">
        <f>IF(Students!A276="","",Students!A276)</f>
        <v/>
      </c>
      <c r="B282">
        <f>IF($A282="","",Students!B276)</f>
        <v/>
      </c>
      <c r="C282">
        <f>IF($A282="","",Students!C276)</f>
        <v/>
      </c>
      <c r="D282">
        <f>IF($A282="","",COUNTIFS(Assessments!G:G,$A282,Assessments!B:B,"&gt;="&amp;$B$4,Assessments!B:B,"&lt;="&amp;$B$5))</f>
        <v/>
      </c>
      <c r="E282">
        <f>IF($D282=0,"",ROUND(AVERAGEIFS(Assessments!J:J,Assessments!G:G,$A282,Assessments!B:B,"&gt;="&amp;$B$4,Assessments!B:B,"&lt;="&amp;$B$5),0))</f>
        <v/>
      </c>
      <c r="F282">
        <f>IF($D282=0,"",IFERROR(AVERAGEIFS(Assessments!J:J,Assessments!G:G,$A282,Assessments!B:B,$B$5),0)-IFERROR(AVERAGEIFS(Assessments!J:J,Assessments!G:G,$A282,Assessments!B:B,$B$4),0))</f>
        <v/>
      </c>
      <c r="G282">
        <f>IF($D282=0,"",MAXIFS(Assessments!J:J,Assessments!G:G,$A282,Assessments!B:B,"&gt;="&amp;$B$4,Assessments!B:B,"&lt;="&amp;$B$5))</f>
        <v/>
      </c>
      <c r="H282">
        <f>IF($D282=0,"",MINIFS(Assessments!J:J,Assessments!G:G,$A282,Assessments!B:B,"&gt;="&amp;$B$4,Assessments!B:B,"&lt;="&amp;$B$5))</f>
        <v/>
      </c>
    </row>
    <row r="283">
      <c r="A283">
        <f>IF(Students!A277="","",Students!A277)</f>
        <v/>
      </c>
      <c r="B283">
        <f>IF($A283="","",Students!B277)</f>
        <v/>
      </c>
      <c r="C283">
        <f>IF($A283="","",Students!C277)</f>
        <v/>
      </c>
      <c r="D283">
        <f>IF($A283="","",COUNTIFS(Assessments!G:G,$A283,Assessments!B:B,"&gt;="&amp;$B$4,Assessments!B:B,"&lt;="&amp;$B$5))</f>
        <v/>
      </c>
      <c r="E283">
        <f>IF($D283=0,"",ROUND(AVERAGEIFS(Assessments!J:J,Assessments!G:G,$A283,Assessments!B:B,"&gt;="&amp;$B$4,Assessments!B:B,"&lt;="&amp;$B$5),0))</f>
        <v/>
      </c>
      <c r="F283">
        <f>IF($D283=0,"",IFERROR(AVERAGEIFS(Assessments!J:J,Assessments!G:G,$A283,Assessments!B:B,$B$5),0)-IFERROR(AVERAGEIFS(Assessments!J:J,Assessments!G:G,$A283,Assessments!B:B,$B$4),0))</f>
        <v/>
      </c>
      <c r="G283">
        <f>IF($D283=0,"",MAXIFS(Assessments!J:J,Assessments!G:G,$A283,Assessments!B:B,"&gt;="&amp;$B$4,Assessments!B:B,"&lt;="&amp;$B$5))</f>
        <v/>
      </c>
      <c r="H283">
        <f>IF($D283=0,"",MINIFS(Assessments!J:J,Assessments!G:G,$A283,Assessments!B:B,"&gt;="&amp;$B$4,Assessments!B:B,"&lt;="&amp;$B$5))</f>
        <v/>
      </c>
    </row>
    <row r="284">
      <c r="A284">
        <f>IF(Students!A278="","",Students!A278)</f>
        <v/>
      </c>
      <c r="B284">
        <f>IF($A284="","",Students!B278)</f>
        <v/>
      </c>
      <c r="C284">
        <f>IF($A284="","",Students!C278)</f>
        <v/>
      </c>
      <c r="D284">
        <f>IF($A284="","",COUNTIFS(Assessments!G:G,$A284,Assessments!B:B,"&gt;="&amp;$B$4,Assessments!B:B,"&lt;="&amp;$B$5))</f>
        <v/>
      </c>
      <c r="E284">
        <f>IF($D284=0,"",ROUND(AVERAGEIFS(Assessments!J:J,Assessments!G:G,$A284,Assessments!B:B,"&gt;="&amp;$B$4,Assessments!B:B,"&lt;="&amp;$B$5),0))</f>
        <v/>
      </c>
      <c r="F284">
        <f>IF($D284=0,"",IFERROR(AVERAGEIFS(Assessments!J:J,Assessments!G:G,$A284,Assessments!B:B,$B$5),0)-IFERROR(AVERAGEIFS(Assessments!J:J,Assessments!G:G,$A284,Assessments!B:B,$B$4),0))</f>
        <v/>
      </c>
      <c r="G284">
        <f>IF($D284=0,"",MAXIFS(Assessments!J:J,Assessments!G:G,$A284,Assessments!B:B,"&gt;="&amp;$B$4,Assessments!B:B,"&lt;="&amp;$B$5))</f>
        <v/>
      </c>
      <c r="H284">
        <f>IF($D284=0,"",MINIFS(Assessments!J:J,Assessments!G:G,$A284,Assessments!B:B,"&gt;="&amp;$B$4,Assessments!B:B,"&lt;="&amp;$B$5))</f>
        <v/>
      </c>
    </row>
    <row r="285">
      <c r="A285">
        <f>IF(Students!A279="","",Students!A279)</f>
        <v/>
      </c>
      <c r="B285">
        <f>IF($A285="","",Students!B279)</f>
        <v/>
      </c>
      <c r="C285">
        <f>IF($A285="","",Students!C279)</f>
        <v/>
      </c>
      <c r="D285">
        <f>IF($A285="","",COUNTIFS(Assessments!G:G,$A285,Assessments!B:B,"&gt;="&amp;$B$4,Assessments!B:B,"&lt;="&amp;$B$5))</f>
        <v/>
      </c>
      <c r="E285">
        <f>IF($D285=0,"",ROUND(AVERAGEIFS(Assessments!J:J,Assessments!G:G,$A285,Assessments!B:B,"&gt;="&amp;$B$4,Assessments!B:B,"&lt;="&amp;$B$5),0))</f>
        <v/>
      </c>
      <c r="F285">
        <f>IF($D285=0,"",IFERROR(AVERAGEIFS(Assessments!J:J,Assessments!G:G,$A285,Assessments!B:B,$B$5),0)-IFERROR(AVERAGEIFS(Assessments!J:J,Assessments!G:G,$A285,Assessments!B:B,$B$4),0))</f>
        <v/>
      </c>
      <c r="G285">
        <f>IF($D285=0,"",MAXIFS(Assessments!J:J,Assessments!G:G,$A285,Assessments!B:B,"&gt;="&amp;$B$4,Assessments!B:B,"&lt;="&amp;$B$5))</f>
        <v/>
      </c>
      <c r="H285">
        <f>IF($D285=0,"",MINIFS(Assessments!J:J,Assessments!G:G,$A285,Assessments!B:B,"&gt;="&amp;$B$4,Assessments!B:B,"&lt;="&amp;$B$5))</f>
        <v/>
      </c>
    </row>
    <row r="286">
      <c r="A286">
        <f>IF(Students!A280="","",Students!A280)</f>
        <v/>
      </c>
      <c r="B286">
        <f>IF($A286="","",Students!B280)</f>
        <v/>
      </c>
      <c r="C286">
        <f>IF($A286="","",Students!C280)</f>
        <v/>
      </c>
      <c r="D286">
        <f>IF($A286="","",COUNTIFS(Assessments!G:G,$A286,Assessments!B:B,"&gt;="&amp;$B$4,Assessments!B:B,"&lt;="&amp;$B$5))</f>
        <v/>
      </c>
      <c r="E286">
        <f>IF($D286=0,"",ROUND(AVERAGEIFS(Assessments!J:J,Assessments!G:G,$A286,Assessments!B:B,"&gt;="&amp;$B$4,Assessments!B:B,"&lt;="&amp;$B$5),0))</f>
        <v/>
      </c>
      <c r="F286">
        <f>IF($D286=0,"",IFERROR(AVERAGEIFS(Assessments!J:J,Assessments!G:G,$A286,Assessments!B:B,$B$5),0)-IFERROR(AVERAGEIFS(Assessments!J:J,Assessments!G:G,$A286,Assessments!B:B,$B$4),0))</f>
        <v/>
      </c>
      <c r="G286">
        <f>IF($D286=0,"",MAXIFS(Assessments!J:J,Assessments!G:G,$A286,Assessments!B:B,"&gt;="&amp;$B$4,Assessments!B:B,"&lt;="&amp;$B$5))</f>
        <v/>
      </c>
      <c r="H286">
        <f>IF($D286=0,"",MINIFS(Assessments!J:J,Assessments!G:G,$A286,Assessments!B:B,"&gt;="&amp;$B$4,Assessments!B:B,"&lt;="&amp;$B$5))</f>
        <v/>
      </c>
    </row>
    <row r="287">
      <c r="A287">
        <f>IF(Students!A281="","",Students!A281)</f>
        <v/>
      </c>
      <c r="B287">
        <f>IF($A287="","",Students!B281)</f>
        <v/>
      </c>
      <c r="C287">
        <f>IF($A287="","",Students!C281)</f>
        <v/>
      </c>
      <c r="D287">
        <f>IF($A287="","",COUNTIFS(Assessments!G:G,$A287,Assessments!B:B,"&gt;="&amp;$B$4,Assessments!B:B,"&lt;="&amp;$B$5))</f>
        <v/>
      </c>
      <c r="E287">
        <f>IF($D287=0,"",ROUND(AVERAGEIFS(Assessments!J:J,Assessments!G:G,$A287,Assessments!B:B,"&gt;="&amp;$B$4,Assessments!B:B,"&lt;="&amp;$B$5),0))</f>
        <v/>
      </c>
      <c r="F287">
        <f>IF($D287=0,"",IFERROR(AVERAGEIFS(Assessments!J:J,Assessments!G:G,$A287,Assessments!B:B,$B$5),0)-IFERROR(AVERAGEIFS(Assessments!J:J,Assessments!G:G,$A287,Assessments!B:B,$B$4),0))</f>
        <v/>
      </c>
      <c r="G287">
        <f>IF($D287=0,"",MAXIFS(Assessments!J:J,Assessments!G:G,$A287,Assessments!B:B,"&gt;="&amp;$B$4,Assessments!B:B,"&lt;="&amp;$B$5))</f>
        <v/>
      </c>
      <c r="H287">
        <f>IF($D287=0,"",MINIFS(Assessments!J:J,Assessments!G:G,$A287,Assessments!B:B,"&gt;="&amp;$B$4,Assessments!B:B,"&lt;="&amp;$B$5))</f>
        <v/>
      </c>
    </row>
    <row r="288">
      <c r="A288">
        <f>IF(Students!A282="","",Students!A282)</f>
        <v/>
      </c>
      <c r="B288">
        <f>IF($A288="","",Students!B282)</f>
        <v/>
      </c>
      <c r="C288">
        <f>IF($A288="","",Students!C282)</f>
        <v/>
      </c>
      <c r="D288">
        <f>IF($A288="","",COUNTIFS(Assessments!G:G,$A288,Assessments!B:B,"&gt;="&amp;$B$4,Assessments!B:B,"&lt;="&amp;$B$5))</f>
        <v/>
      </c>
      <c r="E288">
        <f>IF($D288=0,"",ROUND(AVERAGEIFS(Assessments!J:J,Assessments!G:G,$A288,Assessments!B:B,"&gt;="&amp;$B$4,Assessments!B:B,"&lt;="&amp;$B$5),0))</f>
        <v/>
      </c>
      <c r="F288">
        <f>IF($D288=0,"",IFERROR(AVERAGEIFS(Assessments!J:J,Assessments!G:G,$A288,Assessments!B:B,$B$5),0)-IFERROR(AVERAGEIFS(Assessments!J:J,Assessments!G:G,$A288,Assessments!B:B,$B$4),0))</f>
        <v/>
      </c>
      <c r="G288">
        <f>IF($D288=0,"",MAXIFS(Assessments!J:J,Assessments!G:G,$A288,Assessments!B:B,"&gt;="&amp;$B$4,Assessments!B:B,"&lt;="&amp;$B$5))</f>
        <v/>
      </c>
      <c r="H288">
        <f>IF($D288=0,"",MINIFS(Assessments!J:J,Assessments!G:G,$A288,Assessments!B:B,"&gt;="&amp;$B$4,Assessments!B:B,"&lt;="&amp;$B$5))</f>
        <v/>
      </c>
    </row>
    <row r="289">
      <c r="A289">
        <f>IF(Students!A283="","",Students!A283)</f>
        <v/>
      </c>
      <c r="B289">
        <f>IF($A289="","",Students!B283)</f>
        <v/>
      </c>
      <c r="C289">
        <f>IF($A289="","",Students!C283)</f>
        <v/>
      </c>
      <c r="D289">
        <f>IF($A289="","",COUNTIFS(Assessments!G:G,$A289,Assessments!B:B,"&gt;="&amp;$B$4,Assessments!B:B,"&lt;="&amp;$B$5))</f>
        <v/>
      </c>
      <c r="E289">
        <f>IF($D289=0,"",ROUND(AVERAGEIFS(Assessments!J:J,Assessments!G:G,$A289,Assessments!B:B,"&gt;="&amp;$B$4,Assessments!B:B,"&lt;="&amp;$B$5),0))</f>
        <v/>
      </c>
      <c r="F289">
        <f>IF($D289=0,"",IFERROR(AVERAGEIFS(Assessments!J:J,Assessments!G:G,$A289,Assessments!B:B,$B$5),0)-IFERROR(AVERAGEIFS(Assessments!J:J,Assessments!G:G,$A289,Assessments!B:B,$B$4),0))</f>
        <v/>
      </c>
      <c r="G289">
        <f>IF($D289=0,"",MAXIFS(Assessments!J:J,Assessments!G:G,$A289,Assessments!B:B,"&gt;="&amp;$B$4,Assessments!B:B,"&lt;="&amp;$B$5))</f>
        <v/>
      </c>
      <c r="H289">
        <f>IF($D289=0,"",MINIFS(Assessments!J:J,Assessments!G:G,$A289,Assessments!B:B,"&gt;="&amp;$B$4,Assessments!B:B,"&lt;="&amp;$B$5))</f>
        <v/>
      </c>
    </row>
    <row r="290">
      <c r="A290">
        <f>IF(Students!A284="","",Students!A284)</f>
        <v/>
      </c>
      <c r="B290">
        <f>IF($A290="","",Students!B284)</f>
        <v/>
      </c>
      <c r="C290">
        <f>IF($A290="","",Students!C284)</f>
        <v/>
      </c>
      <c r="D290">
        <f>IF($A290="","",COUNTIFS(Assessments!G:G,$A290,Assessments!B:B,"&gt;="&amp;$B$4,Assessments!B:B,"&lt;="&amp;$B$5))</f>
        <v/>
      </c>
      <c r="E290">
        <f>IF($D290=0,"",ROUND(AVERAGEIFS(Assessments!J:J,Assessments!G:G,$A290,Assessments!B:B,"&gt;="&amp;$B$4,Assessments!B:B,"&lt;="&amp;$B$5),0))</f>
        <v/>
      </c>
      <c r="F290">
        <f>IF($D290=0,"",IFERROR(AVERAGEIFS(Assessments!J:J,Assessments!G:G,$A290,Assessments!B:B,$B$5),0)-IFERROR(AVERAGEIFS(Assessments!J:J,Assessments!G:G,$A290,Assessments!B:B,$B$4),0))</f>
        <v/>
      </c>
      <c r="G290">
        <f>IF($D290=0,"",MAXIFS(Assessments!J:J,Assessments!G:G,$A290,Assessments!B:B,"&gt;="&amp;$B$4,Assessments!B:B,"&lt;="&amp;$B$5))</f>
        <v/>
      </c>
      <c r="H290">
        <f>IF($D290=0,"",MINIFS(Assessments!J:J,Assessments!G:G,$A290,Assessments!B:B,"&gt;="&amp;$B$4,Assessments!B:B,"&lt;="&amp;$B$5))</f>
        <v/>
      </c>
    </row>
    <row r="291">
      <c r="A291">
        <f>IF(Students!A285="","",Students!A285)</f>
        <v/>
      </c>
      <c r="B291">
        <f>IF($A291="","",Students!B285)</f>
        <v/>
      </c>
      <c r="C291">
        <f>IF($A291="","",Students!C285)</f>
        <v/>
      </c>
      <c r="D291">
        <f>IF($A291="","",COUNTIFS(Assessments!G:G,$A291,Assessments!B:B,"&gt;="&amp;$B$4,Assessments!B:B,"&lt;="&amp;$B$5))</f>
        <v/>
      </c>
      <c r="E291">
        <f>IF($D291=0,"",ROUND(AVERAGEIFS(Assessments!J:J,Assessments!G:G,$A291,Assessments!B:B,"&gt;="&amp;$B$4,Assessments!B:B,"&lt;="&amp;$B$5),0))</f>
        <v/>
      </c>
      <c r="F291">
        <f>IF($D291=0,"",IFERROR(AVERAGEIFS(Assessments!J:J,Assessments!G:G,$A291,Assessments!B:B,$B$5),0)-IFERROR(AVERAGEIFS(Assessments!J:J,Assessments!G:G,$A291,Assessments!B:B,$B$4),0))</f>
        <v/>
      </c>
      <c r="G291">
        <f>IF($D291=0,"",MAXIFS(Assessments!J:J,Assessments!G:G,$A291,Assessments!B:B,"&gt;="&amp;$B$4,Assessments!B:B,"&lt;="&amp;$B$5))</f>
        <v/>
      </c>
      <c r="H291">
        <f>IF($D291=0,"",MINIFS(Assessments!J:J,Assessments!G:G,$A291,Assessments!B:B,"&gt;="&amp;$B$4,Assessments!B:B,"&lt;="&amp;$B$5))</f>
        <v/>
      </c>
    </row>
    <row r="292">
      <c r="A292">
        <f>IF(Students!A286="","",Students!A286)</f>
        <v/>
      </c>
      <c r="B292">
        <f>IF($A292="","",Students!B286)</f>
        <v/>
      </c>
      <c r="C292">
        <f>IF($A292="","",Students!C286)</f>
        <v/>
      </c>
      <c r="D292">
        <f>IF($A292="","",COUNTIFS(Assessments!G:G,$A292,Assessments!B:B,"&gt;="&amp;$B$4,Assessments!B:B,"&lt;="&amp;$B$5))</f>
        <v/>
      </c>
      <c r="E292">
        <f>IF($D292=0,"",ROUND(AVERAGEIFS(Assessments!J:J,Assessments!G:G,$A292,Assessments!B:B,"&gt;="&amp;$B$4,Assessments!B:B,"&lt;="&amp;$B$5),0))</f>
        <v/>
      </c>
      <c r="F292">
        <f>IF($D292=0,"",IFERROR(AVERAGEIFS(Assessments!J:J,Assessments!G:G,$A292,Assessments!B:B,$B$5),0)-IFERROR(AVERAGEIFS(Assessments!J:J,Assessments!G:G,$A292,Assessments!B:B,$B$4),0))</f>
        <v/>
      </c>
      <c r="G292">
        <f>IF($D292=0,"",MAXIFS(Assessments!J:J,Assessments!G:G,$A292,Assessments!B:B,"&gt;="&amp;$B$4,Assessments!B:B,"&lt;="&amp;$B$5))</f>
        <v/>
      </c>
      <c r="H292">
        <f>IF($D292=0,"",MINIFS(Assessments!J:J,Assessments!G:G,$A292,Assessments!B:B,"&gt;="&amp;$B$4,Assessments!B:B,"&lt;="&amp;$B$5))</f>
        <v/>
      </c>
    </row>
    <row r="293">
      <c r="A293">
        <f>IF(Students!A287="","",Students!A287)</f>
        <v/>
      </c>
      <c r="B293">
        <f>IF($A293="","",Students!B287)</f>
        <v/>
      </c>
      <c r="C293">
        <f>IF($A293="","",Students!C287)</f>
        <v/>
      </c>
      <c r="D293">
        <f>IF($A293="","",COUNTIFS(Assessments!G:G,$A293,Assessments!B:B,"&gt;="&amp;$B$4,Assessments!B:B,"&lt;="&amp;$B$5))</f>
        <v/>
      </c>
      <c r="E293">
        <f>IF($D293=0,"",ROUND(AVERAGEIFS(Assessments!J:J,Assessments!G:G,$A293,Assessments!B:B,"&gt;="&amp;$B$4,Assessments!B:B,"&lt;="&amp;$B$5),0))</f>
        <v/>
      </c>
      <c r="F293">
        <f>IF($D293=0,"",IFERROR(AVERAGEIFS(Assessments!J:J,Assessments!G:G,$A293,Assessments!B:B,$B$5),0)-IFERROR(AVERAGEIFS(Assessments!J:J,Assessments!G:G,$A293,Assessments!B:B,$B$4),0))</f>
        <v/>
      </c>
      <c r="G293">
        <f>IF($D293=0,"",MAXIFS(Assessments!J:J,Assessments!G:G,$A293,Assessments!B:B,"&gt;="&amp;$B$4,Assessments!B:B,"&lt;="&amp;$B$5))</f>
        <v/>
      </c>
      <c r="H293">
        <f>IF($D293=0,"",MINIFS(Assessments!J:J,Assessments!G:G,$A293,Assessments!B:B,"&gt;="&amp;$B$4,Assessments!B:B,"&lt;="&amp;$B$5))</f>
        <v/>
      </c>
    </row>
    <row r="294">
      <c r="A294">
        <f>IF(Students!A288="","",Students!A288)</f>
        <v/>
      </c>
      <c r="B294">
        <f>IF($A294="","",Students!B288)</f>
        <v/>
      </c>
      <c r="C294">
        <f>IF($A294="","",Students!C288)</f>
        <v/>
      </c>
      <c r="D294">
        <f>IF($A294="","",COUNTIFS(Assessments!G:G,$A294,Assessments!B:B,"&gt;="&amp;$B$4,Assessments!B:B,"&lt;="&amp;$B$5))</f>
        <v/>
      </c>
      <c r="E294">
        <f>IF($D294=0,"",ROUND(AVERAGEIFS(Assessments!J:J,Assessments!G:G,$A294,Assessments!B:B,"&gt;="&amp;$B$4,Assessments!B:B,"&lt;="&amp;$B$5),0))</f>
        <v/>
      </c>
      <c r="F294">
        <f>IF($D294=0,"",IFERROR(AVERAGEIFS(Assessments!J:J,Assessments!G:G,$A294,Assessments!B:B,$B$5),0)-IFERROR(AVERAGEIFS(Assessments!J:J,Assessments!G:G,$A294,Assessments!B:B,$B$4),0))</f>
        <v/>
      </c>
      <c r="G294">
        <f>IF($D294=0,"",MAXIFS(Assessments!J:J,Assessments!G:G,$A294,Assessments!B:B,"&gt;="&amp;$B$4,Assessments!B:B,"&lt;="&amp;$B$5))</f>
        <v/>
      </c>
      <c r="H294">
        <f>IF($D294=0,"",MINIFS(Assessments!J:J,Assessments!G:G,$A294,Assessments!B:B,"&gt;="&amp;$B$4,Assessments!B:B,"&lt;="&amp;$B$5))</f>
        <v/>
      </c>
    </row>
    <row r="295">
      <c r="A295">
        <f>IF(Students!A289="","",Students!A289)</f>
        <v/>
      </c>
      <c r="B295">
        <f>IF($A295="","",Students!B289)</f>
        <v/>
      </c>
      <c r="C295">
        <f>IF($A295="","",Students!C289)</f>
        <v/>
      </c>
      <c r="D295">
        <f>IF($A295="","",COUNTIFS(Assessments!G:G,$A295,Assessments!B:B,"&gt;="&amp;$B$4,Assessments!B:B,"&lt;="&amp;$B$5))</f>
        <v/>
      </c>
      <c r="E295">
        <f>IF($D295=0,"",ROUND(AVERAGEIFS(Assessments!J:J,Assessments!G:G,$A295,Assessments!B:B,"&gt;="&amp;$B$4,Assessments!B:B,"&lt;="&amp;$B$5),0))</f>
        <v/>
      </c>
      <c r="F295">
        <f>IF($D295=0,"",IFERROR(AVERAGEIFS(Assessments!J:J,Assessments!G:G,$A295,Assessments!B:B,$B$5),0)-IFERROR(AVERAGEIFS(Assessments!J:J,Assessments!G:G,$A295,Assessments!B:B,$B$4),0))</f>
        <v/>
      </c>
      <c r="G295">
        <f>IF($D295=0,"",MAXIFS(Assessments!J:J,Assessments!G:G,$A295,Assessments!B:B,"&gt;="&amp;$B$4,Assessments!B:B,"&lt;="&amp;$B$5))</f>
        <v/>
      </c>
      <c r="H295">
        <f>IF($D295=0,"",MINIFS(Assessments!J:J,Assessments!G:G,$A295,Assessments!B:B,"&gt;="&amp;$B$4,Assessments!B:B,"&lt;="&amp;$B$5))</f>
        <v/>
      </c>
    </row>
    <row r="296">
      <c r="A296">
        <f>IF(Students!A290="","",Students!A290)</f>
        <v/>
      </c>
      <c r="B296">
        <f>IF($A296="","",Students!B290)</f>
        <v/>
      </c>
      <c r="C296">
        <f>IF($A296="","",Students!C290)</f>
        <v/>
      </c>
      <c r="D296">
        <f>IF($A296="","",COUNTIFS(Assessments!G:G,$A296,Assessments!B:B,"&gt;="&amp;$B$4,Assessments!B:B,"&lt;="&amp;$B$5))</f>
        <v/>
      </c>
      <c r="E296">
        <f>IF($D296=0,"",ROUND(AVERAGEIFS(Assessments!J:J,Assessments!G:G,$A296,Assessments!B:B,"&gt;="&amp;$B$4,Assessments!B:B,"&lt;="&amp;$B$5),0))</f>
        <v/>
      </c>
      <c r="F296">
        <f>IF($D296=0,"",IFERROR(AVERAGEIFS(Assessments!J:J,Assessments!G:G,$A296,Assessments!B:B,$B$5),0)-IFERROR(AVERAGEIFS(Assessments!J:J,Assessments!G:G,$A296,Assessments!B:B,$B$4),0))</f>
        <v/>
      </c>
      <c r="G296">
        <f>IF($D296=0,"",MAXIFS(Assessments!J:J,Assessments!G:G,$A296,Assessments!B:B,"&gt;="&amp;$B$4,Assessments!B:B,"&lt;="&amp;$B$5))</f>
        <v/>
      </c>
      <c r="H296">
        <f>IF($D296=0,"",MINIFS(Assessments!J:J,Assessments!G:G,$A296,Assessments!B:B,"&gt;="&amp;$B$4,Assessments!B:B,"&lt;="&amp;$B$5))</f>
        <v/>
      </c>
    </row>
    <row r="297">
      <c r="A297">
        <f>IF(Students!A291="","",Students!A291)</f>
        <v/>
      </c>
      <c r="B297">
        <f>IF($A297="","",Students!B291)</f>
        <v/>
      </c>
      <c r="C297">
        <f>IF($A297="","",Students!C291)</f>
        <v/>
      </c>
      <c r="D297">
        <f>IF($A297="","",COUNTIFS(Assessments!G:G,$A297,Assessments!B:B,"&gt;="&amp;$B$4,Assessments!B:B,"&lt;="&amp;$B$5))</f>
        <v/>
      </c>
      <c r="E297">
        <f>IF($D297=0,"",ROUND(AVERAGEIFS(Assessments!J:J,Assessments!G:G,$A297,Assessments!B:B,"&gt;="&amp;$B$4,Assessments!B:B,"&lt;="&amp;$B$5),0))</f>
        <v/>
      </c>
      <c r="F297">
        <f>IF($D297=0,"",IFERROR(AVERAGEIFS(Assessments!J:J,Assessments!G:G,$A297,Assessments!B:B,$B$5),0)-IFERROR(AVERAGEIFS(Assessments!J:J,Assessments!G:G,$A297,Assessments!B:B,$B$4),0))</f>
        <v/>
      </c>
      <c r="G297">
        <f>IF($D297=0,"",MAXIFS(Assessments!J:J,Assessments!G:G,$A297,Assessments!B:B,"&gt;="&amp;$B$4,Assessments!B:B,"&lt;="&amp;$B$5))</f>
        <v/>
      </c>
      <c r="H297">
        <f>IF($D297=0,"",MINIFS(Assessments!J:J,Assessments!G:G,$A297,Assessments!B:B,"&gt;="&amp;$B$4,Assessments!B:B,"&lt;="&amp;$B$5))</f>
        <v/>
      </c>
    </row>
    <row r="298">
      <c r="A298">
        <f>IF(Students!A292="","",Students!A292)</f>
        <v/>
      </c>
      <c r="B298">
        <f>IF($A298="","",Students!B292)</f>
        <v/>
      </c>
      <c r="C298">
        <f>IF($A298="","",Students!C292)</f>
        <v/>
      </c>
      <c r="D298">
        <f>IF($A298="","",COUNTIFS(Assessments!G:G,$A298,Assessments!B:B,"&gt;="&amp;$B$4,Assessments!B:B,"&lt;="&amp;$B$5))</f>
        <v/>
      </c>
      <c r="E298">
        <f>IF($D298=0,"",ROUND(AVERAGEIFS(Assessments!J:J,Assessments!G:G,$A298,Assessments!B:B,"&gt;="&amp;$B$4,Assessments!B:B,"&lt;="&amp;$B$5),0))</f>
        <v/>
      </c>
      <c r="F298">
        <f>IF($D298=0,"",IFERROR(AVERAGEIFS(Assessments!J:J,Assessments!G:G,$A298,Assessments!B:B,$B$5),0)-IFERROR(AVERAGEIFS(Assessments!J:J,Assessments!G:G,$A298,Assessments!B:B,$B$4),0))</f>
        <v/>
      </c>
      <c r="G298">
        <f>IF($D298=0,"",MAXIFS(Assessments!J:J,Assessments!G:G,$A298,Assessments!B:B,"&gt;="&amp;$B$4,Assessments!B:B,"&lt;="&amp;$B$5))</f>
        <v/>
      </c>
      <c r="H298">
        <f>IF($D298=0,"",MINIFS(Assessments!J:J,Assessments!G:G,$A298,Assessments!B:B,"&gt;="&amp;$B$4,Assessments!B:B,"&lt;="&amp;$B$5))</f>
        <v/>
      </c>
    </row>
    <row r="299">
      <c r="A299">
        <f>IF(Students!A293="","",Students!A293)</f>
        <v/>
      </c>
      <c r="B299">
        <f>IF($A299="","",Students!B293)</f>
        <v/>
      </c>
      <c r="C299">
        <f>IF($A299="","",Students!C293)</f>
        <v/>
      </c>
      <c r="D299">
        <f>IF($A299="","",COUNTIFS(Assessments!G:G,$A299,Assessments!B:B,"&gt;="&amp;$B$4,Assessments!B:B,"&lt;="&amp;$B$5))</f>
        <v/>
      </c>
      <c r="E299">
        <f>IF($D299=0,"",ROUND(AVERAGEIFS(Assessments!J:J,Assessments!G:G,$A299,Assessments!B:B,"&gt;="&amp;$B$4,Assessments!B:B,"&lt;="&amp;$B$5),0))</f>
        <v/>
      </c>
      <c r="F299">
        <f>IF($D299=0,"",IFERROR(AVERAGEIFS(Assessments!J:J,Assessments!G:G,$A299,Assessments!B:B,$B$5),0)-IFERROR(AVERAGEIFS(Assessments!J:J,Assessments!G:G,$A299,Assessments!B:B,$B$4),0))</f>
        <v/>
      </c>
      <c r="G299">
        <f>IF($D299=0,"",MAXIFS(Assessments!J:J,Assessments!G:G,$A299,Assessments!B:B,"&gt;="&amp;$B$4,Assessments!B:B,"&lt;="&amp;$B$5))</f>
        <v/>
      </c>
      <c r="H299">
        <f>IF($D299=0,"",MINIFS(Assessments!J:J,Assessments!G:G,$A299,Assessments!B:B,"&gt;="&amp;$B$4,Assessments!B:B,"&lt;="&amp;$B$5))</f>
        <v/>
      </c>
    </row>
    <row r="300">
      <c r="A300">
        <f>IF(Students!A294="","",Students!A294)</f>
        <v/>
      </c>
      <c r="B300">
        <f>IF($A300="","",Students!B294)</f>
        <v/>
      </c>
      <c r="C300">
        <f>IF($A300="","",Students!C294)</f>
        <v/>
      </c>
      <c r="D300">
        <f>IF($A300="","",COUNTIFS(Assessments!G:G,$A300,Assessments!B:B,"&gt;="&amp;$B$4,Assessments!B:B,"&lt;="&amp;$B$5))</f>
        <v/>
      </c>
      <c r="E300">
        <f>IF($D300=0,"",ROUND(AVERAGEIFS(Assessments!J:J,Assessments!G:G,$A300,Assessments!B:B,"&gt;="&amp;$B$4,Assessments!B:B,"&lt;="&amp;$B$5),0))</f>
        <v/>
      </c>
      <c r="F300">
        <f>IF($D300=0,"",IFERROR(AVERAGEIFS(Assessments!J:J,Assessments!G:G,$A300,Assessments!B:B,$B$5),0)-IFERROR(AVERAGEIFS(Assessments!J:J,Assessments!G:G,$A300,Assessments!B:B,$B$4),0))</f>
        <v/>
      </c>
      <c r="G300">
        <f>IF($D300=0,"",MAXIFS(Assessments!J:J,Assessments!G:G,$A300,Assessments!B:B,"&gt;="&amp;$B$4,Assessments!B:B,"&lt;="&amp;$B$5))</f>
        <v/>
      </c>
      <c r="H300">
        <f>IF($D300=0,"",MINIFS(Assessments!J:J,Assessments!G:G,$A300,Assessments!B:B,"&gt;="&amp;$B$4,Assessments!B:B,"&lt;="&amp;$B$5))</f>
        <v/>
      </c>
    </row>
    <row r="301">
      <c r="A301">
        <f>IF(Students!A295="","",Students!A295)</f>
        <v/>
      </c>
      <c r="B301">
        <f>IF($A301="","",Students!B295)</f>
        <v/>
      </c>
      <c r="C301">
        <f>IF($A301="","",Students!C295)</f>
        <v/>
      </c>
      <c r="D301">
        <f>IF($A301="","",COUNTIFS(Assessments!G:G,$A301,Assessments!B:B,"&gt;="&amp;$B$4,Assessments!B:B,"&lt;="&amp;$B$5))</f>
        <v/>
      </c>
      <c r="E301">
        <f>IF($D301=0,"",ROUND(AVERAGEIFS(Assessments!J:J,Assessments!G:G,$A301,Assessments!B:B,"&gt;="&amp;$B$4,Assessments!B:B,"&lt;="&amp;$B$5),0))</f>
        <v/>
      </c>
      <c r="F301">
        <f>IF($D301=0,"",IFERROR(AVERAGEIFS(Assessments!J:J,Assessments!G:G,$A301,Assessments!B:B,$B$5),0)-IFERROR(AVERAGEIFS(Assessments!J:J,Assessments!G:G,$A301,Assessments!B:B,$B$4),0))</f>
        <v/>
      </c>
      <c r="G301">
        <f>IF($D301=0,"",MAXIFS(Assessments!J:J,Assessments!G:G,$A301,Assessments!B:B,"&gt;="&amp;$B$4,Assessments!B:B,"&lt;="&amp;$B$5))</f>
        <v/>
      </c>
      <c r="H301">
        <f>IF($D301=0,"",MINIFS(Assessments!J:J,Assessments!G:G,$A301,Assessments!B:B,"&gt;="&amp;$B$4,Assessments!B:B,"&lt;="&amp;$B$5))</f>
        <v/>
      </c>
    </row>
    <row r="302">
      <c r="A302">
        <f>IF(Students!A296="","",Students!A296)</f>
        <v/>
      </c>
      <c r="B302">
        <f>IF($A302="","",Students!B296)</f>
        <v/>
      </c>
      <c r="C302">
        <f>IF($A302="","",Students!C296)</f>
        <v/>
      </c>
      <c r="D302">
        <f>IF($A302="","",COUNTIFS(Assessments!G:G,$A302,Assessments!B:B,"&gt;="&amp;$B$4,Assessments!B:B,"&lt;="&amp;$B$5))</f>
        <v/>
      </c>
      <c r="E302">
        <f>IF($D302=0,"",ROUND(AVERAGEIFS(Assessments!J:J,Assessments!G:G,$A302,Assessments!B:B,"&gt;="&amp;$B$4,Assessments!B:B,"&lt;="&amp;$B$5),0))</f>
        <v/>
      </c>
      <c r="F302">
        <f>IF($D302=0,"",IFERROR(AVERAGEIFS(Assessments!J:J,Assessments!G:G,$A302,Assessments!B:B,$B$5),0)-IFERROR(AVERAGEIFS(Assessments!J:J,Assessments!G:G,$A302,Assessments!B:B,$B$4),0))</f>
        <v/>
      </c>
      <c r="G302">
        <f>IF($D302=0,"",MAXIFS(Assessments!J:J,Assessments!G:G,$A302,Assessments!B:B,"&gt;="&amp;$B$4,Assessments!B:B,"&lt;="&amp;$B$5))</f>
        <v/>
      </c>
      <c r="H302">
        <f>IF($D302=0,"",MINIFS(Assessments!J:J,Assessments!G:G,$A302,Assessments!B:B,"&gt;="&amp;$B$4,Assessments!B:B,"&lt;="&amp;$B$5))</f>
        <v/>
      </c>
    </row>
    <row r="303">
      <c r="A303">
        <f>IF(Students!A297="","",Students!A297)</f>
        <v/>
      </c>
      <c r="B303">
        <f>IF($A303="","",Students!B297)</f>
        <v/>
      </c>
      <c r="C303">
        <f>IF($A303="","",Students!C297)</f>
        <v/>
      </c>
      <c r="D303">
        <f>IF($A303="","",COUNTIFS(Assessments!G:G,$A303,Assessments!B:B,"&gt;="&amp;$B$4,Assessments!B:B,"&lt;="&amp;$B$5))</f>
        <v/>
      </c>
      <c r="E303">
        <f>IF($D303=0,"",ROUND(AVERAGEIFS(Assessments!J:J,Assessments!G:G,$A303,Assessments!B:B,"&gt;="&amp;$B$4,Assessments!B:B,"&lt;="&amp;$B$5),0))</f>
        <v/>
      </c>
      <c r="F303">
        <f>IF($D303=0,"",IFERROR(AVERAGEIFS(Assessments!J:J,Assessments!G:G,$A303,Assessments!B:B,$B$5),0)-IFERROR(AVERAGEIFS(Assessments!J:J,Assessments!G:G,$A303,Assessments!B:B,$B$4),0))</f>
        <v/>
      </c>
      <c r="G303">
        <f>IF($D303=0,"",MAXIFS(Assessments!J:J,Assessments!G:G,$A303,Assessments!B:B,"&gt;="&amp;$B$4,Assessments!B:B,"&lt;="&amp;$B$5))</f>
        <v/>
      </c>
      <c r="H303">
        <f>IF($D303=0,"",MINIFS(Assessments!J:J,Assessments!G:G,$A303,Assessments!B:B,"&gt;="&amp;$B$4,Assessments!B:B,"&lt;="&amp;$B$5))</f>
        <v/>
      </c>
    </row>
    <row r="304">
      <c r="A304">
        <f>IF(Students!A298="","",Students!A298)</f>
        <v/>
      </c>
      <c r="B304">
        <f>IF($A304="","",Students!B298)</f>
        <v/>
      </c>
      <c r="C304">
        <f>IF($A304="","",Students!C298)</f>
        <v/>
      </c>
      <c r="D304">
        <f>IF($A304="","",COUNTIFS(Assessments!G:G,$A304,Assessments!B:B,"&gt;="&amp;$B$4,Assessments!B:B,"&lt;="&amp;$B$5))</f>
        <v/>
      </c>
      <c r="E304">
        <f>IF($D304=0,"",ROUND(AVERAGEIFS(Assessments!J:J,Assessments!G:G,$A304,Assessments!B:B,"&gt;="&amp;$B$4,Assessments!B:B,"&lt;="&amp;$B$5),0))</f>
        <v/>
      </c>
      <c r="F304">
        <f>IF($D304=0,"",IFERROR(AVERAGEIFS(Assessments!J:J,Assessments!G:G,$A304,Assessments!B:B,$B$5),0)-IFERROR(AVERAGEIFS(Assessments!J:J,Assessments!G:G,$A304,Assessments!B:B,$B$4),0))</f>
        <v/>
      </c>
      <c r="G304">
        <f>IF($D304=0,"",MAXIFS(Assessments!J:J,Assessments!G:G,$A304,Assessments!B:B,"&gt;="&amp;$B$4,Assessments!B:B,"&lt;="&amp;$B$5))</f>
        <v/>
      </c>
      <c r="H304">
        <f>IF($D304=0,"",MINIFS(Assessments!J:J,Assessments!G:G,$A304,Assessments!B:B,"&gt;="&amp;$B$4,Assessments!B:B,"&lt;="&amp;$B$5))</f>
        <v/>
      </c>
    </row>
    <row r="305">
      <c r="A305">
        <f>IF(Students!A299="","",Students!A299)</f>
        <v/>
      </c>
      <c r="B305">
        <f>IF($A305="","",Students!B299)</f>
        <v/>
      </c>
      <c r="C305">
        <f>IF($A305="","",Students!C299)</f>
        <v/>
      </c>
      <c r="D305">
        <f>IF($A305="","",COUNTIFS(Assessments!G:G,$A305,Assessments!B:B,"&gt;="&amp;$B$4,Assessments!B:B,"&lt;="&amp;$B$5))</f>
        <v/>
      </c>
      <c r="E305">
        <f>IF($D305=0,"",ROUND(AVERAGEIFS(Assessments!J:J,Assessments!G:G,$A305,Assessments!B:B,"&gt;="&amp;$B$4,Assessments!B:B,"&lt;="&amp;$B$5),0))</f>
        <v/>
      </c>
      <c r="F305">
        <f>IF($D305=0,"",IFERROR(AVERAGEIFS(Assessments!J:J,Assessments!G:G,$A305,Assessments!B:B,$B$5),0)-IFERROR(AVERAGEIFS(Assessments!J:J,Assessments!G:G,$A305,Assessments!B:B,$B$4),0))</f>
        <v/>
      </c>
      <c r="G305">
        <f>IF($D305=0,"",MAXIFS(Assessments!J:J,Assessments!G:G,$A305,Assessments!B:B,"&gt;="&amp;$B$4,Assessments!B:B,"&lt;="&amp;$B$5))</f>
        <v/>
      </c>
      <c r="H305">
        <f>IF($D305=0,"",MINIFS(Assessments!J:J,Assessments!G:G,$A305,Assessments!B:B,"&gt;="&amp;$B$4,Assessments!B:B,"&lt;="&amp;$B$5))</f>
        <v/>
      </c>
    </row>
    <row r="306">
      <c r="A306">
        <f>IF(Students!A300="","",Students!A300)</f>
        <v/>
      </c>
      <c r="B306">
        <f>IF($A306="","",Students!B300)</f>
        <v/>
      </c>
      <c r="C306">
        <f>IF($A306="","",Students!C300)</f>
        <v/>
      </c>
      <c r="D306">
        <f>IF($A306="","",COUNTIFS(Assessments!G:G,$A306,Assessments!B:B,"&gt;="&amp;$B$4,Assessments!B:B,"&lt;="&amp;$B$5))</f>
        <v/>
      </c>
      <c r="E306">
        <f>IF($D306=0,"",ROUND(AVERAGEIFS(Assessments!J:J,Assessments!G:G,$A306,Assessments!B:B,"&gt;="&amp;$B$4,Assessments!B:B,"&lt;="&amp;$B$5),0))</f>
        <v/>
      </c>
      <c r="F306">
        <f>IF($D306=0,"",IFERROR(AVERAGEIFS(Assessments!J:J,Assessments!G:G,$A306,Assessments!B:B,$B$5),0)-IFERROR(AVERAGEIFS(Assessments!J:J,Assessments!G:G,$A306,Assessments!B:B,$B$4),0))</f>
        <v/>
      </c>
      <c r="G306">
        <f>IF($D306=0,"",MAXIFS(Assessments!J:J,Assessments!G:G,$A306,Assessments!B:B,"&gt;="&amp;$B$4,Assessments!B:B,"&lt;="&amp;$B$5))</f>
        <v/>
      </c>
      <c r="H306">
        <f>IF($D306=0,"",MINIFS(Assessments!J:J,Assessments!G:G,$A306,Assessments!B:B,"&gt;="&amp;$B$4,Assessments!B:B,"&lt;="&amp;$B$5))</f>
        <v/>
      </c>
    </row>
    <row r="307">
      <c r="A307">
        <f>IF(Students!A301="","",Students!A301)</f>
        <v/>
      </c>
      <c r="B307">
        <f>IF($A307="","",Students!B301)</f>
        <v/>
      </c>
      <c r="C307">
        <f>IF($A307="","",Students!C301)</f>
        <v/>
      </c>
      <c r="D307">
        <f>IF($A307="","",COUNTIFS(Assessments!G:G,$A307,Assessments!B:B,"&gt;="&amp;$B$4,Assessments!B:B,"&lt;="&amp;$B$5))</f>
        <v/>
      </c>
      <c r="E307">
        <f>IF($D307=0,"",ROUND(AVERAGEIFS(Assessments!J:J,Assessments!G:G,$A307,Assessments!B:B,"&gt;="&amp;$B$4,Assessments!B:B,"&lt;="&amp;$B$5),0))</f>
        <v/>
      </c>
      <c r="F307">
        <f>IF($D307=0,"",IFERROR(AVERAGEIFS(Assessments!J:J,Assessments!G:G,$A307,Assessments!B:B,$B$5),0)-IFERROR(AVERAGEIFS(Assessments!J:J,Assessments!G:G,$A307,Assessments!B:B,$B$4),0))</f>
        <v/>
      </c>
      <c r="G307">
        <f>IF($D307=0,"",MAXIFS(Assessments!J:J,Assessments!G:G,$A307,Assessments!B:B,"&gt;="&amp;$B$4,Assessments!B:B,"&lt;="&amp;$B$5))</f>
        <v/>
      </c>
      <c r="H307">
        <f>IF($D307=0,"",MINIFS(Assessments!J:J,Assessments!G:G,$A307,Assessments!B:B,"&gt;="&amp;$B$4,Assessments!B:B,"&lt;="&amp;$B$5))</f>
        <v/>
      </c>
    </row>
    <row r="308">
      <c r="A308">
        <f>IF(Students!A302="","",Students!A302)</f>
        <v/>
      </c>
      <c r="B308">
        <f>IF($A308="","",Students!B302)</f>
        <v/>
      </c>
      <c r="C308">
        <f>IF($A308="","",Students!C302)</f>
        <v/>
      </c>
      <c r="D308">
        <f>IF($A308="","",COUNTIFS(Assessments!G:G,$A308,Assessments!B:B,"&gt;="&amp;$B$4,Assessments!B:B,"&lt;="&amp;$B$5))</f>
        <v/>
      </c>
      <c r="E308">
        <f>IF($D308=0,"",ROUND(AVERAGEIFS(Assessments!J:J,Assessments!G:G,$A308,Assessments!B:B,"&gt;="&amp;$B$4,Assessments!B:B,"&lt;="&amp;$B$5),0))</f>
        <v/>
      </c>
      <c r="F308">
        <f>IF($D308=0,"",IFERROR(AVERAGEIFS(Assessments!J:J,Assessments!G:G,$A308,Assessments!B:B,$B$5),0)-IFERROR(AVERAGEIFS(Assessments!J:J,Assessments!G:G,$A308,Assessments!B:B,$B$4),0))</f>
        <v/>
      </c>
      <c r="G308">
        <f>IF($D308=0,"",MAXIFS(Assessments!J:J,Assessments!G:G,$A308,Assessments!B:B,"&gt;="&amp;$B$4,Assessments!B:B,"&lt;="&amp;$B$5))</f>
        <v/>
      </c>
      <c r="H308">
        <f>IF($D308=0,"",MINIFS(Assessments!J:J,Assessments!G:G,$A308,Assessments!B:B,"&gt;="&amp;$B$4,Assessments!B:B,"&lt;="&amp;$B$5))</f>
        <v/>
      </c>
    </row>
    <row r="309">
      <c r="A309">
        <f>IF(Students!A303="","",Students!A303)</f>
        <v/>
      </c>
      <c r="B309">
        <f>IF($A309="","",Students!B303)</f>
        <v/>
      </c>
      <c r="C309">
        <f>IF($A309="","",Students!C303)</f>
        <v/>
      </c>
      <c r="D309">
        <f>IF($A309="","",COUNTIFS(Assessments!G:G,$A309,Assessments!B:B,"&gt;="&amp;$B$4,Assessments!B:B,"&lt;="&amp;$B$5))</f>
        <v/>
      </c>
      <c r="E309">
        <f>IF($D309=0,"",ROUND(AVERAGEIFS(Assessments!J:J,Assessments!G:G,$A309,Assessments!B:B,"&gt;="&amp;$B$4,Assessments!B:B,"&lt;="&amp;$B$5),0))</f>
        <v/>
      </c>
      <c r="F309">
        <f>IF($D309=0,"",IFERROR(AVERAGEIFS(Assessments!J:J,Assessments!G:G,$A309,Assessments!B:B,$B$5),0)-IFERROR(AVERAGEIFS(Assessments!J:J,Assessments!G:G,$A309,Assessments!B:B,$B$4),0))</f>
        <v/>
      </c>
      <c r="G309">
        <f>IF($D309=0,"",MAXIFS(Assessments!J:J,Assessments!G:G,$A309,Assessments!B:B,"&gt;="&amp;$B$4,Assessments!B:B,"&lt;="&amp;$B$5))</f>
        <v/>
      </c>
      <c r="H309">
        <f>IF($D309=0,"",MINIFS(Assessments!J:J,Assessments!G:G,$A309,Assessments!B:B,"&gt;="&amp;$B$4,Assessments!B:B,"&lt;="&amp;$B$5))</f>
        <v/>
      </c>
    </row>
    <row r="310">
      <c r="A310">
        <f>IF(Students!A304="","",Students!A304)</f>
        <v/>
      </c>
      <c r="B310">
        <f>IF($A310="","",Students!B304)</f>
        <v/>
      </c>
      <c r="C310">
        <f>IF($A310="","",Students!C304)</f>
        <v/>
      </c>
      <c r="D310">
        <f>IF($A310="","",COUNTIFS(Assessments!G:G,$A310,Assessments!B:B,"&gt;="&amp;$B$4,Assessments!B:B,"&lt;="&amp;$B$5))</f>
        <v/>
      </c>
      <c r="E310">
        <f>IF($D310=0,"",ROUND(AVERAGEIFS(Assessments!J:J,Assessments!G:G,$A310,Assessments!B:B,"&gt;="&amp;$B$4,Assessments!B:B,"&lt;="&amp;$B$5),0))</f>
        <v/>
      </c>
      <c r="F310">
        <f>IF($D310=0,"",IFERROR(AVERAGEIFS(Assessments!J:J,Assessments!G:G,$A310,Assessments!B:B,$B$5),0)-IFERROR(AVERAGEIFS(Assessments!J:J,Assessments!G:G,$A310,Assessments!B:B,$B$4),0))</f>
        <v/>
      </c>
      <c r="G310">
        <f>IF($D310=0,"",MAXIFS(Assessments!J:J,Assessments!G:G,$A310,Assessments!B:B,"&gt;="&amp;$B$4,Assessments!B:B,"&lt;="&amp;$B$5))</f>
        <v/>
      </c>
      <c r="H310">
        <f>IF($D310=0,"",MINIFS(Assessments!J:J,Assessments!G:G,$A310,Assessments!B:B,"&gt;="&amp;$B$4,Assessments!B:B,"&lt;="&amp;$B$5))</f>
        <v/>
      </c>
    </row>
    <row r="311">
      <c r="A311">
        <f>IF(Students!A305="","",Students!A305)</f>
        <v/>
      </c>
      <c r="B311">
        <f>IF($A311="","",Students!B305)</f>
        <v/>
      </c>
      <c r="C311">
        <f>IF($A311="","",Students!C305)</f>
        <v/>
      </c>
      <c r="D311">
        <f>IF($A311="","",COUNTIFS(Assessments!G:G,$A311,Assessments!B:B,"&gt;="&amp;$B$4,Assessments!B:B,"&lt;="&amp;$B$5))</f>
        <v/>
      </c>
      <c r="E311">
        <f>IF($D311=0,"",ROUND(AVERAGEIFS(Assessments!J:J,Assessments!G:G,$A311,Assessments!B:B,"&gt;="&amp;$B$4,Assessments!B:B,"&lt;="&amp;$B$5),0))</f>
        <v/>
      </c>
      <c r="F311">
        <f>IF($D311=0,"",IFERROR(AVERAGEIFS(Assessments!J:J,Assessments!G:G,$A311,Assessments!B:B,$B$5),0)-IFERROR(AVERAGEIFS(Assessments!J:J,Assessments!G:G,$A311,Assessments!B:B,$B$4),0))</f>
        <v/>
      </c>
      <c r="G311">
        <f>IF($D311=0,"",MAXIFS(Assessments!J:J,Assessments!G:G,$A311,Assessments!B:B,"&gt;="&amp;$B$4,Assessments!B:B,"&lt;="&amp;$B$5))</f>
        <v/>
      </c>
      <c r="H311">
        <f>IF($D311=0,"",MINIFS(Assessments!J:J,Assessments!G:G,$A311,Assessments!B:B,"&gt;="&amp;$B$4,Assessments!B:B,"&lt;="&amp;$B$5))</f>
        <v/>
      </c>
    </row>
    <row r="312">
      <c r="A312">
        <f>IF(Students!A306="","",Students!A306)</f>
        <v/>
      </c>
      <c r="B312">
        <f>IF($A312="","",Students!B306)</f>
        <v/>
      </c>
      <c r="C312">
        <f>IF($A312="","",Students!C306)</f>
        <v/>
      </c>
      <c r="D312">
        <f>IF($A312="","",COUNTIFS(Assessments!G:G,$A312,Assessments!B:B,"&gt;="&amp;$B$4,Assessments!B:B,"&lt;="&amp;$B$5))</f>
        <v/>
      </c>
      <c r="E312">
        <f>IF($D312=0,"",ROUND(AVERAGEIFS(Assessments!J:J,Assessments!G:G,$A312,Assessments!B:B,"&gt;="&amp;$B$4,Assessments!B:B,"&lt;="&amp;$B$5),0))</f>
        <v/>
      </c>
      <c r="F312">
        <f>IF($D312=0,"",IFERROR(AVERAGEIFS(Assessments!J:J,Assessments!G:G,$A312,Assessments!B:B,$B$5),0)-IFERROR(AVERAGEIFS(Assessments!J:J,Assessments!G:G,$A312,Assessments!B:B,$B$4),0))</f>
        <v/>
      </c>
      <c r="G312">
        <f>IF($D312=0,"",MAXIFS(Assessments!J:J,Assessments!G:G,$A312,Assessments!B:B,"&gt;="&amp;$B$4,Assessments!B:B,"&lt;="&amp;$B$5))</f>
        <v/>
      </c>
      <c r="H312">
        <f>IF($D312=0,"",MINIFS(Assessments!J:J,Assessments!G:G,$A312,Assessments!B:B,"&gt;="&amp;$B$4,Assessments!B:B,"&lt;="&amp;$B$5))</f>
        <v/>
      </c>
    </row>
    <row r="313">
      <c r="A313">
        <f>IF(Students!A307="","",Students!A307)</f>
        <v/>
      </c>
      <c r="B313">
        <f>IF($A313="","",Students!B307)</f>
        <v/>
      </c>
      <c r="C313">
        <f>IF($A313="","",Students!C307)</f>
        <v/>
      </c>
      <c r="D313">
        <f>IF($A313="","",COUNTIFS(Assessments!G:G,$A313,Assessments!B:B,"&gt;="&amp;$B$4,Assessments!B:B,"&lt;="&amp;$B$5))</f>
        <v/>
      </c>
      <c r="E313">
        <f>IF($D313=0,"",ROUND(AVERAGEIFS(Assessments!J:J,Assessments!G:G,$A313,Assessments!B:B,"&gt;="&amp;$B$4,Assessments!B:B,"&lt;="&amp;$B$5),0))</f>
        <v/>
      </c>
      <c r="F313">
        <f>IF($D313=0,"",IFERROR(AVERAGEIFS(Assessments!J:J,Assessments!G:G,$A313,Assessments!B:B,$B$5),0)-IFERROR(AVERAGEIFS(Assessments!J:J,Assessments!G:G,$A313,Assessments!B:B,$B$4),0))</f>
        <v/>
      </c>
      <c r="G313">
        <f>IF($D313=0,"",MAXIFS(Assessments!J:J,Assessments!G:G,$A313,Assessments!B:B,"&gt;="&amp;$B$4,Assessments!B:B,"&lt;="&amp;$B$5))</f>
        <v/>
      </c>
      <c r="H313">
        <f>IF($D313=0,"",MINIFS(Assessments!J:J,Assessments!G:G,$A313,Assessments!B:B,"&gt;="&amp;$B$4,Assessments!B:B,"&lt;="&amp;$B$5))</f>
        <v/>
      </c>
    </row>
    <row r="314">
      <c r="A314">
        <f>IF(Students!A308="","",Students!A308)</f>
        <v/>
      </c>
      <c r="B314">
        <f>IF($A314="","",Students!B308)</f>
        <v/>
      </c>
      <c r="C314">
        <f>IF($A314="","",Students!C308)</f>
        <v/>
      </c>
      <c r="D314">
        <f>IF($A314="","",COUNTIFS(Assessments!G:G,$A314,Assessments!B:B,"&gt;="&amp;$B$4,Assessments!B:B,"&lt;="&amp;$B$5))</f>
        <v/>
      </c>
      <c r="E314">
        <f>IF($D314=0,"",ROUND(AVERAGEIFS(Assessments!J:J,Assessments!G:G,$A314,Assessments!B:B,"&gt;="&amp;$B$4,Assessments!B:B,"&lt;="&amp;$B$5),0))</f>
        <v/>
      </c>
      <c r="F314">
        <f>IF($D314=0,"",IFERROR(AVERAGEIFS(Assessments!J:J,Assessments!G:G,$A314,Assessments!B:B,$B$5),0)-IFERROR(AVERAGEIFS(Assessments!J:J,Assessments!G:G,$A314,Assessments!B:B,$B$4),0))</f>
        <v/>
      </c>
      <c r="G314">
        <f>IF($D314=0,"",MAXIFS(Assessments!J:J,Assessments!G:G,$A314,Assessments!B:B,"&gt;="&amp;$B$4,Assessments!B:B,"&lt;="&amp;$B$5))</f>
        <v/>
      </c>
      <c r="H314">
        <f>IF($D314=0,"",MINIFS(Assessments!J:J,Assessments!G:G,$A314,Assessments!B:B,"&gt;="&amp;$B$4,Assessments!B:B,"&lt;="&amp;$B$5))</f>
        <v/>
      </c>
    </row>
    <row r="315">
      <c r="A315">
        <f>IF(Students!A309="","",Students!A309)</f>
        <v/>
      </c>
      <c r="B315">
        <f>IF($A315="","",Students!B309)</f>
        <v/>
      </c>
      <c r="C315">
        <f>IF($A315="","",Students!C309)</f>
        <v/>
      </c>
      <c r="D315">
        <f>IF($A315="","",COUNTIFS(Assessments!G:G,$A315,Assessments!B:B,"&gt;="&amp;$B$4,Assessments!B:B,"&lt;="&amp;$B$5))</f>
        <v/>
      </c>
      <c r="E315">
        <f>IF($D315=0,"",ROUND(AVERAGEIFS(Assessments!J:J,Assessments!G:G,$A315,Assessments!B:B,"&gt;="&amp;$B$4,Assessments!B:B,"&lt;="&amp;$B$5),0))</f>
        <v/>
      </c>
      <c r="F315">
        <f>IF($D315=0,"",IFERROR(AVERAGEIFS(Assessments!J:J,Assessments!G:G,$A315,Assessments!B:B,$B$5),0)-IFERROR(AVERAGEIFS(Assessments!J:J,Assessments!G:G,$A315,Assessments!B:B,$B$4),0))</f>
        <v/>
      </c>
      <c r="G315">
        <f>IF($D315=0,"",MAXIFS(Assessments!J:J,Assessments!G:G,$A315,Assessments!B:B,"&gt;="&amp;$B$4,Assessments!B:B,"&lt;="&amp;$B$5))</f>
        <v/>
      </c>
      <c r="H315">
        <f>IF($D315=0,"",MINIFS(Assessments!J:J,Assessments!G:G,$A315,Assessments!B:B,"&gt;="&amp;$B$4,Assessments!B:B,"&lt;="&amp;$B$5))</f>
        <v/>
      </c>
    </row>
    <row r="316">
      <c r="A316">
        <f>IF(Students!A310="","",Students!A310)</f>
        <v/>
      </c>
      <c r="B316">
        <f>IF($A316="","",Students!B310)</f>
        <v/>
      </c>
      <c r="C316">
        <f>IF($A316="","",Students!C310)</f>
        <v/>
      </c>
      <c r="D316">
        <f>IF($A316="","",COUNTIFS(Assessments!G:G,$A316,Assessments!B:B,"&gt;="&amp;$B$4,Assessments!B:B,"&lt;="&amp;$B$5))</f>
        <v/>
      </c>
      <c r="E316">
        <f>IF($D316=0,"",ROUND(AVERAGEIFS(Assessments!J:J,Assessments!G:G,$A316,Assessments!B:B,"&gt;="&amp;$B$4,Assessments!B:B,"&lt;="&amp;$B$5),0))</f>
        <v/>
      </c>
      <c r="F316">
        <f>IF($D316=0,"",IFERROR(AVERAGEIFS(Assessments!J:J,Assessments!G:G,$A316,Assessments!B:B,$B$5),0)-IFERROR(AVERAGEIFS(Assessments!J:J,Assessments!G:G,$A316,Assessments!B:B,$B$4),0))</f>
        <v/>
      </c>
      <c r="G316">
        <f>IF($D316=0,"",MAXIFS(Assessments!J:J,Assessments!G:G,$A316,Assessments!B:B,"&gt;="&amp;$B$4,Assessments!B:B,"&lt;="&amp;$B$5))</f>
        <v/>
      </c>
      <c r="H316">
        <f>IF($D316=0,"",MINIFS(Assessments!J:J,Assessments!G:G,$A316,Assessments!B:B,"&gt;="&amp;$B$4,Assessments!B:B,"&lt;="&amp;$B$5))</f>
        <v/>
      </c>
    </row>
    <row r="317">
      <c r="A317">
        <f>IF(Students!A311="","",Students!A311)</f>
        <v/>
      </c>
      <c r="B317">
        <f>IF($A317="","",Students!B311)</f>
        <v/>
      </c>
      <c r="C317">
        <f>IF($A317="","",Students!C311)</f>
        <v/>
      </c>
      <c r="D317">
        <f>IF($A317="","",COUNTIFS(Assessments!G:G,$A317,Assessments!B:B,"&gt;="&amp;$B$4,Assessments!B:B,"&lt;="&amp;$B$5))</f>
        <v/>
      </c>
      <c r="E317">
        <f>IF($D317=0,"",ROUND(AVERAGEIFS(Assessments!J:J,Assessments!G:G,$A317,Assessments!B:B,"&gt;="&amp;$B$4,Assessments!B:B,"&lt;="&amp;$B$5),0))</f>
        <v/>
      </c>
      <c r="F317">
        <f>IF($D317=0,"",IFERROR(AVERAGEIFS(Assessments!J:J,Assessments!G:G,$A317,Assessments!B:B,$B$5),0)-IFERROR(AVERAGEIFS(Assessments!J:J,Assessments!G:G,$A317,Assessments!B:B,$B$4),0))</f>
        <v/>
      </c>
      <c r="G317">
        <f>IF($D317=0,"",MAXIFS(Assessments!J:J,Assessments!G:G,$A317,Assessments!B:B,"&gt;="&amp;$B$4,Assessments!B:B,"&lt;="&amp;$B$5))</f>
        <v/>
      </c>
      <c r="H317">
        <f>IF($D317=0,"",MINIFS(Assessments!J:J,Assessments!G:G,$A317,Assessments!B:B,"&gt;="&amp;$B$4,Assessments!B:B,"&lt;="&amp;$B$5))</f>
        <v/>
      </c>
    </row>
    <row r="318">
      <c r="A318">
        <f>IF(Students!A312="","",Students!A312)</f>
        <v/>
      </c>
      <c r="B318">
        <f>IF($A318="","",Students!B312)</f>
        <v/>
      </c>
      <c r="C318">
        <f>IF($A318="","",Students!C312)</f>
        <v/>
      </c>
      <c r="D318">
        <f>IF($A318="","",COUNTIFS(Assessments!G:G,$A318,Assessments!B:B,"&gt;="&amp;$B$4,Assessments!B:B,"&lt;="&amp;$B$5))</f>
        <v/>
      </c>
      <c r="E318">
        <f>IF($D318=0,"",ROUND(AVERAGEIFS(Assessments!J:J,Assessments!G:G,$A318,Assessments!B:B,"&gt;="&amp;$B$4,Assessments!B:B,"&lt;="&amp;$B$5),0))</f>
        <v/>
      </c>
      <c r="F318">
        <f>IF($D318=0,"",IFERROR(AVERAGEIFS(Assessments!J:J,Assessments!G:G,$A318,Assessments!B:B,$B$5),0)-IFERROR(AVERAGEIFS(Assessments!J:J,Assessments!G:G,$A318,Assessments!B:B,$B$4),0))</f>
        <v/>
      </c>
      <c r="G318">
        <f>IF($D318=0,"",MAXIFS(Assessments!J:J,Assessments!G:G,$A318,Assessments!B:B,"&gt;="&amp;$B$4,Assessments!B:B,"&lt;="&amp;$B$5))</f>
        <v/>
      </c>
      <c r="H318">
        <f>IF($D318=0,"",MINIFS(Assessments!J:J,Assessments!G:G,$A318,Assessments!B:B,"&gt;="&amp;$B$4,Assessments!B:B,"&lt;="&amp;$B$5))</f>
        <v/>
      </c>
    </row>
    <row r="319">
      <c r="A319">
        <f>IF(Students!A313="","",Students!A313)</f>
        <v/>
      </c>
      <c r="B319">
        <f>IF($A319="","",Students!B313)</f>
        <v/>
      </c>
      <c r="C319">
        <f>IF($A319="","",Students!C313)</f>
        <v/>
      </c>
      <c r="D319">
        <f>IF($A319="","",COUNTIFS(Assessments!G:G,$A319,Assessments!B:B,"&gt;="&amp;$B$4,Assessments!B:B,"&lt;="&amp;$B$5))</f>
        <v/>
      </c>
      <c r="E319">
        <f>IF($D319=0,"",ROUND(AVERAGEIFS(Assessments!J:J,Assessments!G:G,$A319,Assessments!B:B,"&gt;="&amp;$B$4,Assessments!B:B,"&lt;="&amp;$B$5),0))</f>
        <v/>
      </c>
      <c r="F319">
        <f>IF($D319=0,"",IFERROR(AVERAGEIFS(Assessments!J:J,Assessments!G:G,$A319,Assessments!B:B,$B$5),0)-IFERROR(AVERAGEIFS(Assessments!J:J,Assessments!G:G,$A319,Assessments!B:B,$B$4),0))</f>
        <v/>
      </c>
      <c r="G319">
        <f>IF($D319=0,"",MAXIFS(Assessments!J:J,Assessments!G:G,$A319,Assessments!B:B,"&gt;="&amp;$B$4,Assessments!B:B,"&lt;="&amp;$B$5))</f>
        <v/>
      </c>
      <c r="H319">
        <f>IF($D319=0,"",MINIFS(Assessments!J:J,Assessments!G:G,$A319,Assessments!B:B,"&gt;="&amp;$B$4,Assessments!B:B,"&lt;="&amp;$B$5))</f>
        <v/>
      </c>
    </row>
    <row r="320">
      <c r="A320">
        <f>IF(Students!A314="","",Students!A314)</f>
        <v/>
      </c>
      <c r="B320">
        <f>IF($A320="","",Students!B314)</f>
        <v/>
      </c>
      <c r="C320">
        <f>IF($A320="","",Students!C314)</f>
        <v/>
      </c>
      <c r="D320">
        <f>IF($A320="","",COUNTIFS(Assessments!G:G,$A320,Assessments!B:B,"&gt;="&amp;$B$4,Assessments!B:B,"&lt;="&amp;$B$5))</f>
        <v/>
      </c>
      <c r="E320">
        <f>IF($D320=0,"",ROUND(AVERAGEIFS(Assessments!J:J,Assessments!G:G,$A320,Assessments!B:B,"&gt;="&amp;$B$4,Assessments!B:B,"&lt;="&amp;$B$5),0))</f>
        <v/>
      </c>
      <c r="F320">
        <f>IF($D320=0,"",IFERROR(AVERAGEIFS(Assessments!J:J,Assessments!G:G,$A320,Assessments!B:B,$B$5),0)-IFERROR(AVERAGEIFS(Assessments!J:J,Assessments!G:G,$A320,Assessments!B:B,$B$4),0))</f>
        <v/>
      </c>
      <c r="G320">
        <f>IF($D320=0,"",MAXIFS(Assessments!J:J,Assessments!G:G,$A320,Assessments!B:B,"&gt;="&amp;$B$4,Assessments!B:B,"&lt;="&amp;$B$5))</f>
        <v/>
      </c>
      <c r="H320">
        <f>IF($D320=0,"",MINIFS(Assessments!J:J,Assessments!G:G,$A320,Assessments!B:B,"&gt;="&amp;$B$4,Assessments!B:B,"&lt;="&amp;$B$5))</f>
        <v/>
      </c>
    </row>
    <row r="321">
      <c r="A321">
        <f>IF(Students!A315="","",Students!A315)</f>
        <v/>
      </c>
      <c r="B321">
        <f>IF($A321="","",Students!B315)</f>
        <v/>
      </c>
      <c r="C321">
        <f>IF($A321="","",Students!C315)</f>
        <v/>
      </c>
      <c r="D321">
        <f>IF($A321="","",COUNTIFS(Assessments!G:G,$A321,Assessments!B:B,"&gt;="&amp;$B$4,Assessments!B:B,"&lt;="&amp;$B$5))</f>
        <v/>
      </c>
      <c r="E321">
        <f>IF($D321=0,"",ROUND(AVERAGEIFS(Assessments!J:J,Assessments!G:G,$A321,Assessments!B:B,"&gt;="&amp;$B$4,Assessments!B:B,"&lt;="&amp;$B$5),0))</f>
        <v/>
      </c>
      <c r="F321">
        <f>IF($D321=0,"",IFERROR(AVERAGEIFS(Assessments!J:J,Assessments!G:G,$A321,Assessments!B:B,$B$5),0)-IFERROR(AVERAGEIFS(Assessments!J:J,Assessments!G:G,$A321,Assessments!B:B,$B$4),0))</f>
        <v/>
      </c>
      <c r="G321">
        <f>IF($D321=0,"",MAXIFS(Assessments!J:J,Assessments!G:G,$A321,Assessments!B:B,"&gt;="&amp;$B$4,Assessments!B:B,"&lt;="&amp;$B$5))</f>
        <v/>
      </c>
      <c r="H321">
        <f>IF($D321=0,"",MINIFS(Assessments!J:J,Assessments!G:G,$A321,Assessments!B:B,"&gt;="&amp;$B$4,Assessments!B:B,"&lt;="&amp;$B$5))</f>
        <v/>
      </c>
    </row>
    <row r="322">
      <c r="A322">
        <f>IF(Students!A316="","",Students!A316)</f>
        <v/>
      </c>
      <c r="B322">
        <f>IF($A322="","",Students!B316)</f>
        <v/>
      </c>
      <c r="C322">
        <f>IF($A322="","",Students!C316)</f>
        <v/>
      </c>
      <c r="D322">
        <f>IF($A322="","",COUNTIFS(Assessments!G:G,$A322,Assessments!B:B,"&gt;="&amp;$B$4,Assessments!B:B,"&lt;="&amp;$B$5))</f>
        <v/>
      </c>
      <c r="E322">
        <f>IF($D322=0,"",ROUND(AVERAGEIFS(Assessments!J:J,Assessments!G:G,$A322,Assessments!B:B,"&gt;="&amp;$B$4,Assessments!B:B,"&lt;="&amp;$B$5),0))</f>
        <v/>
      </c>
      <c r="F322">
        <f>IF($D322=0,"",IFERROR(AVERAGEIFS(Assessments!J:J,Assessments!G:G,$A322,Assessments!B:B,$B$5),0)-IFERROR(AVERAGEIFS(Assessments!J:J,Assessments!G:G,$A322,Assessments!B:B,$B$4),0))</f>
        <v/>
      </c>
      <c r="G322">
        <f>IF($D322=0,"",MAXIFS(Assessments!J:J,Assessments!G:G,$A322,Assessments!B:B,"&gt;="&amp;$B$4,Assessments!B:B,"&lt;="&amp;$B$5))</f>
        <v/>
      </c>
      <c r="H322">
        <f>IF($D322=0,"",MINIFS(Assessments!J:J,Assessments!G:G,$A322,Assessments!B:B,"&gt;="&amp;$B$4,Assessments!B:B,"&lt;="&amp;$B$5))</f>
        <v/>
      </c>
    </row>
    <row r="323">
      <c r="A323">
        <f>IF(Students!A317="","",Students!A317)</f>
        <v/>
      </c>
      <c r="B323">
        <f>IF($A323="","",Students!B317)</f>
        <v/>
      </c>
      <c r="C323">
        <f>IF($A323="","",Students!C317)</f>
        <v/>
      </c>
      <c r="D323">
        <f>IF($A323="","",COUNTIFS(Assessments!G:G,$A323,Assessments!B:B,"&gt;="&amp;$B$4,Assessments!B:B,"&lt;="&amp;$B$5))</f>
        <v/>
      </c>
      <c r="E323">
        <f>IF($D323=0,"",ROUND(AVERAGEIFS(Assessments!J:J,Assessments!G:G,$A323,Assessments!B:B,"&gt;="&amp;$B$4,Assessments!B:B,"&lt;="&amp;$B$5),0))</f>
        <v/>
      </c>
      <c r="F323">
        <f>IF($D323=0,"",IFERROR(AVERAGEIFS(Assessments!J:J,Assessments!G:G,$A323,Assessments!B:B,$B$5),0)-IFERROR(AVERAGEIFS(Assessments!J:J,Assessments!G:G,$A323,Assessments!B:B,$B$4),0))</f>
        <v/>
      </c>
      <c r="G323">
        <f>IF($D323=0,"",MAXIFS(Assessments!J:J,Assessments!G:G,$A323,Assessments!B:B,"&gt;="&amp;$B$4,Assessments!B:B,"&lt;="&amp;$B$5))</f>
        <v/>
      </c>
      <c r="H323">
        <f>IF($D323=0,"",MINIFS(Assessments!J:J,Assessments!G:G,$A323,Assessments!B:B,"&gt;="&amp;$B$4,Assessments!B:B,"&lt;="&amp;$B$5))</f>
        <v/>
      </c>
    </row>
    <row r="324">
      <c r="A324">
        <f>IF(Students!A318="","",Students!A318)</f>
        <v/>
      </c>
      <c r="B324">
        <f>IF($A324="","",Students!B318)</f>
        <v/>
      </c>
      <c r="C324">
        <f>IF($A324="","",Students!C318)</f>
        <v/>
      </c>
      <c r="D324">
        <f>IF($A324="","",COUNTIFS(Assessments!G:G,$A324,Assessments!B:B,"&gt;="&amp;$B$4,Assessments!B:B,"&lt;="&amp;$B$5))</f>
        <v/>
      </c>
      <c r="E324">
        <f>IF($D324=0,"",ROUND(AVERAGEIFS(Assessments!J:J,Assessments!G:G,$A324,Assessments!B:B,"&gt;="&amp;$B$4,Assessments!B:B,"&lt;="&amp;$B$5),0))</f>
        <v/>
      </c>
      <c r="F324">
        <f>IF($D324=0,"",IFERROR(AVERAGEIFS(Assessments!J:J,Assessments!G:G,$A324,Assessments!B:B,$B$5),0)-IFERROR(AVERAGEIFS(Assessments!J:J,Assessments!G:G,$A324,Assessments!B:B,$B$4),0))</f>
        <v/>
      </c>
      <c r="G324">
        <f>IF($D324=0,"",MAXIFS(Assessments!J:J,Assessments!G:G,$A324,Assessments!B:B,"&gt;="&amp;$B$4,Assessments!B:B,"&lt;="&amp;$B$5))</f>
        <v/>
      </c>
      <c r="H324">
        <f>IF($D324=0,"",MINIFS(Assessments!J:J,Assessments!G:G,$A324,Assessments!B:B,"&gt;="&amp;$B$4,Assessments!B:B,"&lt;="&amp;$B$5))</f>
        <v/>
      </c>
    </row>
    <row r="325">
      <c r="A325">
        <f>IF(Students!A319="","",Students!A319)</f>
        <v/>
      </c>
      <c r="B325">
        <f>IF($A325="","",Students!B319)</f>
        <v/>
      </c>
      <c r="C325">
        <f>IF($A325="","",Students!C319)</f>
        <v/>
      </c>
      <c r="D325">
        <f>IF($A325="","",COUNTIFS(Assessments!G:G,$A325,Assessments!B:B,"&gt;="&amp;$B$4,Assessments!B:B,"&lt;="&amp;$B$5))</f>
        <v/>
      </c>
      <c r="E325">
        <f>IF($D325=0,"",ROUND(AVERAGEIFS(Assessments!J:J,Assessments!G:G,$A325,Assessments!B:B,"&gt;="&amp;$B$4,Assessments!B:B,"&lt;="&amp;$B$5),0))</f>
        <v/>
      </c>
      <c r="F325">
        <f>IF($D325=0,"",IFERROR(AVERAGEIFS(Assessments!J:J,Assessments!G:G,$A325,Assessments!B:B,$B$5),0)-IFERROR(AVERAGEIFS(Assessments!J:J,Assessments!G:G,$A325,Assessments!B:B,$B$4),0))</f>
        <v/>
      </c>
      <c r="G325">
        <f>IF($D325=0,"",MAXIFS(Assessments!J:J,Assessments!G:G,$A325,Assessments!B:B,"&gt;="&amp;$B$4,Assessments!B:B,"&lt;="&amp;$B$5))</f>
        <v/>
      </c>
      <c r="H325">
        <f>IF($D325=0,"",MINIFS(Assessments!J:J,Assessments!G:G,$A325,Assessments!B:B,"&gt;="&amp;$B$4,Assessments!B:B,"&lt;="&amp;$B$5))</f>
        <v/>
      </c>
    </row>
    <row r="326">
      <c r="A326">
        <f>IF(Students!A320="","",Students!A320)</f>
        <v/>
      </c>
      <c r="B326">
        <f>IF($A326="","",Students!B320)</f>
        <v/>
      </c>
      <c r="C326">
        <f>IF($A326="","",Students!C320)</f>
        <v/>
      </c>
      <c r="D326">
        <f>IF($A326="","",COUNTIFS(Assessments!G:G,$A326,Assessments!B:B,"&gt;="&amp;$B$4,Assessments!B:B,"&lt;="&amp;$B$5))</f>
        <v/>
      </c>
      <c r="E326">
        <f>IF($D326=0,"",ROUND(AVERAGEIFS(Assessments!J:J,Assessments!G:G,$A326,Assessments!B:B,"&gt;="&amp;$B$4,Assessments!B:B,"&lt;="&amp;$B$5),0))</f>
        <v/>
      </c>
      <c r="F326">
        <f>IF($D326=0,"",IFERROR(AVERAGEIFS(Assessments!J:J,Assessments!G:G,$A326,Assessments!B:B,$B$5),0)-IFERROR(AVERAGEIFS(Assessments!J:J,Assessments!G:G,$A326,Assessments!B:B,$B$4),0))</f>
        <v/>
      </c>
      <c r="G326">
        <f>IF($D326=0,"",MAXIFS(Assessments!J:J,Assessments!G:G,$A326,Assessments!B:B,"&gt;="&amp;$B$4,Assessments!B:B,"&lt;="&amp;$B$5))</f>
        <v/>
      </c>
      <c r="H326">
        <f>IF($D326=0,"",MINIFS(Assessments!J:J,Assessments!G:G,$A326,Assessments!B:B,"&gt;="&amp;$B$4,Assessments!B:B,"&lt;="&amp;$B$5))</f>
        <v/>
      </c>
    </row>
    <row r="327">
      <c r="A327">
        <f>IF(Students!A321="","",Students!A321)</f>
        <v/>
      </c>
      <c r="B327">
        <f>IF($A327="","",Students!B321)</f>
        <v/>
      </c>
      <c r="C327">
        <f>IF($A327="","",Students!C321)</f>
        <v/>
      </c>
      <c r="D327">
        <f>IF($A327="","",COUNTIFS(Assessments!G:G,$A327,Assessments!B:B,"&gt;="&amp;$B$4,Assessments!B:B,"&lt;="&amp;$B$5))</f>
        <v/>
      </c>
      <c r="E327">
        <f>IF($D327=0,"",ROUND(AVERAGEIFS(Assessments!J:J,Assessments!G:G,$A327,Assessments!B:B,"&gt;="&amp;$B$4,Assessments!B:B,"&lt;="&amp;$B$5),0))</f>
        <v/>
      </c>
      <c r="F327">
        <f>IF($D327=0,"",IFERROR(AVERAGEIFS(Assessments!J:J,Assessments!G:G,$A327,Assessments!B:B,$B$5),0)-IFERROR(AVERAGEIFS(Assessments!J:J,Assessments!G:G,$A327,Assessments!B:B,$B$4),0))</f>
        <v/>
      </c>
      <c r="G327">
        <f>IF($D327=0,"",MAXIFS(Assessments!J:J,Assessments!G:G,$A327,Assessments!B:B,"&gt;="&amp;$B$4,Assessments!B:B,"&lt;="&amp;$B$5))</f>
        <v/>
      </c>
      <c r="H327">
        <f>IF($D327=0,"",MINIFS(Assessments!J:J,Assessments!G:G,$A327,Assessments!B:B,"&gt;="&amp;$B$4,Assessments!B:B,"&lt;="&amp;$B$5))</f>
        <v/>
      </c>
    </row>
    <row r="328">
      <c r="A328">
        <f>IF(Students!A322="","",Students!A322)</f>
        <v/>
      </c>
      <c r="B328">
        <f>IF($A328="","",Students!B322)</f>
        <v/>
      </c>
      <c r="C328">
        <f>IF($A328="","",Students!C322)</f>
        <v/>
      </c>
      <c r="D328">
        <f>IF($A328="","",COUNTIFS(Assessments!G:G,$A328,Assessments!B:B,"&gt;="&amp;$B$4,Assessments!B:B,"&lt;="&amp;$B$5))</f>
        <v/>
      </c>
      <c r="E328">
        <f>IF($D328=0,"",ROUND(AVERAGEIFS(Assessments!J:J,Assessments!G:G,$A328,Assessments!B:B,"&gt;="&amp;$B$4,Assessments!B:B,"&lt;="&amp;$B$5),0))</f>
        <v/>
      </c>
      <c r="F328">
        <f>IF($D328=0,"",IFERROR(AVERAGEIFS(Assessments!J:J,Assessments!G:G,$A328,Assessments!B:B,$B$5),0)-IFERROR(AVERAGEIFS(Assessments!J:J,Assessments!G:G,$A328,Assessments!B:B,$B$4),0))</f>
        <v/>
      </c>
      <c r="G328">
        <f>IF($D328=0,"",MAXIFS(Assessments!J:J,Assessments!G:G,$A328,Assessments!B:B,"&gt;="&amp;$B$4,Assessments!B:B,"&lt;="&amp;$B$5))</f>
        <v/>
      </c>
      <c r="H328">
        <f>IF($D328=0,"",MINIFS(Assessments!J:J,Assessments!G:G,$A328,Assessments!B:B,"&gt;="&amp;$B$4,Assessments!B:B,"&lt;="&amp;$B$5))</f>
        <v/>
      </c>
    </row>
    <row r="329">
      <c r="A329">
        <f>IF(Students!A323="","",Students!A323)</f>
        <v/>
      </c>
      <c r="B329">
        <f>IF($A329="","",Students!B323)</f>
        <v/>
      </c>
      <c r="C329">
        <f>IF($A329="","",Students!C323)</f>
        <v/>
      </c>
      <c r="D329">
        <f>IF($A329="","",COUNTIFS(Assessments!G:G,$A329,Assessments!B:B,"&gt;="&amp;$B$4,Assessments!B:B,"&lt;="&amp;$B$5))</f>
        <v/>
      </c>
      <c r="E329">
        <f>IF($D329=0,"",ROUND(AVERAGEIFS(Assessments!J:J,Assessments!G:G,$A329,Assessments!B:B,"&gt;="&amp;$B$4,Assessments!B:B,"&lt;="&amp;$B$5),0))</f>
        <v/>
      </c>
      <c r="F329">
        <f>IF($D329=0,"",IFERROR(AVERAGEIFS(Assessments!J:J,Assessments!G:G,$A329,Assessments!B:B,$B$5),0)-IFERROR(AVERAGEIFS(Assessments!J:J,Assessments!G:G,$A329,Assessments!B:B,$B$4),0))</f>
        <v/>
      </c>
      <c r="G329">
        <f>IF($D329=0,"",MAXIFS(Assessments!J:J,Assessments!G:G,$A329,Assessments!B:B,"&gt;="&amp;$B$4,Assessments!B:B,"&lt;="&amp;$B$5))</f>
        <v/>
      </c>
      <c r="H329">
        <f>IF($D329=0,"",MINIFS(Assessments!J:J,Assessments!G:G,$A329,Assessments!B:B,"&gt;="&amp;$B$4,Assessments!B:B,"&lt;="&amp;$B$5))</f>
        <v/>
      </c>
    </row>
    <row r="330">
      <c r="A330">
        <f>IF(Students!A324="","",Students!A324)</f>
        <v/>
      </c>
      <c r="B330">
        <f>IF($A330="","",Students!B324)</f>
        <v/>
      </c>
      <c r="C330">
        <f>IF($A330="","",Students!C324)</f>
        <v/>
      </c>
      <c r="D330">
        <f>IF($A330="","",COUNTIFS(Assessments!G:G,$A330,Assessments!B:B,"&gt;="&amp;$B$4,Assessments!B:B,"&lt;="&amp;$B$5))</f>
        <v/>
      </c>
      <c r="E330">
        <f>IF($D330=0,"",ROUND(AVERAGEIFS(Assessments!J:J,Assessments!G:G,$A330,Assessments!B:B,"&gt;="&amp;$B$4,Assessments!B:B,"&lt;="&amp;$B$5),0))</f>
        <v/>
      </c>
      <c r="F330">
        <f>IF($D330=0,"",IFERROR(AVERAGEIFS(Assessments!J:J,Assessments!G:G,$A330,Assessments!B:B,$B$5),0)-IFERROR(AVERAGEIFS(Assessments!J:J,Assessments!G:G,$A330,Assessments!B:B,$B$4),0))</f>
        <v/>
      </c>
      <c r="G330">
        <f>IF($D330=0,"",MAXIFS(Assessments!J:J,Assessments!G:G,$A330,Assessments!B:B,"&gt;="&amp;$B$4,Assessments!B:B,"&lt;="&amp;$B$5))</f>
        <v/>
      </c>
      <c r="H330">
        <f>IF($D330=0,"",MINIFS(Assessments!J:J,Assessments!G:G,$A330,Assessments!B:B,"&gt;="&amp;$B$4,Assessments!B:B,"&lt;="&amp;$B$5))</f>
        <v/>
      </c>
    </row>
    <row r="331">
      <c r="A331">
        <f>IF(Students!A325="","",Students!A325)</f>
        <v/>
      </c>
      <c r="B331">
        <f>IF($A331="","",Students!B325)</f>
        <v/>
      </c>
      <c r="C331">
        <f>IF($A331="","",Students!C325)</f>
        <v/>
      </c>
      <c r="D331">
        <f>IF($A331="","",COUNTIFS(Assessments!G:G,$A331,Assessments!B:B,"&gt;="&amp;$B$4,Assessments!B:B,"&lt;="&amp;$B$5))</f>
        <v/>
      </c>
      <c r="E331">
        <f>IF($D331=0,"",ROUND(AVERAGEIFS(Assessments!J:J,Assessments!G:G,$A331,Assessments!B:B,"&gt;="&amp;$B$4,Assessments!B:B,"&lt;="&amp;$B$5),0))</f>
        <v/>
      </c>
      <c r="F331">
        <f>IF($D331=0,"",IFERROR(AVERAGEIFS(Assessments!J:J,Assessments!G:G,$A331,Assessments!B:B,$B$5),0)-IFERROR(AVERAGEIFS(Assessments!J:J,Assessments!G:G,$A331,Assessments!B:B,$B$4),0))</f>
        <v/>
      </c>
      <c r="G331">
        <f>IF($D331=0,"",MAXIFS(Assessments!J:J,Assessments!G:G,$A331,Assessments!B:B,"&gt;="&amp;$B$4,Assessments!B:B,"&lt;="&amp;$B$5))</f>
        <v/>
      </c>
      <c r="H331">
        <f>IF($D331=0,"",MINIFS(Assessments!J:J,Assessments!G:G,$A331,Assessments!B:B,"&gt;="&amp;$B$4,Assessments!B:B,"&lt;="&amp;$B$5))</f>
        <v/>
      </c>
    </row>
    <row r="332">
      <c r="A332">
        <f>IF(Students!A326="","",Students!A326)</f>
        <v/>
      </c>
      <c r="B332">
        <f>IF($A332="","",Students!B326)</f>
        <v/>
      </c>
      <c r="C332">
        <f>IF($A332="","",Students!C326)</f>
        <v/>
      </c>
      <c r="D332">
        <f>IF($A332="","",COUNTIFS(Assessments!G:G,$A332,Assessments!B:B,"&gt;="&amp;$B$4,Assessments!B:B,"&lt;="&amp;$B$5))</f>
        <v/>
      </c>
      <c r="E332">
        <f>IF($D332=0,"",ROUND(AVERAGEIFS(Assessments!J:J,Assessments!G:G,$A332,Assessments!B:B,"&gt;="&amp;$B$4,Assessments!B:B,"&lt;="&amp;$B$5),0))</f>
        <v/>
      </c>
      <c r="F332">
        <f>IF($D332=0,"",IFERROR(AVERAGEIFS(Assessments!J:J,Assessments!G:G,$A332,Assessments!B:B,$B$5),0)-IFERROR(AVERAGEIFS(Assessments!J:J,Assessments!G:G,$A332,Assessments!B:B,$B$4),0))</f>
        <v/>
      </c>
      <c r="G332">
        <f>IF($D332=0,"",MAXIFS(Assessments!J:J,Assessments!G:G,$A332,Assessments!B:B,"&gt;="&amp;$B$4,Assessments!B:B,"&lt;="&amp;$B$5))</f>
        <v/>
      </c>
      <c r="H332">
        <f>IF($D332=0,"",MINIFS(Assessments!J:J,Assessments!G:G,$A332,Assessments!B:B,"&gt;="&amp;$B$4,Assessments!B:B,"&lt;="&amp;$B$5))</f>
        <v/>
      </c>
    </row>
    <row r="333">
      <c r="A333">
        <f>IF(Students!A327="","",Students!A327)</f>
        <v/>
      </c>
      <c r="B333">
        <f>IF($A333="","",Students!B327)</f>
        <v/>
      </c>
      <c r="C333">
        <f>IF($A333="","",Students!C327)</f>
        <v/>
      </c>
      <c r="D333">
        <f>IF($A333="","",COUNTIFS(Assessments!G:G,$A333,Assessments!B:B,"&gt;="&amp;$B$4,Assessments!B:B,"&lt;="&amp;$B$5))</f>
        <v/>
      </c>
      <c r="E333">
        <f>IF($D333=0,"",ROUND(AVERAGEIFS(Assessments!J:J,Assessments!G:G,$A333,Assessments!B:B,"&gt;="&amp;$B$4,Assessments!B:B,"&lt;="&amp;$B$5),0))</f>
        <v/>
      </c>
      <c r="F333">
        <f>IF($D333=0,"",IFERROR(AVERAGEIFS(Assessments!J:J,Assessments!G:G,$A333,Assessments!B:B,$B$5),0)-IFERROR(AVERAGEIFS(Assessments!J:J,Assessments!G:G,$A333,Assessments!B:B,$B$4),0))</f>
        <v/>
      </c>
      <c r="G333">
        <f>IF($D333=0,"",MAXIFS(Assessments!J:J,Assessments!G:G,$A333,Assessments!B:B,"&gt;="&amp;$B$4,Assessments!B:B,"&lt;="&amp;$B$5))</f>
        <v/>
      </c>
      <c r="H333">
        <f>IF($D333=0,"",MINIFS(Assessments!J:J,Assessments!G:G,$A333,Assessments!B:B,"&gt;="&amp;$B$4,Assessments!B:B,"&lt;="&amp;$B$5))</f>
        <v/>
      </c>
    </row>
    <row r="334">
      <c r="A334">
        <f>IF(Students!A328="","",Students!A328)</f>
        <v/>
      </c>
      <c r="B334">
        <f>IF($A334="","",Students!B328)</f>
        <v/>
      </c>
      <c r="C334">
        <f>IF($A334="","",Students!C328)</f>
        <v/>
      </c>
      <c r="D334">
        <f>IF($A334="","",COUNTIFS(Assessments!G:G,$A334,Assessments!B:B,"&gt;="&amp;$B$4,Assessments!B:B,"&lt;="&amp;$B$5))</f>
        <v/>
      </c>
      <c r="E334">
        <f>IF($D334=0,"",ROUND(AVERAGEIFS(Assessments!J:J,Assessments!G:G,$A334,Assessments!B:B,"&gt;="&amp;$B$4,Assessments!B:B,"&lt;="&amp;$B$5),0))</f>
        <v/>
      </c>
      <c r="F334">
        <f>IF($D334=0,"",IFERROR(AVERAGEIFS(Assessments!J:J,Assessments!G:G,$A334,Assessments!B:B,$B$5),0)-IFERROR(AVERAGEIFS(Assessments!J:J,Assessments!G:G,$A334,Assessments!B:B,$B$4),0))</f>
        <v/>
      </c>
      <c r="G334">
        <f>IF($D334=0,"",MAXIFS(Assessments!J:J,Assessments!G:G,$A334,Assessments!B:B,"&gt;="&amp;$B$4,Assessments!B:B,"&lt;="&amp;$B$5))</f>
        <v/>
      </c>
      <c r="H334">
        <f>IF($D334=0,"",MINIFS(Assessments!J:J,Assessments!G:G,$A334,Assessments!B:B,"&gt;="&amp;$B$4,Assessments!B:B,"&lt;="&amp;$B$5))</f>
        <v/>
      </c>
    </row>
    <row r="335">
      <c r="A335">
        <f>IF(Students!A329="","",Students!A329)</f>
        <v/>
      </c>
      <c r="B335">
        <f>IF($A335="","",Students!B329)</f>
        <v/>
      </c>
      <c r="C335">
        <f>IF($A335="","",Students!C329)</f>
        <v/>
      </c>
      <c r="D335">
        <f>IF($A335="","",COUNTIFS(Assessments!G:G,$A335,Assessments!B:B,"&gt;="&amp;$B$4,Assessments!B:B,"&lt;="&amp;$B$5))</f>
        <v/>
      </c>
      <c r="E335">
        <f>IF($D335=0,"",ROUND(AVERAGEIFS(Assessments!J:J,Assessments!G:G,$A335,Assessments!B:B,"&gt;="&amp;$B$4,Assessments!B:B,"&lt;="&amp;$B$5),0))</f>
        <v/>
      </c>
      <c r="F335">
        <f>IF($D335=0,"",IFERROR(AVERAGEIFS(Assessments!J:J,Assessments!G:G,$A335,Assessments!B:B,$B$5),0)-IFERROR(AVERAGEIFS(Assessments!J:J,Assessments!G:G,$A335,Assessments!B:B,$B$4),0))</f>
        <v/>
      </c>
      <c r="G335">
        <f>IF($D335=0,"",MAXIFS(Assessments!J:J,Assessments!G:G,$A335,Assessments!B:B,"&gt;="&amp;$B$4,Assessments!B:B,"&lt;="&amp;$B$5))</f>
        <v/>
      </c>
      <c r="H335">
        <f>IF($D335=0,"",MINIFS(Assessments!J:J,Assessments!G:G,$A335,Assessments!B:B,"&gt;="&amp;$B$4,Assessments!B:B,"&lt;="&amp;$B$5))</f>
        <v/>
      </c>
    </row>
    <row r="336">
      <c r="A336">
        <f>IF(Students!A330="","",Students!A330)</f>
        <v/>
      </c>
      <c r="B336">
        <f>IF($A336="","",Students!B330)</f>
        <v/>
      </c>
      <c r="C336">
        <f>IF($A336="","",Students!C330)</f>
        <v/>
      </c>
      <c r="D336">
        <f>IF($A336="","",COUNTIFS(Assessments!G:G,$A336,Assessments!B:B,"&gt;="&amp;$B$4,Assessments!B:B,"&lt;="&amp;$B$5))</f>
        <v/>
      </c>
      <c r="E336">
        <f>IF($D336=0,"",ROUND(AVERAGEIFS(Assessments!J:J,Assessments!G:G,$A336,Assessments!B:B,"&gt;="&amp;$B$4,Assessments!B:B,"&lt;="&amp;$B$5),0))</f>
        <v/>
      </c>
      <c r="F336">
        <f>IF($D336=0,"",IFERROR(AVERAGEIFS(Assessments!J:J,Assessments!G:G,$A336,Assessments!B:B,$B$5),0)-IFERROR(AVERAGEIFS(Assessments!J:J,Assessments!G:G,$A336,Assessments!B:B,$B$4),0))</f>
        <v/>
      </c>
      <c r="G336">
        <f>IF($D336=0,"",MAXIFS(Assessments!J:J,Assessments!G:G,$A336,Assessments!B:B,"&gt;="&amp;$B$4,Assessments!B:B,"&lt;="&amp;$B$5))</f>
        <v/>
      </c>
      <c r="H336">
        <f>IF($D336=0,"",MINIFS(Assessments!J:J,Assessments!G:G,$A336,Assessments!B:B,"&gt;="&amp;$B$4,Assessments!B:B,"&lt;="&amp;$B$5))</f>
        <v/>
      </c>
    </row>
    <row r="337">
      <c r="A337">
        <f>IF(Students!A331="","",Students!A331)</f>
        <v/>
      </c>
      <c r="B337">
        <f>IF($A337="","",Students!B331)</f>
        <v/>
      </c>
      <c r="C337">
        <f>IF($A337="","",Students!C331)</f>
        <v/>
      </c>
      <c r="D337">
        <f>IF($A337="","",COUNTIFS(Assessments!G:G,$A337,Assessments!B:B,"&gt;="&amp;$B$4,Assessments!B:B,"&lt;="&amp;$B$5))</f>
        <v/>
      </c>
      <c r="E337">
        <f>IF($D337=0,"",ROUND(AVERAGEIFS(Assessments!J:J,Assessments!G:G,$A337,Assessments!B:B,"&gt;="&amp;$B$4,Assessments!B:B,"&lt;="&amp;$B$5),0))</f>
        <v/>
      </c>
      <c r="F337">
        <f>IF($D337=0,"",IFERROR(AVERAGEIFS(Assessments!J:J,Assessments!G:G,$A337,Assessments!B:B,$B$5),0)-IFERROR(AVERAGEIFS(Assessments!J:J,Assessments!G:G,$A337,Assessments!B:B,$B$4),0))</f>
        <v/>
      </c>
      <c r="G337">
        <f>IF($D337=0,"",MAXIFS(Assessments!J:J,Assessments!G:G,$A337,Assessments!B:B,"&gt;="&amp;$B$4,Assessments!B:B,"&lt;="&amp;$B$5))</f>
        <v/>
      </c>
      <c r="H337">
        <f>IF($D337=0,"",MINIFS(Assessments!J:J,Assessments!G:G,$A337,Assessments!B:B,"&gt;="&amp;$B$4,Assessments!B:B,"&lt;="&amp;$B$5))</f>
        <v/>
      </c>
    </row>
    <row r="338">
      <c r="A338">
        <f>IF(Students!A332="","",Students!A332)</f>
        <v/>
      </c>
      <c r="B338">
        <f>IF($A338="","",Students!B332)</f>
        <v/>
      </c>
      <c r="C338">
        <f>IF($A338="","",Students!C332)</f>
        <v/>
      </c>
      <c r="D338">
        <f>IF($A338="","",COUNTIFS(Assessments!G:G,$A338,Assessments!B:B,"&gt;="&amp;$B$4,Assessments!B:B,"&lt;="&amp;$B$5))</f>
        <v/>
      </c>
      <c r="E338">
        <f>IF($D338=0,"",ROUND(AVERAGEIFS(Assessments!J:J,Assessments!G:G,$A338,Assessments!B:B,"&gt;="&amp;$B$4,Assessments!B:B,"&lt;="&amp;$B$5),0))</f>
        <v/>
      </c>
      <c r="F338">
        <f>IF($D338=0,"",IFERROR(AVERAGEIFS(Assessments!J:J,Assessments!G:G,$A338,Assessments!B:B,$B$5),0)-IFERROR(AVERAGEIFS(Assessments!J:J,Assessments!G:G,$A338,Assessments!B:B,$B$4),0))</f>
        <v/>
      </c>
      <c r="G338">
        <f>IF($D338=0,"",MAXIFS(Assessments!J:J,Assessments!G:G,$A338,Assessments!B:B,"&gt;="&amp;$B$4,Assessments!B:B,"&lt;="&amp;$B$5))</f>
        <v/>
      </c>
      <c r="H338">
        <f>IF($D338=0,"",MINIFS(Assessments!J:J,Assessments!G:G,$A338,Assessments!B:B,"&gt;="&amp;$B$4,Assessments!B:B,"&lt;="&amp;$B$5))</f>
        <v/>
      </c>
    </row>
    <row r="339">
      <c r="A339">
        <f>IF(Students!A333="","",Students!A333)</f>
        <v/>
      </c>
      <c r="B339">
        <f>IF($A339="","",Students!B333)</f>
        <v/>
      </c>
      <c r="C339">
        <f>IF($A339="","",Students!C333)</f>
        <v/>
      </c>
      <c r="D339">
        <f>IF($A339="","",COUNTIFS(Assessments!G:G,$A339,Assessments!B:B,"&gt;="&amp;$B$4,Assessments!B:B,"&lt;="&amp;$B$5))</f>
        <v/>
      </c>
      <c r="E339">
        <f>IF($D339=0,"",ROUND(AVERAGEIFS(Assessments!J:J,Assessments!G:G,$A339,Assessments!B:B,"&gt;="&amp;$B$4,Assessments!B:B,"&lt;="&amp;$B$5),0))</f>
        <v/>
      </c>
      <c r="F339">
        <f>IF($D339=0,"",IFERROR(AVERAGEIFS(Assessments!J:J,Assessments!G:G,$A339,Assessments!B:B,$B$5),0)-IFERROR(AVERAGEIFS(Assessments!J:J,Assessments!G:G,$A339,Assessments!B:B,$B$4),0))</f>
        <v/>
      </c>
      <c r="G339">
        <f>IF($D339=0,"",MAXIFS(Assessments!J:J,Assessments!G:G,$A339,Assessments!B:B,"&gt;="&amp;$B$4,Assessments!B:B,"&lt;="&amp;$B$5))</f>
        <v/>
      </c>
      <c r="H339">
        <f>IF($D339=0,"",MINIFS(Assessments!J:J,Assessments!G:G,$A339,Assessments!B:B,"&gt;="&amp;$B$4,Assessments!B:B,"&lt;="&amp;$B$5))</f>
        <v/>
      </c>
    </row>
    <row r="340">
      <c r="A340">
        <f>IF(Students!A334="","",Students!A334)</f>
        <v/>
      </c>
      <c r="B340">
        <f>IF($A340="","",Students!B334)</f>
        <v/>
      </c>
      <c r="C340">
        <f>IF($A340="","",Students!C334)</f>
        <v/>
      </c>
      <c r="D340">
        <f>IF($A340="","",COUNTIFS(Assessments!G:G,$A340,Assessments!B:B,"&gt;="&amp;$B$4,Assessments!B:B,"&lt;="&amp;$B$5))</f>
        <v/>
      </c>
      <c r="E340">
        <f>IF($D340=0,"",ROUND(AVERAGEIFS(Assessments!J:J,Assessments!G:G,$A340,Assessments!B:B,"&gt;="&amp;$B$4,Assessments!B:B,"&lt;="&amp;$B$5),0))</f>
        <v/>
      </c>
      <c r="F340">
        <f>IF($D340=0,"",IFERROR(AVERAGEIFS(Assessments!J:J,Assessments!G:G,$A340,Assessments!B:B,$B$5),0)-IFERROR(AVERAGEIFS(Assessments!J:J,Assessments!G:G,$A340,Assessments!B:B,$B$4),0))</f>
        <v/>
      </c>
      <c r="G340">
        <f>IF($D340=0,"",MAXIFS(Assessments!J:J,Assessments!G:G,$A340,Assessments!B:B,"&gt;="&amp;$B$4,Assessments!B:B,"&lt;="&amp;$B$5))</f>
        <v/>
      </c>
      <c r="H340">
        <f>IF($D340=0,"",MINIFS(Assessments!J:J,Assessments!G:G,$A340,Assessments!B:B,"&gt;="&amp;$B$4,Assessments!B:B,"&lt;="&amp;$B$5))</f>
        <v/>
      </c>
    </row>
    <row r="341">
      <c r="A341">
        <f>IF(Students!A335="","",Students!A335)</f>
        <v/>
      </c>
      <c r="B341">
        <f>IF($A341="","",Students!B335)</f>
        <v/>
      </c>
      <c r="C341">
        <f>IF($A341="","",Students!C335)</f>
        <v/>
      </c>
      <c r="D341">
        <f>IF($A341="","",COUNTIFS(Assessments!G:G,$A341,Assessments!B:B,"&gt;="&amp;$B$4,Assessments!B:B,"&lt;="&amp;$B$5))</f>
        <v/>
      </c>
      <c r="E341">
        <f>IF($D341=0,"",ROUND(AVERAGEIFS(Assessments!J:J,Assessments!G:G,$A341,Assessments!B:B,"&gt;="&amp;$B$4,Assessments!B:B,"&lt;="&amp;$B$5),0))</f>
        <v/>
      </c>
      <c r="F341">
        <f>IF($D341=0,"",IFERROR(AVERAGEIFS(Assessments!J:J,Assessments!G:G,$A341,Assessments!B:B,$B$5),0)-IFERROR(AVERAGEIFS(Assessments!J:J,Assessments!G:G,$A341,Assessments!B:B,$B$4),0))</f>
        <v/>
      </c>
      <c r="G341">
        <f>IF($D341=0,"",MAXIFS(Assessments!J:J,Assessments!G:G,$A341,Assessments!B:B,"&gt;="&amp;$B$4,Assessments!B:B,"&lt;="&amp;$B$5))</f>
        <v/>
      </c>
      <c r="H341">
        <f>IF($D341=0,"",MINIFS(Assessments!J:J,Assessments!G:G,$A341,Assessments!B:B,"&gt;="&amp;$B$4,Assessments!B:B,"&lt;="&amp;$B$5))</f>
        <v/>
      </c>
    </row>
    <row r="342">
      <c r="A342">
        <f>IF(Students!A336="","",Students!A336)</f>
        <v/>
      </c>
      <c r="B342">
        <f>IF($A342="","",Students!B336)</f>
        <v/>
      </c>
      <c r="C342">
        <f>IF($A342="","",Students!C336)</f>
        <v/>
      </c>
      <c r="D342">
        <f>IF($A342="","",COUNTIFS(Assessments!G:G,$A342,Assessments!B:B,"&gt;="&amp;$B$4,Assessments!B:B,"&lt;="&amp;$B$5))</f>
        <v/>
      </c>
      <c r="E342">
        <f>IF($D342=0,"",ROUND(AVERAGEIFS(Assessments!J:J,Assessments!G:G,$A342,Assessments!B:B,"&gt;="&amp;$B$4,Assessments!B:B,"&lt;="&amp;$B$5),0))</f>
        <v/>
      </c>
      <c r="F342">
        <f>IF($D342=0,"",IFERROR(AVERAGEIFS(Assessments!J:J,Assessments!G:G,$A342,Assessments!B:B,$B$5),0)-IFERROR(AVERAGEIFS(Assessments!J:J,Assessments!G:G,$A342,Assessments!B:B,$B$4),0))</f>
        <v/>
      </c>
      <c r="G342">
        <f>IF($D342=0,"",MAXIFS(Assessments!J:J,Assessments!G:G,$A342,Assessments!B:B,"&gt;="&amp;$B$4,Assessments!B:B,"&lt;="&amp;$B$5))</f>
        <v/>
      </c>
      <c r="H342">
        <f>IF($D342=0,"",MINIFS(Assessments!J:J,Assessments!G:G,$A342,Assessments!B:B,"&gt;="&amp;$B$4,Assessments!B:B,"&lt;="&amp;$B$5))</f>
        <v/>
      </c>
    </row>
    <row r="343">
      <c r="A343">
        <f>IF(Students!A337="","",Students!A337)</f>
        <v/>
      </c>
      <c r="B343">
        <f>IF($A343="","",Students!B337)</f>
        <v/>
      </c>
      <c r="C343">
        <f>IF($A343="","",Students!C337)</f>
        <v/>
      </c>
      <c r="D343">
        <f>IF($A343="","",COUNTIFS(Assessments!G:G,$A343,Assessments!B:B,"&gt;="&amp;$B$4,Assessments!B:B,"&lt;="&amp;$B$5))</f>
        <v/>
      </c>
      <c r="E343">
        <f>IF($D343=0,"",ROUND(AVERAGEIFS(Assessments!J:J,Assessments!G:G,$A343,Assessments!B:B,"&gt;="&amp;$B$4,Assessments!B:B,"&lt;="&amp;$B$5),0))</f>
        <v/>
      </c>
      <c r="F343">
        <f>IF($D343=0,"",IFERROR(AVERAGEIFS(Assessments!J:J,Assessments!G:G,$A343,Assessments!B:B,$B$5),0)-IFERROR(AVERAGEIFS(Assessments!J:J,Assessments!G:G,$A343,Assessments!B:B,$B$4),0))</f>
        <v/>
      </c>
      <c r="G343">
        <f>IF($D343=0,"",MAXIFS(Assessments!J:J,Assessments!G:G,$A343,Assessments!B:B,"&gt;="&amp;$B$4,Assessments!B:B,"&lt;="&amp;$B$5))</f>
        <v/>
      </c>
      <c r="H343">
        <f>IF($D343=0,"",MINIFS(Assessments!J:J,Assessments!G:G,$A343,Assessments!B:B,"&gt;="&amp;$B$4,Assessments!B:B,"&lt;="&amp;$B$5))</f>
        <v/>
      </c>
    </row>
    <row r="344">
      <c r="A344">
        <f>IF(Students!A338="","",Students!A338)</f>
        <v/>
      </c>
      <c r="B344">
        <f>IF($A344="","",Students!B338)</f>
        <v/>
      </c>
      <c r="C344">
        <f>IF($A344="","",Students!C338)</f>
        <v/>
      </c>
      <c r="D344">
        <f>IF($A344="","",COUNTIFS(Assessments!G:G,$A344,Assessments!B:B,"&gt;="&amp;$B$4,Assessments!B:B,"&lt;="&amp;$B$5))</f>
        <v/>
      </c>
      <c r="E344">
        <f>IF($D344=0,"",ROUND(AVERAGEIFS(Assessments!J:J,Assessments!G:G,$A344,Assessments!B:B,"&gt;="&amp;$B$4,Assessments!B:B,"&lt;="&amp;$B$5),0))</f>
        <v/>
      </c>
      <c r="F344">
        <f>IF($D344=0,"",IFERROR(AVERAGEIFS(Assessments!J:J,Assessments!G:G,$A344,Assessments!B:B,$B$5),0)-IFERROR(AVERAGEIFS(Assessments!J:J,Assessments!G:G,$A344,Assessments!B:B,$B$4),0))</f>
        <v/>
      </c>
      <c r="G344">
        <f>IF($D344=0,"",MAXIFS(Assessments!J:J,Assessments!G:G,$A344,Assessments!B:B,"&gt;="&amp;$B$4,Assessments!B:B,"&lt;="&amp;$B$5))</f>
        <v/>
      </c>
      <c r="H344">
        <f>IF($D344=0,"",MINIFS(Assessments!J:J,Assessments!G:G,$A344,Assessments!B:B,"&gt;="&amp;$B$4,Assessments!B:B,"&lt;="&amp;$B$5))</f>
        <v/>
      </c>
    </row>
    <row r="345">
      <c r="A345">
        <f>IF(Students!A339="","",Students!A339)</f>
        <v/>
      </c>
      <c r="B345">
        <f>IF($A345="","",Students!B339)</f>
        <v/>
      </c>
      <c r="C345">
        <f>IF($A345="","",Students!C339)</f>
        <v/>
      </c>
      <c r="D345">
        <f>IF($A345="","",COUNTIFS(Assessments!G:G,$A345,Assessments!B:B,"&gt;="&amp;$B$4,Assessments!B:B,"&lt;="&amp;$B$5))</f>
        <v/>
      </c>
      <c r="E345">
        <f>IF($D345=0,"",ROUND(AVERAGEIFS(Assessments!J:J,Assessments!G:G,$A345,Assessments!B:B,"&gt;="&amp;$B$4,Assessments!B:B,"&lt;="&amp;$B$5),0))</f>
        <v/>
      </c>
      <c r="F345">
        <f>IF($D345=0,"",IFERROR(AVERAGEIFS(Assessments!J:J,Assessments!G:G,$A345,Assessments!B:B,$B$5),0)-IFERROR(AVERAGEIFS(Assessments!J:J,Assessments!G:G,$A345,Assessments!B:B,$B$4),0))</f>
        <v/>
      </c>
      <c r="G345">
        <f>IF($D345=0,"",MAXIFS(Assessments!J:J,Assessments!G:G,$A345,Assessments!B:B,"&gt;="&amp;$B$4,Assessments!B:B,"&lt;="&amp;$B$5))</f>
        <v/>
      </c>
      <c r="H345">
        <f>IF($D345=0,"",MINIFS(Assessments!J:J,Assessments!G:G,$A345,Assessments!B:B,"&gt;="&amp;$B$4,Assessments!B:B,"&lt;="&amp;$B$5))</f>
        <v/>
      </c>
    </row>
    <row r="346">
      <c r="A346">
        <f>IF(Students!A340="","",Students!A340)</f>
        <v/>
      </c>
      <c r="B346">
        <f>IF($A346="","",Students!B340)</f>
        <v/>
      </c>
      <c r="C346">
        <f>IF($A346="","",Students!C340)</f>
        <v/>
      </c>
      <c r="D346">
        <f>IF($A346="","",COUNTIFS(Assessments!G:G,$A346,Assessments!B:B,"&gt;="&amp;$B$4,Assessments!B:B,"&lt;="&amp;$B$5))</f>
        <v/>
      </c>
      <c r="E346">
        <f>IF($D346=0,"",ROUND(AVERAGEIFS(Assessments!J:J,Assessments!G:G,$A346,Assessments!B:B,"&gt;="&amp;$B$4,Assessments!B:B,"&lt;="&amp;$B$5),0))</f>
        <v/>
      </c>
      <c r="F346">
        <f>IF($D346=0,"",IFERROR(AVERAGEIFS(Assessments!J:J,Assessments!G:G,$A346,Assessments!B:B,$B$5),0)-IFERROR(AVERAGEIFS(Assessments!J:J,Assessments!G:G,$A346,Assessments!B:B,$B$4),0))</f>
        <v/>
      </c>
      <c r="G346">
        <f>IF($D346=0,"",MAXIFS(Assessments!J:J,Assessments!G:G,$A346,Assessments!B:B,"&gt;="&amp;$B$4,Assessments!B:B,"&lt;="&amp;$B$5))</f>
        <v/>
      </c>
      <c r="H346">
        <f>IF($D346=0,"",MINIFS(Assessments!J:J,Assessments!G:G,$A346,Assessments!B:B,"&gt;="&amp;$B$4,Assessments!B:B,"&lt;="&amp;$B$5))</f>
        <v/>
      </c>
    </row>
    <row r="347">
      <c r="A347">
        <f>IF(Students!A341="","",Students!A341)</f>
        <v/>
      </c>
      <c r="B347">
        <f>IF($A347="","",Students!B341)</f>
        <v/>
      </c>
      <c r="C347">
        <f>IF($A347="","",Students!C341)</f>
        <v/>
      </c>
      <c r="D347">
        <f>IF($A347="","",COUNTIFS(Assessments!G:G,$A347,Assessments!B:B,"&gt;="&amp;$B$4,Assessments!B:B,"&lt;="&amp;$B$5))</f>
        <v/>
      </c>
      <c r="E347">
        <f>IF($D347=0,"",ROUND(AVERAGEIFS(Assessments!J:J,Assessments!G:G,$A347,Assessments!B:B,"&gt;="&amp;$B$4,Assessments!B:B,"&lt;="&amp;$B$5),0))</f>
        <v/>
      </c>
      <c r="F347">
        <f>IF($D347=0,"",IFERROR(AVERAGEIFS(Assessments!J:J,Assessments!G:G,$A347,Assessments!B:B,$B$5),0)-IFERROR(AVERAGEIFS(Assessments!J:J,Assessments!G:G,$A347,Assessments!B:B,$B$4),0))</f>
        <v/>
      </c>
      <c r="G347">
        <f>IF($D347=0,"",MAXIFS(Assessments!J:J,Assessments!G:G,$A347,Assessments!B:B,"&gt;="&amp;$B$4,Assessments!B:B,"&lt;="&amp;$B$5))</f>
        <v/>
      </c>
      <c r="H347">
        <f>IF($D347=0,"",MINIFS(Assessments!J:J,Assessments!G:G,$A347,Assessments!B:B,"&gt;="&amp;$B$4,Assessments!B:B,"&lt;="&amp;$B$5))</f>
        <v/>
      </c>
    </row>
    <row r="348">
      <c r="A348">
        <f>IF(Students!A342="","",Students!A342)</f>
        <v/>
      </c>
      <c r="B348">
        <f>IF($A348="","",Students!B342)</f>
        <v/>
      </c>
      <c r="C348">
        <f>IF($A348="","",Students!C342)</f>
        <v/>
      </c>
      <c r="D348">
        <f>IF($A348="","",COUNTIFS(Assessments!G:G,$A348,Assessments!B:B,"&gt;="&amp;$B$4,Assessments!B:B,"&lt;="&amp;$B$5))</f>
        <v/>
      </c>
      <c r="E348">
        <f>IF($D348=0,"",ROUND(AVERAGEIFS(Assessments!J:J,Assessments!G:G,$A348,Assessments!B:B,"&gt;="&amp;$B$4,Assessments!B:B,"&lt;="&amp;$B$5),0))</f>
        <v/>
      </c>
      <c r="F348">
        <f>IF($D348=0,"",IFERROR(AVERAGEIFS(Assessments!J:J,Assessments!G:G,$A348,Assessments!B:B,$B$5),0)-IFERROR(AVERAGEIFS(Assessments!J:J,Assessments!G:G,$A348,Assessments!B:B,$B$4),0))</f>
        <v/>
      </c>
      <c r="G348">
        <f>IF($D348=0,"",MAXIFS(Assessments!J:J,Assessments!G:G,$A348,Assessments!B:B,"&gt;="&amp;$B$4,Assessments!B:B,"&lt;="&amp;$B$5))</f>
        <v/>
      </c>
      <c r="H348">
        <f>IF($D348=0,"",MINIFS(Assessments!J:J,Assessments!G:G,$A348,Assessments!B:B,"&gt;="&amp;$B$4,Assessments!B:B,"&lt;="&amp;$B$5))</f>
        <v/>
      </c>
    </row>
    <row r="349">
      <c r="A349">
        <f>IF(Students!A343="","",Students!A343)</f>
        <v/>
      </c>
      <c r="B349">
        <f>IF($A349="","",Students!B343)</f>
        <v/>
      </c>
      <c r="C349">
        <f>IF($A349="","",Students!C343)</f>
        <v/>
      </c>
      <c r="D349">
        <f>IF($A349="","",COUNTIFS(Assessments!G:G,$A349,Assessments!B:B,"&gt;="&amp;$B$4,Assessments!B:B,"&lt;="&amp;$B$5))</f>
        <v/>
      </c>
      <c r="E349">
        <f>IF($D349=0,"",ROUND(AVERAGEIFS(Assessments!J:J,Assessments!G:G,$A349,Assessments!B:B,"&gt;="&amp;$B$4,Assessments!B:B,"&lt;="&amp;$B$5),0))</f>
        <v/>
      </c>
      <c r="F349">
        <f>IF($D349=0,"",IFERROR(AVERAGEIFS(Assessments!J:J,Assessments!G:G,$A349,Assessments!B:B,$B$5),0)-IFERROR(AVERAGEIFS(Assessments!J:J,Assessments!G:G,$A349,Assessments!B:B,$B$4),0))</f>
        <v/>
      </c>
      <c r="G349">
        <f>IF($D349=0,"",MAXIFS(Assessments!J:J,Assessments!G:G,$A349,Assessments!B:B,"&gt;="&amp;$B$4,Assessments!B:B,"&lt;="&amp;$B$5))</f>
        <v/>
      </c>
      <c r="H349">
        <f>IF($D349=0,"",MINIFS(Assessments!J:J,Assessments!G:G,$A349,Assessments!B:B,"&gt;="&amp;$B$4,Assessments!B:B,"&lt;="&amp;$B$5))</f>
        <v/>
      </c>
    </row>
    <row r="350">
      <c r="A350">
        <f>IF(Students!A344="","",Students!A344)</f>
        <v/>
      </c>
      <c r="B350">
        <f>IF($A350="","",Students!B344)</f>
        <v/>
      </c>
      <c r="C350">
        <f>IF($A350="","",Students!C344)</f>
        <v/>
      </c>
      <c r="D350">
        <f>IF($A350="","",COUNTIFS(Assessments!G:G,$A350,Assessments!B:B,"&gt;="&amp;$B$4,Assessments!B:B,"&lt;="&amp;$B$5))</f>
        <v/>
      </c>
      <c r="E350">
        <f>IF($D350=0,"",ROUND(AVERAGEIFS(Assessments!J:J,Assessments!G:G,$A350,Assessments!B:B,"&gt;="&amp;$B$4,Assessments!B:B,"&lt;="&amp;$B$5),0))</f>
        <v/>
      </c>
      <c r="F350">
        <f>IF($D350=0,"",IFERROR(AVERAGEIFS(Assessments!J:J,Assessments!G:G,$A350,Assessments!B:B,$B$5),0)-IFERROR(AVERAGEIFS(Assessments!J:J,Assessments!G:G,$A350,Assessments!B:B,$B$4),0))</f>
        <v/>
      </c>
      <c r="G350">
        <f>IF($D350=0,"",MAXIFS(Assessments!J:J,Assessments!G:G,$A350,Assessments!B:B,"&gt;="&amp;$B$4,Assessments!B:B,"&lt;="&amp;$B$5))</f>
        <v/>
      </c>
      <c r="H350">
        <f>IF($D350=0,"",MINIFS(Assessments!J:J,Assessments!G:G,$A350,Assessments!B:B,"&gt;="&amp;$B$4,Assessments!B:B,"&lt;="&amp;$B$5))</f>
        <v/>
      </c>
    </row>
    <row r="351">
      <c r="A351">
        <f>IF(Students!A345="","",Students!A345)</f>
        <v/>
      </c>
      <c r="B351">
        <f>IF($A351="","",Students!B345)</f>
        <v/>
      </c>
      <c r="C351">
        <f>IF($A351="","",Students!C345)</f>
        <v/>
      </c>
      <c r="D351">
        <f>IF($A351="","",COUNTIFS(Assessments!G:G,$A351,Assessments!B:B,"&gt;="&amp;$B$4,Assessments!B:B,"&lt;="&amp;$B$5))</f>
        <v/>
      </c>
      <c r="E351">
        <f>IF($D351=0,"",ROUND(AVERAGEIFS(Assessments!J:J,Assessments!G:G,$A351,Assessments!B:B,"&gt;="&amp;$B$4,Assessments!B:B,"&lt;="&amp;$B$5),0))</f>
        <v/>
      </c>
      <c r="F351">
        <f>IF($D351=0,"",IFERROR(AVERAGEIFS(Assessments!J:J,Assessments!G:G,$A351,Assessments!B:B,$B$5),0)-IFERROR(AVERAGEIFS(Assessments!J:J,Assessments!G:G,$A351,Assessments!B:B,$B$4),0))</f>
        <v/>
      </c>
      <c r="G351">
        <f>IF($D351=0,"",MAXIFS(Assessments!J:J,Assessments!G:G,$A351,Assessments!B:B,"&gt;="&amp;$B$4,Assessments!B:B,"&lt;="&amp;$B$5))</f>
        <v/>
      </c>
      <c r="H351">
        <f>IF($D351=0,"",MINIFS(Assessments!J:J,Assessments!G:G,$A351,Assessments!B:B,"&gt;="&amp;$B$4,Assessments!B:B,"&lt;="&amp;$B$5))</f>
        <v/>
      </c>
    </row>
    <row r="352">
      <c r="A352">
        <f>IF(Students!A346="","",Students!A346)</f>
        <v/>
      </c>
      <c r="B352">
        <f>IF($A352="","",Students!B346)</f>
        <v/>
      </c>
      <c r="C352">
        <f>IF($A352="","",Students!C346)</f>
        <v/>
      </c>
      <c r="D352">
        <f>IF($A352="","",COUNTIFS(Assessments!G:G,$A352,Assessments!B:B,"&gt;="&amp;$B$4,Assessments!B:B,"&lt;="&amp;$B$5))</f>
        <v/>
      </c>
      <c r="E352">
        <f>IF($D352=0,"",ROUND(AVERAGEIFS(Assessments!J:J,Assessments!G:G,$A352,Assessments!B:B,"&gt;="&amp;$B$4,Assessments!B:B,"&lt;="&amp;$B$5),0))</f>
        <v/>
      </c>
      <c r="F352">
        <f>IF($D352=0,"",IFERROR(AVERAGEIFS(Assessments!J:J,Assessments!G:G,$A352,Assessments!B:B,$B$5),0)-IFERROR(AVERAGEIFS(Assessments!J:J,Assessments!G:G,$A352,Assessments!B:B,$B$4),0))</f>
        <v/>
      </c>
      <c r="G352">
        <f>IF($D352=0,"",MAXIFS(Assessments!J:J,Assessments!G:G,$A352,Assessments!B:B,"&gt;="&amp;$B$4,Assessments!B:B,"&lt;="&amp;$B$5))</f>
        <v/>
      </c>
      <c r="H352">
        <f>IF($D352=0,"",MINIFS(Assessments!J:J,Assessments!G:G,$A352,Assessments!B:B,"&gt;="&amp;$B$4,Assessments!B:B,"&lt;="&amp;$B$5))</f>
        <v/>
      </c>
    </row>
    <row r="353">
      <c r="A353">
        <f>IF(Students!A347="","",Students!A347)</f>
        <v/>
      </c>
      <c r="B353">
        <f>IF($A353="","",Students!B347)</f>
        <v/>
      </c>
      <c r="C353">
        <f>IF($A353="","",Students!C347)</f>
        <v/>
      </c>
      <c r="D353">
        <f>IF($A353="","",COUNTIFS(Assessments!G:G,$A353,Assessments!B:B,"&gt;="&amp;$B$4,Assessments!B:B,"&lt;="&amp;$B$5))</f>
        <v/>
      </c>
      <c r="E353">
        <f>IF($D353=0,"",ROUND(AVERAGEIFS(Assessments!J:J,Assessments!G:G,$A353,Assessments!B:B,"&gt;="&amp;$B$4,Assessments!B:B,"&lt;="&amp;$B$5),0))</f>
        <v/>
      </c>
      <c r="F353">
        <f>IF($D353=0,"",IFERROR(AVERAGEIFS(Assessments!J:J,Assessments!G:G,$A353,Assessments!B:B,$B$5),0)-IFERROR(AVERAGEIFS(Assessments!J:J,Assessments!G:G,$A353,Assessments!B:B,$B$4),0))</f>
        <v/>
      </c>
      <c r="G353">
        <f>IF($D353=0,"",MAXIFS(Assessments!J:J,Assessments!G:G,$A353,Assessments!B:B,"&gt;="&amp;$B$4,Assessments!B:B,"&lt;="&amp;$B$5))</f>
        <v/>
      </c>
      <c r="H353">
        <f>IF($D353=0,"",MINIFS(Assessments!J:J,Assessments!G:G,$A353,Assessments!B:B,"&gt;="&amp;$B$4,Assessments!B:B,"&lt;="&amp;$B$5))</f>
        <v/>
      </c>
    </row>
    <row r="354">
      <c r="A354">
        <f>IF(Students!A348="","",Students!A348)</f>
        <v/>
      </c>
      <c r="B354">
        <f>IF($A354="","",Students!B348)</f>
        <v/>
      </c>
      <c r="C354">
        <f>IF($A354="","",Students!C348)</f>
        <v/>
      </c>
      <c r="D354">
        <f>IF($A354="","",COUNTIFS(Assessments!G:G,$A354,Assessments!B:B,"&gt;="&amp;$B$4,Assessments!B:B,"&lt;="&amp;$B$5))</f>
        <v/>
      </c>
      <c r="E354">
        <f>IF($D354=0,"",ROUND(AVERAGEIFS(Assessments!J:J,Assessments!G:G,$A354,Assessments!B:B,"&gt;="&amp;$B$4,Assessments!B:B,"&lt;="&amp;$B$5),0))</f>
        <v/>
      </c>
      <c r="F354">
        <f>IF($D354=0,"",IFERROR(AVERAGEIFS(Assessments!J:J,Assessments!G:G,$A354,Assessments!B:B,$B$5),0)-IFERROR(AVERAGEIFS(Assessments!J:J,Assessments!G:G,$A354,Assessments!B:B,$B$4),0))</f>
        <v/>
      </c>
      <c r="G354">
        <f>IF($D354=0,"",MAXIFS(Assessments!J:J,Assessments!G:G,$A354,Assessments!B:B,"&gt;="&amp;$B$4,Assessments!B:B,"&lt;="&amp;$B$5))</f>
        <v/>
      </c>
      <c r="H354">
        <f>IF($D354=0,"",MINIFS(Assessments!J:J,Assessments!G:G,$A354,Assessments!B:B,"&gt;="&amp;$B$4,Assessments!B:B,"&lt;="&amp;$B$5))</f>
        <v/>
      </c>
    </row>
    <row r="355">
      <c r="A355">
        <f>IF(Students!A349="","",Students!A349)</f>
        <v/>
      </c>
      <c r="B355">
        <f>IF($A355="","",Students!B349)</f>
        <v/>
      </c>
      <c r="C355">
        <f>IF($A355="","",Students!C349)</f>
        <v/>
      </c>
      <c r="D355">
        <f>IF($A355="","",COUNTIFS(Assessments!G:G,$A355,Assessments!B:B,"&gt;="&amp;$B$4,Assessments!B:B,"&lt;="&amp;$B$5))</f>
        <v/>
      </c>
      <c r="E355">
        <f>IF($D355=0,"",ROUND(AVERAGEIFS(Assessments!J:J,Assessments!G:G,$A355,Assessments!B:B,"&gt;="&amp;$B$4,Assessments!B:B,"&lt;="&amp;$B$5),0))</f>
        <v/>
      </c>
      <c r="F355">
        <f>IF($D355=0,"",IFERROR(AVERAGEIFS(Assessments!J:J,Assessments!G:G,$A355,Assessments!B:B,$B$5),0)-IFERROR(AVERAGEIFS(Assessments!J:J,Assessments!G:G,$A355,Assessments!B:B,$B$4),0))</f>
        <v/>
      </c>
      <c r="G355">
        <f>IF($D355=0,"",MAXIFS(Assessments!J:J,Assessments!G:G,$A355,Assessments!B:B,"&gt;="&amp;$B$4,Assessments!B:B,"&lt;="&amp;$B$5))</f>
        <v/>
      </c>
      <c r="H355">
        <f>IF($D355=0,"",MINIFS(Assessments!J:J,Assessments!G:G,$A355,Assessments!B:B,"&gt;="&amp;$B$4,Assessments!B:B,"&lt;="&amp;$B$5))</f>
        <v/>
      </c>
    </row>
    <row r="356">
      <c r="A356">
        <f>IF(Students!A350="","",Students!A350)</f>
        <v/>
      </c>
      <c r="B356">
        <f>IF($A356="","",Students!B350)</f>
        <v/>
      </c>
      <c r="C356">
        <f>IF($A356="","",Students!C350)</f>
        <v/>
      </c>
      <c r="D356">
        <f>IF($A356="","",COUNTIFS(Assessments!G:G,$A356,Assessments!B:B,"&gt;="&amp;$B$4,Assessments!B:B,"&lt;="&amp;$B$5))</f>
        <v/>
      </c>
      <c r="E356">
        <f>IF($D356=0,"",ROUND(AVERAGEIFS(Assessments!J:J,Assessments!G:G,$A356,Assessments!B:B,"&gt;="&amp;$B$4,Assessments!B:B,"&lt;="&amp;$B$5),0))</f>
        <v/>
      </c>
      <c r="F356">
        <f>IF($D356=0,"",IFERROR(AVERAGEIFS(Assessments!J:J,Assessments!G:G,$A356,Assessments!B:B,$B$5),0)-IFERROR(AVERAGEIFS(Assessments!J:J,Assessments!G:G,$A356,Assessments!B:B,$B$4),0))</f>
        <v/>
      </c>
      <c r="G356">
        <f>IF($D356=0,"",MAXIFS(Assessments!J:J,Assessments!G:G,$A356,Assessments!B:B,"&gt;="&amp;$B$4,Assessments!B:B,"&lt;="&amp;$B$5))</f>
        <v/>
      </c>
      <c r="H356">
        <f>IF($D356=0,"",MINIFS(Assessments!J:J,Assessments!G:G,$A356,Assessments!B:B,"&gt;="&amp;$B$4,Assessments!B:B,"&lt;="&amp;$B$5))</f>
        <v/>
      </c>
    </row>
    <row r="357">
      <c r="A357">
        <f>IF(Students!A351="","",Students!A351)</f>
        <v/>
      </c>
      <c r="B357">
        <f>IF($A357="","",Students!B351)</f>
        <v/>
      </c>
      <c r="C357">
        <f>IF($A357="","",Students!C351)</f>
        <v/>
      </c>
      <c r="D357">
        <f>IF($A357="","",COUNTIFS(Assessments!G:G,$A357,Assessments!B:B,"&gt;="&amp;$B$4,Assessments!B:B,"&lt;="&amp;$B$5))</f>
        <v/>
      </c>
      <c r="E357">
        <f>IF($D357=0,"",ROUND(AVERAGEIFS(Assessments!J:J,Assessments!G:G,$A357,Assessments!B:B,"&gt;="&amp;$B$4,Assessments!B:B,"&lt;="&amp;$B$5),0))</f>
        <v/>
      </c>
      <c r="F357">
        <f>IF($D357=0,"",IFERROR(AVERAGEIFS(Assessments!J:J,Assessments!G:G,$A357,Assessments!B:B,$B$5),0)-IFERROR(AVERAGEIFS(Assessments!J:J,Assessments!G:G,$A357,Assessments!B:B,$B$4),0))</f>
        <v/>
      </c>
      <c r="G357">
        <f>IF($D357=0,"",MAXIFS(Assessments!J:J,Assessments!G:G,$A357,Assessments!B:B,"&gt;="&amp;$B$4,Assessments!B:B,"&lt;="&amp;$B$5))</f>
        <v/>
      </c>
      <c r="H357">
        <f>IF($D357=0,"",MINIFS(Assessments!J:J,Assessments!G:G,$A357,Assessments!B:B,"&gt;="&amp;$B$4,Assessments!B:B,"&lt;="&amp;$B$5))</f>
        <v/>
      </c>
    </row>
    <row r="358">
      <c r="A358">
        <f>IF(Students!A352="","",Students!A352)</f>
        <v/>
      </c>
      <c r="B358">
        <f>IF($A358="","",Students!B352)</f>
        <v/>
      </c>
      <c r="C358">
        <f>IF($A358="","",Students!C352)</f>
        <v/>
      </c>
      <c r="D358">
        <f>IF($A358="","",COUNTIFS(Assessments!G:G,$A358,Assessments!B:B,"&gt;="&amp;$B$4,Assessments!B:B,"&lt;="&amp;$B$5))</f>
        <v/>
      </c>
      <c r="E358">
        <f>IF($D358=0,"",ROUND(AVERAGEIFS(Assessments!J:J,Assessments!G:G,$A358,Assessments!B:B,"&gt;="&amp;$B$4,Assessments!B:B,"&lt;="&amp;$B$5),0))</f>
        <v/>
      </c>
      <c r="F358">
        <f>IF($D358=0,"",IFERROR(AVERAGEIFS(Assessments!J:J,Assessments!G:G,$A358,Assessments!B:B,$B$5),0)-IFERROR(AVERAGEIFS(Assessments!J:J,Assessments!G:G,$A358,Assessments!B:B,$B$4),0))</f>
        <v/>
      </c>
      <c r="G358">
        <f>IF($D358=0,"",MAXIFS(Assessments!J:J,Assessments!G:G,$A358,Assessments!B:B,"&gt;="&amp;$B$4,Assessments!B:B,"&lt;="&amp;$B$5))</f>
        <v/>
      </c>
      <c r="H358">
        <f>IF($D358=0,"",MINIFS(Assessments!J:J,Assessments!G:G,$A358,Assessments!B:B,"&gt;="&amp;$B$4,Assessments!B:B,"&lt;="&amp;$B$5))</f>
        <v/>
      </c>
    </row>
    <row r="359">
      <c r="A359">
        <f>IF(Students!A353="","",Students!A353)</f>
        <v/>
      </c>
      <c r="B359">
        <f>IF($A359="","",Students!B353)</f>
        <v/>
      </c>
      <c r="C359">
        <f>IF($A359="","",Students!C353)</f>
        <v/>
      </c>
      <c r="D359">
        <f>IF($A359="","",COUNTIFS(Assessments!G:G,$A359,Assessments!B:B,"&gt;="&amp;$B$4,Assessments!B:B,"&lt;="&amp;$B$5))</f>
        <v/>
      </c>
      <c r="E359">
        <f>IF($D359=0,"",ROUND(AVERAGEIFS(Assessments!J:J,Assessments!G:G,$A359,Assessments!B:B,"&gt;="&amp;$B$4,Assessments!B:B,"&lt;="&amp;$B$5),0))</f>
        <v/>
      </c>
      <c r="F359">
        <f>IF($D359=0,"",IFERROR(AVERAGEIFS(Assessments!J:J,Assessments!G:G,$A359,Assessments!B:B,$B$5),0)-IFERROR(AVERAGEIFS(Assessments!J:J,Assessments!G:G,$A359,Assessments!B:B,$B$4),0))</f>
        <v/>
      </c>
      <c r="G359">
        <f>IF($D359=0,"",MAXIFS(Assessments!J:J,Assessments!G:G,$A359,Assessments!B:B,"&gt;="&amp;$B$4,Assessments!B:B,"&lt;="&amp;$B$5))</f>
        <v/>
      </c>
      <c r="H359">
        <f>IF($D359=0,"",MINIFS(Assessments!J:J,Assessments!G:G,$A359,Assessments!B:B,"&gt;="&amp;$B$4,Assessments!B:B,"&lt;="&amp;$B$5))</f>
        <v/>
      </c>
    </row>
    <row r="360">
      <c r="A360">
        <f>IF(Students!A354="","",Students!A354)</f>
        <v/>
      </c>
      <c r="B360">
        <f>IF($A360="","",Students!B354)</f>
        <v/>
      </c>
      <c r="C360">
        <f>IF($A360="","",Students!C354)</f>
        <v/>
      </c>
      <c r="D360">
        <f>IF($A360="","",COUNTIFS(Assessments!G:G,$A360,Assessments!B:B,"&gt;="&amp;$B$4,Assessments!B:B,"&lt;="&amp;$B$5))</f>
        <v/>
      </c>
      <c r="E360">
        <f>IF($D360=0,"",ROUND(AVERAGEIFS(Assessments!J:J,Assessments!G:G,$A360,Assessments!B:B,"&gt;="&amp;$B$4,Assessments!B:B,"&lt;="&amp;$B$5),0))</f>
        <v/>
      </c>
      <c r="F360">
        <f>IF($D360=0,"",IFERROR(AVERAGEIFS(Assessments!J:J,Assessments!G:G,$A360,Assessments!B:B,$B$5),0)-IFERROR(AVERAGEIFS(Assessments!J:J,Assessments!G:G,$A360,Assessments!B:B,$B$4),0))</f>
        <v/>
      </c>
      <c r="G360">
        <f>IF($D360=0,"",MAXIFS(Assessments!J:J,Assessments!G:G,$A360,Assessments!B:B,"&gt;="&amp;$B$4,Assessments!B:B,"&lt;="&amp;$B$5))</f>
        <v/>
      </c>
      <c r="H360">
        <f>IF($D360=0,"",MINIFS(Assessments!J:J,Assessments!G:G,$A360,Assessments!B:B,"&gt;="&amp;$B$4,Assessments!B:B,"&lt;="&amp;$B$5))</f>
        <v/>
      </c>
    </row>
    <row r="361">
      <c r="A361">
        <f>IF(Students!A355="","",Students!A355)</f>
        <v/>
      </c>
      <c r="B361">
        <f>IF($A361="","",Students!B355)</f>
        <v/>
      </c>
      <c r="C361">
        <f>IF($A361="","",Students!C355)</f>
        <v/>
      </c>
      <c r="D361">
        <f>IF($A361="","",COUNTIFS(Assessments!G:G,$A361,Assessments!B:B,"&gt;="&amp;$B$4,Assessments!B:B,"&lt;="&amp;$B$5))</f>
        <v/>
      </c>
      <c r="E361">
        <f>IF($D361=0,"",ROUND(AVERAGEIFS(Assessments!J:J,Assessments!G:G,$A361,Assessments!B:B,"&gt;="&amp;$B$4,Assessments!B:B,"&lt;="&amp;$B$5),0))</f>
        <v/>
      </c>
      <c r="F361">
        <f>IF($D361=0,"",IFERROR(AVERAGEIFS(Assessments!J:J,Assessments!G:G,$A361,Assessments!B:B,$B$5),0)-IFERROR(AVERAGEIFS(Assessments!J:J,Assessments!G:G,$A361,Assessments!B:B,$B$4),0))</f>
        <v/>
      </c>
      <c r="G361">
        <f>IF($D361=0,"",MAXIFS(Assessments!J:J,Assessments!G:G,$A361,Assessments!B:B,"&gt;="&amp;$B$4,Assessments!B:B,"&lt;="&amp;$B$5))</f>
        <v/>
      </c>
      <c r="H361">
        <f>IF($D361=0,"",MINIFS(Assessments!J:J,Assessments!G:G,$A361,Assessments!B:B,"&gt;="&amp;$B$4,Assessments!B:B,"&lt;="&amp;$B$5))</f>
        <v/>
      </c>
    </row>
    <row r="362">
      <c r="A362">
        <f>IF(Students!A356="","",Students!A356)</f>
        <v/>
      </c>
      <c r="B362">
        <f>IF($A362="","",Students!B356)</f>
        <v/>
      </c>
      <c r="C362">
        <f>IF($A362="","",Students!C356)</f>
        <v/>
      </c>
      <c r="D362">
        <f>IF($A362="","",COUNTIFS(Assessments!G:G,$A362,Assessments!B:B,"&gt;="&amp;$B$4,Assessments!B:B,"&lt;="&amp;$B$5))</f>
        <v/>
      </c>
      <c r="E362">
        <f>IF($D362=0,"",ROUND(AVERAGEIFS(Assessments!J:J,Assessments!G:G,$A362,Assessments!B:B,"&gt;="&amp;$B$4,Assessments!B:B,"&lt;="&amp;$B$5),0))</f>
        <v/>
      </c>
      <c r="F362">
        <f>IF($D362=0,"",IFERROR(AVERAGEIFS(Assessments!J:J,Assessments!G:G,$A362,Assessments!B:B,$B$5),0)-IFERROR(AVERAGEIFS(Assessments!J:J,Assessments!G:G,$A362,Assessments!B:B,$B$4),0))</f>
        <v/>
      </c>
      <c r="G362">
        <f>IF($D362=0,"",MAXIFS(Assessments!J:J,Assessments!G:G,$A362,Assessments!B:B,"&gt;="&amp;$B$4,Assessments!B:B,"&lt;="&amp;$B$5))</f>
        <v/>
      </c>
      <c r="H362">
        <f>IF($D362=0,"",MINIFS(Assessments!J:J,Assessments!G:G,$A362,Assessments!B:B,"&gt;="&amp;$B$4,Assessments!B:B,"&lt;="&amp;$B$5))</f>
        <v/>
      </c>
    </row>
    <row r="363">
      <c r="A363">
        <f>IF(Students!A357="","",Students!A357)</f>
        <v/>
      </c>
      <c r="B363">
        <f>IF($A363="","",Students!B357)</f>
        <v/>
      </c>
      <c r="C363">
        <f>IF($A363="","",Students!C357)</f>
        <v/>
      </c>
      <c r="D363">
        <f>IF($A363="","",COUNTIFS(Assessments!G:G,$A363,Assessments!B:B,"&gt;="&amp;$B$4,Assessments!B:B,"&lt;="&amp;$B$5))</f>
        <v/>
      </c>
      <c r="E363">
        <f>IF($D363=0,"",ROUND(AVERAGEIFS(Assessments!J:J,Assessments!G:G,$A363,Assessments!B:B,"&gt;="&amp;$B$4,Assessments!B:B,"&lt;="&amp;$B$5),0))</f>
        <v/>
      </c>
      <c r="F363">
        <f>IF($D363=0,"",IFERROR(AVERAGEIFS(Assessments!J:J,Assessments!G:G,$A363,Assessments!B:B,$B$5),0)-IFERROR(AVERAGEIFS(Assessments!J:J,Assessments!G:G,$A363,Assessments!B:B,$B$4),0))</f>
        <v/>
      </c>
      <c r="G363">
        <f>IF($D363=0,"",MAXIFS(Assessments!J:J,Assessments!G:G,$A363,Assessments!B:B,"&gt;="&amp;$B$4,Assessments!B:B,"&lt;="&amp;$B$5))</f>
        <v/>
      </c>
      <c r="H363">
        <f>IF($D363=0,"",MINIFS(Assessments!J:J,Assessments!G:G,$A363,Assessments!B:B,"&gt;="&amp;$B$4,Assessments!B:B,"&lt;="&amp;$B$5))</f>
        <v/>
      </c>
    </row>
    <row r="364">
      <c r="A364">
        <f>IF(Students!A358="","",Students!A358)</f>
        <v/>
      </c>
      <c r="B364">
        <f>IF($A364="","",Students!B358)</f>
        <v/>
      </c>
      <c r="C364">
        <f>IF($A364="","",Students!C358)</f>
        <v/>
      </c>
      <c r="D364">
        <f>IF($A364="","",COUNTIFS(Assessments!G:G,$A364,Assessments!B:B,"&gt;="&amp;$B$4,Assessments!B:B,"&lt;="&amp;$B$5))</f>
        <v/>
      </c>
      <c r="E364">
        <f>IF($D364=0,"",ROUND(AVERAGEIFS(Assessments!J:J,Assessments!G:G,$A364,Assessments!B:B,"&gt;="&amp;$B$4,Assessments!B:B,"&lt;="&amp;$B$5),0))</f>
        <v/>
      </c>
      <c r="F364">
        <f>IF($D364=0,"",IFERROR(AVERAGEIFS(Assessments!J:J,Assessments!G:G,$A364,Assessments!B:B,$B$5),0)-IFERROR(AVERAGEIFS(Assessments!J:J,Assessments!G:G,$A364,Assessments!B:B,$B$4),0))</f>
        <v/>
      </c>
      <c r="G364">
        <f>IF($D364=0,"",MAXIFS(Assessments!J:J,Assessments!G:G,$A364,Assessments!B:B,"&gt;="&amp;$B$4,Assessments!B:B,"&lt;="&amp;$B$5))</f>
        <v/>
      </c>
      <c r="H364">
        <f>IF($D364=0,"",MINIFS(Assessments!J:J,Assessments!G:G,$A364,Assessments!B:B,"&gt;="&amp;$B$4,Assessments!B:B,"&lt;="&amp;$B$5))</f>
        <v/>
      </c>
    </row>
    <row r="365">
      <c r="A365">
        <f>IF(Students!A359="","",Students!A359)</f>
        <v/>
      </c>
      <c r="B365">
        <f>IF($A365="","",Students!B359)</f>
        <v/>
      </c>
      <c r="C365">
        <f>IF($A365="","",Students!C359)</f>
        <v/>
      </c>
      <c r="D365">
        <f>IF($A365="","",COUNTIFS(Assessments!G:G,$A365,Assessments!B:B,"&gt;="&amp;$B$4,Assessments!B:B,"&lt;="&amp;$B$5))</f>
        <v/>
      </c>
      <c r="E365">
        <f>IF($D365=0,"",ROUND(AVERAGEIFS(Assessments!J:J,Assessments!G:G,$A365,Assessments!B:B,"&gt;="&amp;$B$4,Assessments!B:B,"&lt;="&amp;$B$5),0))</f>
        <v/>
      </c>
      <c r="F365">
        <f>IF($D365=0,"",IFERROR(AVERAGEIFS(Assessments!J:J,Assessments!G:G,$A365,Assessments!B:B,$B$5),0)-IFERROR(AVERAGEIFS(Assessments!J:J,Assessments!G:G,$A365,Assessments!B:B,$B$4),0))</f>
        <v/>
      </c>
      <c r="G365">
        <f>IF($D365=0,"",MAXIFS(Assessments!J:J,Assessments!G:G,$A365,Assessments!B:B,"&gt;="&amp;$B$4,Assessments!B:B,"&lt;="&amp;$B$5))</f>
        <v/>
      </c>
      <c r="H365">
        <f>IF($D365=0,"",MINIFS(Assessments!J:J,Assessments!G:G,$A365,Assessments!B:B,"&gt;="&amp;$B$4,Assessments!B:B,"&lt;="&amp;$B$5))</f>
        <v/>
      </c>
    </row>
    <row r="366">
      <c r="A366">
        <f>IF(Students!A360="","",Students!A360)</f>
        <v/>
      </c>
      <c r="B366">
        <f>IF($A366="","",Students!B360)</f>
        <v/>
      </c>
      <c r="C366">
        <f>IF($A366="","",Students!C360)</f>
        <v/>
      </c>
      <c r="D366">
        <f>IF($A366="","",COUNTIFS(Assessments!G:G,$A366,Assessments!B:B,"&gt;="&amp;$B$4,Assessments!B:B,"&lt;="&amp;$B$5))</f>
        <v/>
      </c>
      <c r="E366">
        <f>IF($D366=0,"",ROUND(AVERAGEIFS(Assessments!J:J,Assessments!G:G,$A366,Assessments!B:B,"&gt;="&amp;$B$4,Assessments!B:B,"&lt;="&amp;$B$5),0))</f>
        <v/>
      </c>
      <c r="F366">
        <f>IF($D366=0,"",IFERROR(AVERAGEIFS(Assessments!J:J,Assessments!G:G,$A366,Assessments!B:B,$B$5),0)-IFERROR(AVERAGEIFS(Assessments!J:J,Assessments!G:G,$A366,Assessments!B:B,$B$4),0))</f>
        <v/>
      </c>
      <c r="G366">
        <f>IF($D366=0,"",MAXIFS(Assessments!J:J,Assessments!G:G,$A366,Assessments!B:B,"&gt;="&amp;$B$4,Assessments!B:B,"&lt;="&amp;$B$5))</f>
        <v/>
      </c>
      <c r="H366">
        <f>IF($D366=0,"",MINIFS(Assessments!J:J,Assessments!G:G,$A366,Assessments!B:B,"&gt;="&amp;$B$4,Assessments!B:B,"&lt;="&amp;$B$5))</f>
        <v/>
      </c>
    </row>
    <row r="367">
      <c r="A367">
        <f>IF(Students!A361="","",Students!A361)</f>
        <v/>
      </c>
      <c r="B367">
        <f>IF($A367="","",Students!B361)</f>
        <v/>
      </c>
      <c r="C367">
        <f>IF($A367="","",Students!C361)</f>
        <v/>
      </c>
      <c r="D367">
        <f>IF($A367="","",COUNTIFS(Assessments!G:G,$A367,Assessments!B:B,"&gt;="&amp;$B$4,Assessments!B:B,"&lt;="&amp;$B$5))</f>
        <v/>
      </c>
      <c r="E367">
        <f>IF($D367=0,"",ROUND(AVERAGEIFS(Assessments!J:J,Assessments!G:G,$A367,Assessments!B:B,"&gt;="&amp;$B$4,Assessments!B:B,"&lt;="&amp;$B$5),0))</f>
        <v/>
      </c>
      <c r="F367">
        <f>IF($D367=0,"",IFERROR(AVERAGEIFS(Assessments!J:J,Assessments!G:G,$A367,Assessments!B:B,$B$5),0)-IFERROR(AVERAGEIFS(Assessments!J:J,Assessments!G:G,$A367,Assessments!B:B,$B$4),0))</f>
        <v/>
      </c>
      <c r="G367">
        <f>IF($D367=0,"",MAXIFS(Assessments!J:J,Assessments!G:G,$A367,Assessments!B:B,"&gt;="&amp;$B$4,Assessments!B:B,"&lt;="&amp;$B$5))</f>
        <v/>
      </c>
      <c r="H367">
        <f>IF($D367=0,"",MINIFS(Assessments!J:J,Assessments!G:G,$A367,Assessments!B:B,"&gt;="&amp;$B$4,Assessments!B:B,"&lt;="&amp;$B$5))</f>
        <v/>
      </c>
    </row>
    <row r="368">
      <c r="A368">
        <f>IF(Students!A362="","",Students!A362)</f>
        <v/>
      </c>
      <c r="B368">
        <f>IF($A368="","",Students!B362)</f>
        <v/>
      </c>
      <c r="C368">
        <f>IF($A368="","",Students!C362)</f>
        <v/>
      </c>
      <c r="D368">
        <f>IF($A368="","",COUNTIFS(Assessments!G:G,$A368,Assessments!B:B,"&gt;="&amp;$B$4,Assessments!B:B,"&lt;="&amp;$B$5))</f>
        <v/>
      </c>
      <c r="E368">
        <f>IF($D368=0,"",ROUND(AVERAGEIFS(Assessments!J:J,Assessments!G:G,$A368,Assessments!B:B,"&gt;="&amp;$B$4,Assessments!B:B,"&lt;="&amp;$B$5),0))</f>
        <v/>
      </c>
      <c r="F368">
        <f>IF($D368=0,"",IFERROR(AVERAGEIFS(Assessments!J:J,Assessments!G:G,$A368,Assessments!B:B,$B$5),0)-IFERROR(AVERAGEIFS(Assessments!J:J,Assessments!G:G,$A368,Assessments!B:B,$B$4),0))</f>
        <v/>
      </c>
      <c r="G368">
        <f>IF($D368=0,"",MAXIFS(Assessments!J:J,Assessments!G:G,$A368,Assessments!B:B,"&gt;="&amp;$B$4,Assessments!B:B,"&lt;="&amp;$B$5))</f>
        <v/>
      </c>
      <c r="H368">
        <f>IF($D368=0,"",MINIFS(Assessments!J:J,Assessments!G:G,$A368,Assessments!B:B,"&gt;="&amp;$B$4,Assessments!B:B,"&lt;="&amp;$B$5))</f>
        <v/>
      </c>
    </row>
    <row r="369">
      <c r="A369">
        <f>IF(Students!A363="","",Students!A363)</f>
        <v/>
      </c>
      <c r="B369">
        <f>IF($A369="","",Students!B363)</f>
        <v/>
      </c>
      <c r="C369">
        <f>IF($A369="","",Students!C363)</f>
        <v/>
      </c>
      <c r="D369">
        <f>IF($A369="","",COUNTIFS(Assessments!G:G,$A369,Assessments!B:B,"&gt;="&amp;$B$4,Assessments!B:B,"&lt;="&amp;$B$5))</f>
        <v/>
      </c>
      <c r="E369">
        <f>IF($D369=0,"",ROUND(AVERAGEIFS(Assessments!J:J,Assessments!G:G,$A369,Assessments!B:B,"&gt;="&amp;$B$4,Assessments!B:B,"&lt;="&amp;$B$5),0))</f>
        <v/>
      </c>
      <c r="F369">
        <f>IF($D369=0,"",IFERROR(AVERAGEIFS(Assessments!J:J,Assessments!G:G,$A369,Assessments!B:B,$B$5),0)-IFERROR(AVERAGEIFS(Assessments!J:J,Assessments!G:G,$A369,Assessments!B:B,$B$4),0))</f>
        <v/>
      </c>
      <c r="G369">
        <f>IF($D369=0,"",MAXIFS(Assessments!J:J,Assessments!G:G,$A369,Assessments!B:B,"&gt;="&amp;$B$4,Assessments!B:B,"&lt;="&amp;$B$5))</f>
        <v/>
      </c>
      <c r="H369">
        <f>IF($D369=0,"",MINIFS(Assessments!J:J,Assessments!G:G,$A369,Assessments!B:B,"&gt;="&amp;$B$4,Assessments!B:B,"&lt;="&amp;$B$5))</f>
        <v/>
      </c>
    </row>
    <row r="370">
      <c r="A370">
        <f>IF(Students!A364="","",Students!A364)</f>
        <v/>
      </c>
      <c r="B370">
        <f>IF($A370="","",Students!B364)</f>
        <v/>
      </c>
      <c r="C370">
        <f>IF($A370="","",Students!C364)</f>
        <v/>
      </c>
      <c r="D370">
        <f>IF($A370="","",COUNTIFS(Assessments!G:G,$A370,Assessments!B:B,"&gt;="&amp;$B$4,Assessments!B:B,"&lt;="&amp;$B$5))</f>
        <v/>
      </c>
      <c r="E370">
        <f>IF($D370=0,"",ROUND(AVERAGEIFS(Assessments!J:J,Assessments!G:G,$A370,Assessments!B:B,"&gt;="&amp;$B$4,Assessments!B:B,"&lt;="&amp;$B$5),0))</f>
        <v/>
      </c>
      <c r="F370">
        <f>IF($D370=0,"",IFERROR(AVERAGEIFS(Assessments!J:J,Assessments!G:G,$A370,Assessments!B:B,$B$5),0)-IFERROR(AVERAGEIFS(Assessments!J:J,Assessments!G:G,$A370,Assessments!B:B,$B$4),0))</f>
        <v/>
      </c>
      <c r="G370">
        <f>IF($D370=0,"",MAXIFS(Assessments!J:J,Assessments!G:G,$A370,Assessments!B:B,"&gt;="&amp;$B$4,Assessments!B:B,"&lt;="&amp;$B$5))</f>
        <v/>
      </c>
      <c r="H370">
        <f>IF($D370=0,"",MINIFS(Assessments!J:J,Assessments!G:G,$A370,Assessments!B:B,"&gt;="&amp;$B$4,Assessments!B:B,"&lt;="&amp;$B$5))</f>
        <v/>
      </c>
    </row>
    <row r="371">
      <c r="A371">
        <f>IF(Students!A365="","",Students!A365)</f>
        <v/>
      </c>
      <c r="B371">
        <f>IF($A371="","",Students!B365)</f>
        <v/>
      </c>
      <c r="C371">
        <f>IF($A371="","",Students!C365)</f>
        <v/>
      </c>
      <c r="D371">
        <f>IF($A371="","",COUNTIFS(Assessments!G:G,$A371,Assessments!B:B,"&gt;="&amp;$B$4,Assessments!B:B,"&lt;="&amp;$B$5))</f>
        <v/>
      </c>
      <c r="E371">
        <f>IF($D371=0,"",ROUND(AVERAGEIFS(Assessments!J:J,Assessments!G:G,$A371,Assessments!B:B,"&gt;="&amp;$B$4,Assessments!B:B,"&lt;="&amp;$B$5),0))</f>
        <v/>
      </c>
      <c r="F371">
        <f>IF($D371=0,"",IFERROR(AVERAGEIFS(Assessments!J:J,Assessments!G:G,$A371,Assessments!B:B,$B$5),0)-IFERROR(AVERAGEIFS(Assessments!J:J,Assessments!G:G,$A371,Assessments!B:B,$B$4),0))</f>
        <v/>
      </c>
      <c r="G371">
        <f>IF($D371=0,"",MAXIFS(Assessments!J:J,Assessments!G:G,$A371,Assessments!B:B,"&gt;="&amp;$B$4,Assessments!B:B,"&lt;="&amp;$B$5))</f>
        <v/>
      </c>
      <c r="H371">
        <f>IF($D371=0,"",MINIFS(Assessments!J:J,Assessments!G:G,$A371,Assessments!B:B,"&gt;="&amp;$B$4,Assessments!B:B,"&lt;="&amp;$B$5))</f>
        <v/>
      </c>
    </row>
    <row r="372">
      <c r="A372">
        <f>IF(Students!A366="","",Students!A366)</f>
        <v/>
      </c>
      <c r="B372">
        <f>IF($A372="","",Students!B366)</f>
        <v/>
      </c>
      <c r="C372">
        <f>IF($A372="","",Students!C366)</f>
        <v/>
      </c>
      <c r="D372">
        <f>IF($A372="","",COUNTIFS(Assessments!G:G,$A372,Assessments!B:B,"&gt;="&amp;$B$4,Assessments!B:B,"&lt;="&amp;$B$5))</f>
        <v/>
      </c>
      <c r="E372">
        <f>IF($D372=0,"",ROUND(AVERAGEIFS(Assessments!J:J,Assessments!G:G,$A372,Assessments!B:B,"&gt;="&amp;$B$4,Assessments!B:B,"&lt;="&amp;$B$5),0))</f>
        <v/>
      </c>
      <c r="F372">
        <f>IF($D372=0,"",IFERROR(AVERAGEIFS(Assessments!J:J,Assessments!G:G,$A372,Assessments!B:B,$B$5),0)-IFERROR(AVERAGEIFS(Assessments!J:J,Assessments!G:G,$A372,Assessments!B:B,$B$4),0))</f>
        <v/>
      </c>
      <c r="G372">
        <f>IF($D372=0,"",MAXIFS(Assessments!J:J,Assessments!G:G,$A372,Assessments!B:B,"&gt;="&amp;$B$4,Assessments!B:B,"&lt;="&amp;$B$5))</f>
        <v/>
      </c>
      <c r="H372">
        <f>IF($D372=0,"",MINIFS(Assessments!J:J,Assessments!G:G,$A372,Assessments!B:B,"&gt;="&amp;$B$4,Assessments!B:B,"&lt;="&amp;$B$5))</f>
        <v/>
      </c>
    </row>
    <row r="373">
      <c r="A373">
        <f>IF(Students!A367="","",Students!A367)</f>
        <v/>
      </c>
      <c r="B373">
        <f>IF($A373="","",Students!B367)</f>
        <v/>
      </c>
      <c r="C373">
        <f>IF($A373="","",Students!C367)</f>
        <v/>
      </c>
      <c r="D373">
        <f>IF($A373="","",COUNTIFS(Assessments!G:G,$A373,Assessments!B:B,"&gt;="&amp;$B$4,Assessments!B:B,"&lt;="&amp;$B$5))</f>
        <v/>
      </c>
      <c r="E373">
        <f>IF($D373=0,"",ROUND(AVERAGEIFS(Assessments!J:J,Assessments!G:G,$A373,Assessments!B:B,"&gt;="&amp;$B$4,Assessments!B:B,"&lt;="&amp;$B$5),0))</f>
        <v/>
      </c>
      <c r="F373">
        <f>IF($D373=0,"",IFERROR(AVERAGEIFS(Assessments!J:J,Assessments!G:G,$A373,Assessments!B:B,$B$5),0)-IFERROR(AVERAGEIFS(Assessments!J:J,Assessments!G:G,$A373,Assessments!B:B,$B$4),0))</f>
        <v/>
      </c>
      <c r="G373">
        <f>IF($D373=0,"",MAXIFS(Assessments!J:J,Assessments!G:G,$A373,Assessments!B:B,"&gt;="&amp;$B$4,Assessments!B:B,"&lt;="&amp;$B$5))</f>
        <v/>
      </c>
      <c r="H373">
        <f>IF($D373=0,"",MINIFS(Assessments!J:J,Assessments!G:G,$A373,Assessments!B:B,"&gt;="&amp;$B$4,Assessments!B:B,"&lt;="&amp;$B$5))</f>
        <v/>
      </c>
    </row>
    <row r="374">
      <c r="A374">
        <f>IF(Students!A368="","",Students!A368)</f>
        <v/>
      </c>
      <c r="B374">
        <f>IF($A374="","",Students!B368)</f>
        <v/>
      </c>
      <c r="C374">
        <f>IF($A374="","",Students!C368)</f>
        <v/>
      </c>
      <c r="D374">
        <f>IF($A374="","",COUNTIFS(Assessments!G:G,$A374,Assessments!B:B,"&gt;="&amp;$B$4,Assessments!B:B,"&lt;="&amp;$B$5))</f>
        <v/>
      </c>
      <c r="E374">
        <f>IF($D374=0,"",ROUND(AVERAGEIFS(Assessments!J:J,Assessments!G:G,$A374,Assessments!B:B,"&gt;="&amp;$B$4,Assessments!B:B,"&lt;="&amp;$B$5),0))</f>
        <v/>
      </c>
      <c r="F374">
        <f>IF($D374=0,"",IFERROR(AVERAGEIFS(Assessments!J:J,Assessments!G:G,$A374,Assessments!B:B,$B$5),0)-IFERROR(AVERAGEIFS(Assessments!J:J,Assessments!G:G,$A374,Assessments!B:B,$B$4),0))</f>
        <v/>
      </c>
      <c r="G374">
        <f>IF($D374=0,"",MAXIFS(Assessments!J:J,Assessments!G:G,$A374,Assessments!B:B,"&gt;="&amp;$B$4,Assessments!B:B,"&lt;="&amp;$B$5))</f>
        <v/>
      </c>
      <c r="H374">
        <f>IF($D374=0,"",MINIFS(Assessments!J:J,Assessments!G:G,$A374,Assessments!B:B,"&gt;="&amp;$B$4,Assessments!B:B,"&lt;="&amp;$B$5))</f>
        <v/>
      </c>
    </row>
    <row r="375">
      <c r="A375">
        <f>IF(Students!A369="","",Students!A369)</f>
        <v/>
      </c>
      <c r="B375">
        <f>IF($A375="","",Students!B369)</f>
        <v/>
      </c>
      <c r="C375">
        <f>IF($A375="","",Students!C369)</f>
        <v/>
      </c>
      <c r="D375">
        <f>IF($A375="","",COUNTIFS(Assessments!G:G,$A375,Assessments!B:B,"&gt;="&amp;$B$4,Assessments!B:B,"&lt;="&amp;$B$5))</f>
        <v/>
      </c>
      <c r="E375">
        <f>IF($D375=0,"",ROUND(AVERAGEIFS(Assessments!J:J,Assessments!G:G,$A375,Assessments!B:B,"&gt;="&amp;$B$4,Assessments!B:B,"&lt;="&amp;$B$5),0))</f>
        <v/>
      </c>
      <c r="F375">
        <f>IF($D375=0,"",IFERROR(AVERAGEIFS(Assessments!J:J,Assessments!G:G,$A375,Assessments!B:B,$B$5),0)-IFERROR(AVERAGEIFS(Assessments!J:J,Assessments!G:G,$A375,Assessments!B:B,$B$4),0))</f>
        <v/>
      </c>
      <c r="G375">
        <f>IF($D375=0,"",MAXIFS(Assessments!J:J,Assessments!G:G,$A375,Assessments!B:B,"&gt;="&amp;$B$4,Assessments!B:B,"&lt;="&amp;$B$5))</f>
        <v/>
      </c>
      <c r="H375">
        <f>IF($D375=0,"",MINIFS(Assessments!J:J,Assessments!G:G,$A375,Assessments!B:B,"&gt;="&amp;$B$4,Assessments!B:B,"&lt;="&amp;$B$5))</f>
        <v/>
      </c>
    </row>
    <row r="376">
      <c r="A376">
        <f>IF(Students!A370="","",Students!A370)</f>
        <v/>
      </c>
      <c r="B376">
        <f>IF($A376="","",Students!B370)</f>
        <v/>
      </c>
      <c r="C376">
        <f>IF($A376="","",Students!C370)</f>
        <v/>
      </c>
      <c r="D376">
        <f>IF($A376="","",COUNTIFS(Assessments!G:G,$A376,Assessments!B:B,"&gt;="&amp;$B$4,Assessments!B:B,"&lt;="&amp;$B$5))</f>
        <v/>
      </c>
      <c r="E376">
        <f>IF($D376=0,"",ROUND(AVERAGEIFS(Assessments!J:J,Assessments!G:G,$A376,Assessments!B:B,"&gt;="&amp;$B$4,Assessments!B:B,"&lt;="&amp;$B$5),0))</f>
        <v/>
      </c>
      <c r="F376">
        <f>IF($D376=0,"",IFERROR(AVERAGEIFS(Assessments!J:J,Assessments!G:G,$A376,Assessments!B:B,$B$5),0)-IFERROR(AVERAGEIFS(Assessments!J:J,Assessments!G:G,$A376,Assessments!B:B,$B$4),0))</f>
        <v/>
      </c>
      <c r="G376">
        <f>IF($D376=0,"",MAXIFS(Assessments!J:J,Assessments!G:G,$A376,Assessments!B:B,"&gt;="&amp;$B$4,Assessments!B:B,"&lt;="&amp;$B$5))</f>
        <v/>
      </c>
      <c r="H376">
        <f>IF($D376=0,"",MINIFS(Assessments!J:J,Assessments!G:G,$A376,Assessments!B:B,"&gt;="&amp;$B$4,Assessments!B:B,"&lt;="&amp;$B$5))</f>
        <v/>
      </c>
    </row>
    <row r="377">
      <c r="A377">
        <f>IF(Students!A371="","",Students!A371)</f>
        <v/>
      </c>
      <c r="B377">
        <f>IF($A377="","",Students!B371)</f>
        <v/>
      </c>
      <c r="C377">
        <f>IF($A377="","",Students!C371)</f>
        <v/>
      </c>
      <c r="D377">
        <f>IF($A377="","",COUNTIFS(Assessments!G:G,$A377,Assessments!B:B,"&gt;="&amp;$B$4,Assessments!B:B,"&lt;="&amp;$B$5))</f>
        <v/>
      </c>
      <c r="E377">
        <f>IF($D377=0,"",ROUND(AVERAGEIFS(Assessments!J:J,Assessments!G:G,$A377,Assessments!B:B,"&gt;="&amp;$B$4,Assessments!B:B,"&lt;="&amp;$B$5),0))</f>
        <v/>
      </c>
      <c r="F377">
        <f>IF($D377=0,"",IFERROR(AVERAGEIFS(Assessments!J:J,Assessments!G:G,$A377,Assessments!B:B,$B$5),0)-IFERROR(AVERAGEIFS(Assessments!J:J,Assessments!G:G,$A377,Assessments!B:B,$B$4),0))</f>
        <v/>
      </c>
      <c r="G377">
        <f>IF($D377=0,"",MAXIFS(Assessments!J:J,Assessments!G:G,$A377,Assessments!B:B,"&gt;="&amp;$B$4,Assessments!B:B,"&lt;="&amp;$B$5))</f>
        <v/>
      </c>
      <c r="H377">
        <f>IF($D377=0,"",MINIFS(Assessments!J:J,Assessments!G:G,$A377,Assessments!B:B,"&gt;="&amp;$B$4,Assessments!B:B,"&lt;="&amp;$B$5))</f>
        <v/>
      </c>
    </row>
    <row r="378">
      <c r="A378">
        <f>IF(Students!A372="","",Students!A372)</f>
        <v/>
      </c>
      <c r="B378">
        <f>IF($A378="","",Students!B372)</f>
        <v/>
      </c>
      <c r="C378">
        <f>IF($A378="","",Students!C372)</f>
        <v/>
      </c>
      <c r="D378">
        <f>IF($A378="","",COUNTIFS(Assessments!G:G,$A378,Assessments!B:B,"&gt;="&amp;$B$4,Assessments!B:B,"&lt;="&amp;$B$5))</f>
        <v/>
      </c>
      <c r="E378">
        <f>IF($D378=0,"",ROUND(AVERAGEIFS(Assessments!J:J,Assessments!G:G,$A378,Assessments!B:B,"&gt;="&amp;$B$4,Assessments!B:B,"&lt;="&amp;$B$5),0))</f>
        <v/>
      </c>
      <c r="F378">
        <f>IF($D378=0,"",IFERROR(AVERAGEIFS(Assessments!J:J,Assessments!G:G,$A378,Assessments!B:B,$B$5),0)-IFERROR(AVERAGEIFS(Assessments!J:J,Assessments!G:G,$A378,Assessments!B:B,$B$4),0))</f>
        <v/>
      </c>
      <c r="G378">
        <f>IF($D378=0,"",MAXIFS(Assessments!J:J,Assessments!G:G,$A378,Assessments!B:B,"&gt;="&amp;$B$4,Assessments!B:B,"&lt;="&amp;$B$5))</f>
        <v/>
      </c>
      <c r="H378">
        <f>IF($D378=0,"",MINIFS(Assessments!J:J,Assessments!G:G,$A378,Assessments!B:B,"&gt;="&amp;$B$4,Assessments!B:B,"&lt;="&amp;$B$5))</f>
        <v/>
      </c>
    </row>
    <row r="379">
      <c r="A379">
        <f>IF(Students!A373="","",Students!A373)</f>
        <v/>
      </c>
      <c r="B379">
        <f>IF($A379="","",Students!B373)</f>
        <v/>
      </c>
      <c r="C379">
        <f>IF($A379="","",Students!C373)</f>
        <v/>
      </c>
      <c r="D379">
        <f>IF($A379="","",COUNTIFS(Assessments!G:G,$A379,Assessments!B:B,"&gt;="&amp;$B$4,Assessments!B:B,"&lt;="&amp;$B$5))</f>
        <v/>
      </c>
      <c r="E379">
        <f>IF($D379=0,"",ROUND(AVERAGEIFS(Assessments!J:J,Assessments!G:G,$A379,Assessments!B:B,"&gt;="&amp;$B$4,Assessments!B:B,"&lt;="&amp;$B$5),0))</f>
        <v/>
      </c>
      <c r="F379">
        <f>IF($D379=0,"",IFERROR(AVERAGEIFS(Assessments!J:J,Assessments!G:G,$A379,Assessments!B:B,$B$5),0)-IFERROR(AVERAGEIFS(Assessments!J:J,Assessments!G:G,$A379,Assessments!B:B,$B$4),0))</f>
        <v/>
      </c>
      <c r="G379">
        <f>IF($D379=0,"",MAXIFS(Assessments!J:J,Assessments!G:G,$A379,Assessments!B:B,"&gt;="&amp;$B$4,Assessments!B:B,"&lt;="&amp;$B$5))</f>
        <v/>
      </c>
      <c r="H379">
        <f>IF($D379=0,"",MINIFS(Assessments!J:J,Assessments!G:G,$A379,Assessments!B:B,"&gt;="&amp;$B$4,Assessments!B:B,"&lt;="&amp;$B$5))</f>
        <v/>
      </c>
    </row>
    <row r="380">
      <c r="A380">
        <f>IF(Students!A374="","",Students!A374)</f>
        <v/>
      </c>
      <c r="B380">
        <f>IF($A380="","",Students!B374)</f>
        <v/>
      </c>
      <c r="C380">
        <f>IF($A380="","",Students!C374)</f>
        <v/>
      </c>
      <c r="D380">
        <f>IF($A380="","",COUNTIFS(Assessments!G:G,$A380,Assessments!B:B,"&gt;="&amp;$B$4,Assessments!B:B,"&lt;="&amp;$B$5))</f>
        <v/>
      </c>
      <c r="E380">
        <f>IF($D380=0,"",ROUND(AVERAGEIFS(Assessments!J:J,Assessments!G:G,$A380,Assessments!B:B,"&gt;="&amp;$B$4,Assessments!B:B,"&lt;="&amp;$B$5),0))</f>
        <v/>
      </c>
      <c r="F380">
        <f>IF($D380=0,"",IFERROR(AVERAGEIFS(Assessments!J:J,Assessments!G:G,$A380,Assessments!B:B,$B$5),0)-IFERROR(AVERAGEIFS(Assessments!J:J,Assessments!G:G,$A380,Assessments!B:B,$B$4),0))</f>
        <v/>
      </c>
      <c r="G380">
        <f>IF($D380=0,"",MAXIFS(Assessments!J:J,Assessments!G:G,$A380,Assessments!B:B,"&gt;="&amp;$B$4,Assessments!B:B,"&lt;="&amp;$B$5))</f>
        <v/>
      </c>
      <c r="H380">
        <f>IF($D380=0,"",MINIFS(Assessments!J:J,Assessments!G:G,$A380,Assessments!B:B,"&gt;="&amp;$B$4,Assessments!B:B,"&lt;="&amp;$B$5))</f>
        <v/>
      </c>
    </row>
    <row r="381">
      <c r="A381">
        <f>IF(Students!A375="","",Students!A375)</f>
        <v/>
      </c>
      <c r="B381">
        <f>IF($A381="","",Students!B375)</f>
        <v/>
      </c>
      <c r="C381">
        <f>IF($A381="","",Students!C375)</f>
        <v/>
      </c>
      <c r="D381">
        <f>IF($A381="","",COUNTIFS(Assessments!G:G,$A381,Assessments!B:B,"&gt;="&amp;$B$4,Assessments!B:B,"&lt;="&amp;$B$5))</f>
        <v/>
      </c>
      <c r="E381">
        <f>IF($D381=0,"",ROUND(AVERAGEIFS(Assessments!J:J,Assessments!G:G,$A381,Assessments!B:B,"&gt;="&amp;$B$4,Assessments!B:B,"&lt;="&amp;$B$5),0))</f>
        <v/>
      </c>
      <c r="F381">
        <f>IF($D381=0,"",IFERROR(AVERAGEIFS(Assessments!J:J,Assessments!G:G,$A381,Assessments!B:B,$B$5),0)-IFERROR(AVERAGEIFS(Assessments!J:J,Assessments!G:G,$A381,Assessments!B:B,$B$4),0))</f>
        <v/>
      </c>
      <c r="G381">
        <f>IF($D381=0,"",MAXIFS(Assessments!J:J,Assessments!G:G,$A381,Assessments!B:B,"&gt;="&amp;$B$4,Assessments!B:B,"&lt;="&amp;$B$5))</f>
        <v/>
      </c>
      <c r="H381">
        <f>IF($D381=0,"",MINIFS(Assessments!J:J,Assessments!G:G,$A381,Assessments!B:B,"&gt;="&amp;$B$4,Assessments!B:B,"&lt;="&amp;$B$5))</f>
        <v/>
      </c>
    </row>
    <row r="382">
      <c r="A382">
        <f>IF(Students!A376="","",Students!A376)</f>
        <v/>
      </c>
      <c r="B382">
        <f>IF($A382="","",Students!B376)</f>
        <v/>
      </c>
      <c r="C382">
        <f>IF($A382="","",Students!C376)</f>
        <v/>
      </c>
      <c r="D382">
        <f>IF($A382="","",COUNTIFS(Assessments!G:G,$A382,Assessments!B:B,"&gt;="&amp;$B$4,Assessments!B:B,"&lt;="&amp;$B$5))</f>
        <v/>
      </c>
      <c r="E382">
        <f>IF($D382=0,"",ROUND(AVERAGEIFS(Assessments!J:J,Assessments!G:G,$A382,Assessments!B:B,"&gt;="&amp;$B$4,Assessments!B:B,"&lt;="&amp;$B$5),0))</f>
        <v/>
      </c>
      <c r="F382">
        <f>IF($D382=0,"",IFERROR(AVERAGEIFS(Assessments!J:J,Assessments!G:G,$A382,Assessments!B:B,$B$5),0)-IFERROR(AVERAGEIFS(Assessments!J:J,Assessments!G:G,$A382,Assessments!B:B,$B$4),0))</f>
        <v/>
      </c>
      <c r="G382">
        <f>IF($D382=0,"",MAXIFS(Assessments!J:J,Assessments!G:G,$A382,Assessments!B:B,"&gt;="&amp;$B$4,Assessments!B:B,"&lt;="&amp;$B$5))</f>
        <v/>
      </c>
      <c r="H382">
        <f>IF($D382=0,"",MINIFS(Assessments!J:J,Assessments!G:G,$A382,Assessments!B:B,"&gt;="&amp;$B$4,Assessments!B:B,"&lt;="&amp;$B$5))</f>
        <v/>
      </c>
    </row>
    <row r="383">
      <c r="A383">
        <f>IF(Students!A377="","",Students!A377)</f>
        <v/>
      </c>
      <c r="B383">
        <f>IF($A383="","",Students!B377)</f>
        <v/>
      </c>
      <c r="C383">
        <f>IF($A383="","",Students!C377)</f>
        <v/>
      </c>
      <c r="D383">
        <f>IF($A383="","",COUNTIFS(Assessments!G:G,$A383,Assessments!B:B,"&gt;="&amp;$B$4,Assessments!B:B,"&lt;="&amp;$B$5))</f>
        <v/>
      </c>
      <c r="E383">
        <f>IF($D383=0,"",ROUND(AVERAGEIFS(Assessments!J:J,Assessments!G:G,$A383,Assessments!B:B,"&gt;="&amp;$B$4,Assessments!B:B,"&lt;="&amp;$B$5),0))</f>
        <v/>
      </c>
      <c r="F383">
        <f>IF($D383=0,"",IFERROR(AVERAGEIFS(Assessments!J:J,Assessments!G:G,$A383,Assessments!B:B,$B$5),0)-IFERROR(AVERAGEIFS(Assessments!J:J,Assessments!G:G,$A383,Assessments!B:B,$B$4),0))</f>
        <v/>
      </c>
      <c r="G383">
        <f>IF($D383=0,"",MAXIFS(Assessments!J:J,Assessments!G:G,$A383,Assessments!B:B,"&gt;="&amp;$B$4,Assessments!B:B,"&lt;="&amp;$B$5))</f>
        <v/>
      </c>
      <c r="H383">
        <f>IF($D383=0,"",MINIFS(Assessments!J:J,Assessments!G:G,$A383,Assessments!B:B,"&gt;="&amp;$B$4,Assessments!B:B,"&lt;="&amp;$B$5))</f>
        <v/>
      </c>
    </row>
    <row r="384">
      <c r="A384">
        <f>IF(Students!A378="","",Students!A378)</f>
        <v/>
      </c>
      <c r="B384">
        <f>IF($A384="","",Students!B378)</f>
        <v/>
      </c>
      <c r="C384">
        <f>IF($A384="","",Students!C378)</f>
        <v/>
      </c>
      <c r="D384">
        <f>IF($A384="","",COUNTIFS(Assessments!G:G,$A384,Assessments!B:B,"&gt;="&amp;$B$4,Assessments!B:B,"&lt;="&amp;$B$5))</f>
        <v/>
      </c>
      <c r="E384">
        <f>IF($D384=0,"",ROUND(AVERAGEIFS(Assessments!J:J,Assessments!G:G,$A384,Assessments!B:B,"&gt;="&amp;$B$4,Assessments!B:B,"&lt;="&amp;$B$5),0))</f>
        <v/>
      </c>
      <c r="F384">
        <f>IF($D384=0,"",IFERROR(AVERAGEIFS(Assessments!J:J,Assessments!G:G,$A384,Assessments!B:B,$B$5),0)-IFERROR(AVERAGEIFS(Assessments!J:J,Assessments!G:G,$A384,Assessments!B:B,$B$4),0))</f>
        <v/>
      </c>
      <c r="G384">
        <f>IF($D384=0,"",MAXIFS(Assessments!J:J,Assessments!G:G,$A384,Assessments!B:B,"&gt;="&amp;$B$4,Assessments!B:B,"&lt;="&amp;$B$5))</f>
        <v/>
      </c>
      <c r="H384">
        <f>IF($D384=0,"",MINIFS(Assessments!J:J,Assessments!G:G,$A384,Assessments!B:B,"&gt;="&amp;$B$4,Assessments!B:B,"&lt;="&amp;$B$5))</f>
        <v/>
      </c>
    </row>
    <row r="385">
      <c r="A385">
        <f>IF(Students!A379="","",Students!A379)</f>
        <v/>
      </c>
      <c r="B385">
        <f>IF($A385="","",Students!B379)</f>
        <v/>
      </c>
      <c r="C385">
        <f>IF($A385="","",Students!C379)</f>
        <v/>
      </c>
      <c r="D385">
        <f>IF($A385="","",COUNTIFS(Assessments!G:G,$A385,Assessments!B:B,"&gt;="&amp;$B$4,Assessments!B:B,"&lt;="&amp;$B$5))</f>
        <v/>
      </c>
      <c r="E385">
        <f>IF($D385=0,"",ROUND(AVERAGEIFS(Assessments!J:J,Assessments!G:G,$A385,Assessments!B:B,"&gt;="&amp;$B$4,Assessments!B:B,"&lt;="&amp;$B$5),0))</f>
        <v/>
      </c>
      <c r="F385">
        <f>IF($D385=0,"",IFERROR(AVERAGEIFS(Assessments!J:J,Assessments!G:G,$A385,Assessments!B:B,$B$5),0)-IFERROR(AVERAGEIFS(Assessments!J:J,Assessments!G:G,$A385,Assessments!B:B,$B$4),0))</f>
        <v/>
      </c>
      <c r="G385">
        <f>IF($D385=0,"",MAXIFS(Assessments!J:J,Assessments!G:G,$A385,Assessments!B:B,"&gt;="&amp;$B$4,Assessments!B:B,"&lt;="&amp;$B$5))</f>
        <v/>
      </c>
      <c r="H385">
        <f>IF($D385=0,"",MINIFS(Assessments!J:J,Assessments!G:G,$A385,Assessments!B:B,"&gt;="&amp;$B$4,Assessments!B:B,"&lt;="&amp;$B$5))</f>
        <v/>
      </c>
    </row>
    <row r="386">
      <c r="A386">
        <f>IF(Students!A380="","",Students!A380)</f>
        <v/>
      </c>
      <c r="B386">
        <f>IF($A386="","",Students!B380)</f>
        <v/>
      </c>
      <c r="C386">
        <f>IF($A386="","",Students!C380)</f>
        <v/>
      </c>
      <c r="D386">
        <f>IF($A386="","",COUNTIFS(Assessments!G:G,$A386,Assessments!B:B,"&gt;="&amp;$B$4,Assessments!B:B,"&lt;="&amp;$B$5))</f>
        <v/>
      </c>
      <c r="E386">
        <f>IF($D386=0,"",ROUND(AVERAGEIFS(Assessments!J:J,Assessments!G:G,$A386,Assessments!B:B,"&gt;="&amp;$B$4,Assessments!B:B,"&lt;="&amp;$B$5),0))</f>
        <v/>
      </c>
      <c r="F386">
        <f>IF($D386=0,"",IFERROR(AVERAGEIFS(Assessments!J:J,Assessments!G:G,$A386,Assessments!B:B,$B$5),0)-IFERROR(AVERAGEIFS(Assessments!J:J,Assessments!G:G,$A386,Assessments!B:B,$B$4),0))</f>
        <v/>
      </c>
      <c r="G386">
        <f>IF($D386=0,"",MAXIFS(Assessments!J:J,Assessments!G:G,$A386,Assessments!B:B,"&gt;="&amp;$B$4,Assessments!B:B,"&lt;="&amp;$B$5))</f>
        <v/>
      </c>
      <c r="H386">
        <f>IF($D386=0,"",MINIFS(Assessments!J:J,Assessments!G:G,$A386,Assessments!B:B,"&gt;="&amp;$B$4,Assessments!B:B,"&lt;="&amp;$B$5))</f>
        <v/>
      </c>
    </row>
    <row r="387">
      <c r="A387">
        <f>IF(Students!A381="","",Students!A381)</f>
        <v/>
      </c>
      <c r="B387">
        <f>IF($A387="","",Students!B381)</f>
        <v/>
      </c>
      <c r="C387">
        <f>IF($A387="","",Students!C381)</f>
        <v/>
      </c>
      <c r="D387">
        <f>IF($A387="","",COUNTIFS(Assessments!G:G,$A387,Assessments!B:B,"&gt;="&amp;$B$4,Assessments!B:B,"&lt;="&amp;$B$5))</f>
        <v/>
      </c>
      <c r="E387">
        <f>IF($D387=0,"",ROUND(AVERAGEIFS(Assessments!J:J,Assessments!G:G,$A387,Assessments!B:B,"&gt;="&amp;$B$4,Assessments!B:B,"&lt;="&amp;$B$5),0))</f>
        <v/>
      </c>
      <c r="F387">
        <f>IF($D387=0,"",IFERROR(AVERAGEIFS(Assessments!J:J,Assessments!G:G,$A387,Assessments!B:B,$B$5),0)-IFERROR(AVERAGEIFS(Assessments!J:J,Assessments!G:G,$A387,Assessments!B:B,$B$4),0))</f>
        <v/>
      </c>
      <c r="G387">
        <f>IF($D387=0,"",MAXIFS(Assessments!J:J,Assessments!G:G,$A387,Assessments!B:B,"&gt;="&amp;$B$4,Assessments!B:B,"&lt;="&amp;$B$5))</f>
        <v/>
      </c>
      <c r="H387">
        <f>IF($D387=0,"",MINIFS(Assessments!J:J,Assessments!G:G,$A387,Assessments!B:B,"&gt;="&amp;$B$4,Assessments!B:B,"&lt;="&amp;$B$5))</f>
        <v/>
      </c>
    </row>
    <row r="388">
      <c r="A388">
        <f>IF(Students!A382="","",Students!A382)</f>
        <v/>
      </c>
      <c r="B388">
        <f>IF($A388="","",Students!B382)</f>
        <v/>
      </c>
      <c r="C388">
        <f>IF($A388="","",Students!C382)</f>
        <v/>
      </c>
      <c r="D388">
        <f>IF($A388="","",COUNTIFS(Assessments!G:G,$A388,Assessments!B:B,"&gt;="&amp;$B$4,Assessments!B:B,"&lt;="&amp;$B$5))</f>
        <v/>
      </c>
      <c r="E388">
        <f>IF($D388=0,"",ROUND(AVERAGEIFS(Assessments!J:J,Assessments!G:G,$A388,Assessments!B:B,"&gt;="&amp;$B$4,Assessments!B:B,"&lt;="&amp;$B$5),0))</f>
        <v/>
      </c>
      <c r="F388">
        <f>IF($D388=0,"",IFERROR(AVERAGEIFS(Assessments!J:J,Assessments!G:G,$A388,Assessments!B:B,$B$5),0)-IFERROR(AVERAGEIFS(Assessments!J:J,Assessments!G:G,$A388,Assessments!B:B,$B$4),0))</f>
        <v/>
      </c>
      <c r="G388">
        <f>IF($D388=0,"",MAXIFS(Assessments!J:J,Assessments!G:G,$A388,Assessments!B:B,"&gt;="&amp;$B$4,Assessments!B:B,"&lt;="&amp;$B$5))</f>
        <v/>
      </c>
      <c r="H388">
        <f>IF($D388=0,"",MINIFS(Assessments!J:J,Assessments!G:G,$A388,Assessments!B:B,"&gt;="&amp;$B$4,Assessments!B:B,"&lt;="&amp;$B$5))</f>
        <v/>
      </c>
    </row>
    <row r="389">
      <c r="A389">
        <f>IF(Students!A383="","",Students!A383)</f>
        <v/>
      </c>
      <c r="B389">
        <f>IF($A389="","",Students!B383)</f>
        <v/>
      </c>
      <c r="C389">
        <f>IF($A389="","",Students!C383)</f>
        <v/>
      </c>
      <c r="D389">
        <f>IF($A389="","",COUNTIFS(Assessments!G:G,$A389,Assessments!B:B,"&gt;="&amp;$B$4,Assessments!B:B,"&lt;="&amp;$B$5))</f>
        <v/>
      </c>
      <c r="E389">
        <f>IF($D389=0,"",ROUND(AVERAGEIFS(Assessments!J:J,Assessments!G:G,$A389,Assessments!B:B,"&gt;="&amp;$B$4,Assessments!B:B,"&lt;="&amp;$B$5),0))</f>
        <v/>
      </c>
      <c r="F389">
        <f>IF($D389=0,"",IFERROR(AVERAGEIFS(Assessments!J:J,Assessments!G:G,$A389,Assessments!B:B,$B$5),0)-IFERROR(AVERAGEIFS(Assessments!J:J,Assessments!G:G,$A389,Assessments!B:B,$B$4),0))</f>
        <v/>
      </c>
      <c r="G389">
        <f>IF($D389=0,"",MAXIFS(Assessments!J:J,Assessments!G:G,$A389,Assessments!B:B,"&gt;="&amp;$B$4,Assessments!B:B,"&lt;="&amp;$B$5))</f>
        <v/>
      </c>
      <c r="H389">
        <f>IF($D389=0,"",MINIFS(Assessments!J:J,Assessments!G:G,$A389,Assessments!B:B,"&gt;="&amp;$B$4,Assessments!B:B,"&lt;="&amp;$B$5))</f>
        <v/>
      </c>
    </row>
    <row r="390">
      <c r="A390">
        <f>IF(Students!A384="","",Students!A384)</f>
        <v/>
      </c>
      <c r="B390">
        <f>IF($A390="","",Students!B384)</f>
        <v/>
      </c>
      <c r="C390">
        <f>IF($A390="","",Students!C384)</f>
        <v/>
      </c>
      <c r="D390">
        <f>IF($A390="","",COUNTIFS(Assessments!G:G,$A390,Assessments!B:B,"&gt;="&amp;$B$4,Assessments!B:B,"&lt;="&amp;$B$5))</f>
        <v/>
      </c>
      <c r="E390">
        <f>IF($D390=0,"",ROUND(AVERAGEIFS(Assessments!J:J,Assessments!G:G,$A390,Assessments!B:B,"&gt;="&amp;$B$4,Assessments!B:B,"&lt;="&amp;$B$5),0))</f>
        <v/>
      </c>
      <c r="F390">
        <f>IF($D390=0,"",IFERROR(AVERAGEIFS(Assessments!J:J,Assessments!G:G,$A390,Assessments!B:B,$B$5),0)-IFERROR(AVERAGEIFS(Assessments!J:J,Assessments!G:G,$A390,Assessments!B:B,$B$4),0))</f>
        <v/>
      </c>
      <c r="G390">
        <f>IF($D390=0,"",MAXIFS(Assessments!J:J,Assessments!G:G,$A390,Assessments!B:B,"&gt;="&amp;$B$4,Assessments!B:B,"&lt;="&amp;$B$5))</f>
        <v/>
      </c>
      <c r="H390">
        <f>IF($D390=0,"",MINIFS(Assessments!J:J,Assessments!G:G,$A390,Assessments!B:B,"&gt;="&amp;$B$4,Assessments!B:B,"&lt;="&amp;$B$5))</f>
        <v/>
      </c>
    </row>
    <row r="391">
      <c r="A391">
        <f>IF(Students!A385="","",Students!A385)</f>
        <v/>
      </c>
      <c r="B391">
        <f>IF($A391="","",Students!B385)</f>
        <v/>
      </c>
      <c r="C391">
        <f>IF($A391="","",Students!C385)</f>
        <v/>
      </c>
      <c r="D391">
        <f>IF($A391="","",COUNTIFS(Assessments!G:G,$A391,Assessments!B:B,"&gt;="&amp;$B$4,Assessments!B:B,"&lt;="&amp;$B$5))</f>
        <v/>
      </c>
      <c r="E391">
        <f>IF($D391=0,"",ROUND(AVERAGEIFS(Assessments!J:J,Assessments!G:G,$A391,Assessments!B:B,"&gt;="&amp;$B$4,Assessments!B:B,"&lt;="&amp;$B$5),0))</f>
        <v/>
      </c>
      <c r="F391">
        <f>IF($D391=0,"",IFERROR(AVERAGEIFS(Assessments!J:J,Assessments!G:G,$A391,Assessments!B:B,$B$5),0)-IFERROR(AVERAGEIFS(Assessments!J:J,Assessments!G:G,$A391,Assessments!B:B,$B$4),0))</f>
        <v/>
      </c>
      <c r="G391">
        <f>IF($D391=0,"",MAXIFS(Assessments!J:J,Assessments!G:G,$A391,Assessments!B:B,"&gt;="&amp;$B$4,Assessments!B:B,"&lt;="&amp;$B$5))</f>
        <v/>
      </c>
      <c r="H391">
        <f>IF($D391=0,"",MINIFS(Assessments!J:J,Assessments!G:G,$A391,Assessments!B:B,"&gt;="&amp;$B$4,Assessments!B:B,"&lt;="&amp;$B$5))</f>
        <v/>
      </c>
    </row>
    <row r="392">
      <c r="A392">
        <f>IF(Students!A386="","",Students!A386)</f>
        <v/>
      </c>
      <c r="B392">
        <f>IF($A392="","",Students!B386)</f>
        <v/>
      </c>
      <c r="C392">
        <f>IF($A392="","",Students!C386)</f>
        <v/>
      </c>
      <c r="D392">
        <f>IF($A392="","",COUNTIFS(Assessments!G:G,$A392,Assessments!B:B,"&gt;="&amp;$B$4,Assessments!B:B,"&lt;="&amp;$B$5))</f>
        <v/>
      </c>
      <c r="E392">
        <f>IF($D392=0,"",ROUND(AVERAGEIFS(Assessments!J:J,Assessments!G:G,$A392,Assessments!B:B,"&gt;="&amp;$B$4,Assessments!B:B,"&lt;="&amp;$B$5),0))</f>
        <v/>
      </c>
      <c r="F392">
        <f>IF($D392=0,"",IFERROR(AVERAGEIFS(Assessments!J:J,Assessments!G:G,$A392,Assessments!B:B,$B$5),0)-IFERROR(AVERAGEIFS(Assessments!J:J,Assessments!G:G,$A392,Assessments!B:B,$B$4),0))</f>
        <v/>
      </c>
      <c r="G392">
        <f>IF($D392=0,"",MAXIFS(Assessments!J:J,Assessments!G:G,$A392,Assessments!B:B,"&gt;="&amp;$B$4,Assessments!B:B,"&lt;="&amp;$B$5))</f>
        <v/>
      </c>
      <c r="H392">
        <f>IF($D392=0,"",MINIFS(Assessments!J:J,Assessments!G:G,$A392,Assessments!B:B,"&gt;="&amp;$B$4,Assessments!B:B,"&lt;="&amp;$B$5))</f>
        <v/>
      </c>
    </row>
    <row r="393">
      <c r="A393">
        <f>IF(Students!A387="","",Students!A387)</f>
        <v/>
      </c>
      <c r="B393">
        <f>IF($A393="","",Students!B387)</f>
        <v/>
      </c>
      <c r="C393">
        <f>IF($A393="","",Students!C387)</f>
        <v/>
      </c>
      <c r="D393">
        <f>IF($A393="","",COUNTIFS(Assessments!G:G,$A393,Assessments!B:B,"&gt;="&amp;$B$4,Assessments!B:B,"&lt;="&amp;$B$5))</f>
        <v/>
      </c>
      <c r="E393">
        <f>IF($D393=0,"",ROUND(AVERAGEIFS(Assessments!J:J,Assessments!G:G,$A393,Assessments!B:B,"&gt;="&amp;$B$4,Assessments!B:B,"&lt;="&amp;$B$5),0))</f>
        <v/>
      </c>
      <c r="F393">
        <f>IF($D393=0,"",IFERROR(AVERAGEIFS(Assessments!J:J,Assessments!G:G,$A393,Assessments!B:B,$B$5),0)-IFERROR(AVERAGEIFS(Assessments!J:J,Assessments!G:G,$A393,Assessments!B:B,$B$4),0))</f>
        <v/>
      </c>
      <c r="G393">
        <f>IF($D393=0,"",MAXIFS(Assessments!J:J,Assessments!G:G,$A393,Assessments!B:B,"&gt;="&amp;$B$4,Assessments!B:B,"&lt;="&amp;$B$5))</f>
        <v/>
      </c>
      <c r="H393">
        <f>IF($D393=0,"",MINIFS(Assessments!J:J,Assessments!G:G,$A393,Assessments!B:B,"&gt;="&amp;$B$4,Assessments!B:B,"&lt;="&amp;$B$5))</f>
        <v/>
      </c>
    </row>
    <row r="394">
      <c r="A394">
        <f>IF(Students!A388="","",Students!A388)</f>
        <v/>
      </c>
      <c r="B394">
        <f>IF($A394="","",Students!B388)</f>
        <v/>
      </c>
      <c r="C394">
        <f>IF($A394="","",Students!C388)</f>
        <v/>
      </c>
      <c r="D394">
        <f>IF($A394="","",COUNTIFS(Assessments!G:G,$A394,Assessments!B:B,"&gt;="&amp;$B$4,Assessments!B:B,"&lt;="&amp;$B$5))</f>
        <v/>
      </c>
      <c r="E394">
        <f>IF($D394=0,"",ROUND(AVERAGEIFS(Assessments!J:J,Assessments!G:G,$A394,Assessments!B:B,"&gt;="&amp;$B$4,Assessments!B:B,"&lt;="&amp;$B$5),0))</f>
        <v/>
      </c>
      <c r="F394">
        <f>IF($D394=0,"",IFERROR(AVERAGEIFS(Assessments!J:J,Assessments!G:G,$A394,Assessments!B:B,$B$5),0)-IFERROR(AVERAGEIFS(Assessments!J:J,Assessments!G:G,$A394,Assessments!B:B,$B$4),0))</f>
        <v/>
      </c>
      <c r="G394">
        <f>IF($D394=0,"",MAXIFS(Assessments!J:J,Assessments!G:G,$A394,Assessments!B:B,"&gt;="&amp;$B$4,Assessments!B:B,"&lt;="&amp;$B$5))</f>
        <v/>
      </c>
      <c r="H394">
        <f>IF($D394=0,"",MINIFS(Assessments!J:J,Assessments!G:G,$A394,Assessments!B:B,"&gt;="&amp;$B$4,Assessments!B:B,"&lt;="&amp;$B$5))</f>
        <v/>
      </c>
    </row>
    <row r="395">
      <c r="A395">
        <f>IF(Students!A389="","",Students!A389)</f>
        <v/>
      </c>
      <c r="B395">
        <f>IF($A395="","",Students!B389)</f>
        <v/>
      </c>
      <c r="C395">
        <f>IF($A395="","",Students!C389)</f>
        <v/>
      </c>
      <c r="D395">
        <f>IF($A395="","",COUNTIFS(Assessments!G:G,$A395,Assessments!B:B,"&gt;="&amp;$B$4,Assessments!B:B,"&lt;="&amp;$B$5))</f>
        <v/>
      </c>
      <c r="E395">
        <f>IF($D395=0,"",ROUND(AVERAGEIFS(Assessments!J:J,Assessments!G:G,$A395,Assessments!B:B,"&gt;="&amp;$B$4,Assessments!B:B,"&lt;="&amp;$B$5),0))</f>
        <v/>
      </c>
      <c r="F395">
        <f>IF($D395=0,"",IFERROR(AVERAGEIFS(Assessments!J:J,Assessments!G:G,$A395,Assessments!B:B,$B$5),0)-IFERROR(AVERAGEIFS(Assessments!J:J,Assessments!G:G,$A395,Assessments!B:B,$B$4),0))</f>
        <v/>
      </c>
      <c r="G395">
        <f>IF($D395=0,"",MAXIFS(Assessments!J:J,Assessments!G:G,$A395,Assessments!B:B,"&gt;="&amp;$B$4,Assessments!B:B,"&lt;="&amp;$B$5))</f>
        <v/>
      </c>
      <c r="H395">
        <f>IF($D395=0,"",MINIFS(Assessments!J:J,Assessments!G:G,$A395,Assessments!B:B,"&gt;="&amp;$B$4,Assessments!B:B,"&lt;="&amp;$B$5))</f>
        <v/>
      </c>
    </row>
    <row r="396">
      <c r="A396">
        <f>IF(Students!A390="","",Students!A390)</f>
        <v/>
      </c>
      <c r="B396">
        <f>IF($A396="","",Students!B390)</f>
        <v/>
      </c>
      <c r="C396">
        <f>IF($A396="","",Students!C390)</f>
        <v/>
      </c>
      <c r="D396">
        <f>IF($A396="","",COUNTIFS(Assessments!G:G,$A396,Assessments!B:B,"&gt;="&amp;$B$4,Assessments!B:B,"&lt;="&amp;$B$5))</f>
        <v/>
      </c>
      <c r="E396">
        <f>IF($D396=0,"",ROUND(AVERAGEIFS(Assessments!J:J,Assessments!G:G,$A396,Assessments!B:B,"&gt;="&amp;$B$4,Assessments!B:B,"&lt;="&amp;$B$5),0))</f>
        <v/>
      </c>
      <c r="F396">
        <f>IF($D396=0,"",IFERROR(AVERAGEIFS(Assessments!J:J,Assessments!G:G,$A396,Assessments!B:B,$B$5),0)-IFERROR(AVERAGEIFS(Assessments!J:J,Assessments!G:G,$A396,Assessments!B:B,$B$4),0))</f>
        <v/>
      </c>
      <c r="G396">
        <f>IF($D396=0,"",MAXIFS(Assessments!J:J,Assessments!G:G,$A396,Assessments!B:B,"&gt;="&amp;$B$4,Assessments!B:B,"&lt;="&amp;$B$5))</f>
        <v/>
      </c>
      <c r="H396">
        <f>IF($D396=0,"",MINIFS(Assessments!J:J,Assessments!G:G,$A396,Assessments!B:B,"&gt;="&amp;$B$4,Assessments!B:B,"&lt;="&amp;$B$5))</f>
        <v/>
      </c>
    </row>
    <row r="397">
      <c r="A397">
        <f>IF(Students!A391="","",Students!A391)</f>
        <v/>
      </c>
      <c r="B397">
        <f>IF($A397="","",Students!B391)</f>
        <v/>
      </c>
      <c r="C397">
        <f>IF($A397="","",Students!C391)</f>
        <v/>
      </c>
      <c r="D397">
        <f>IF($A397="","",COUNTIFS(Assessments!G:G,$A397,Assessments!B:B,"&gt;="&amp;$B$4,Assessments!B:B,"&lt;="&amp;$B$5))</f>
        <v/>
      </c>
      <c r="E397">
        <f>IF($D397=0,"",ROUND(AVERAGEIFS(Assessments!J:J,Assessments!G:G,$A397,Assessments!B:B,"&gt;="&amp;$B$4,Assessments!B:B,"&lt;="&amp;$B$5),0))</f>
        <v/>
      </c>
      <c r="F397">
        <f>IF($D397=0,"",IFERROR(AVERAGEIFS(Assessments!J:J,Assessments!G:G,$A397,Assessments!B:B,$B$5),0)-IFERROR(AVERAGEIFS(Assessments!J:J,Assessments!G:G,$A397,Assessments!B:B,$B$4),0))</f>
        <v/>
      </c>
      <c r="G397">
        <f>IF($D397=0,"",MAXIFS(Assessments!J:J,Assessments!G:G,$A397,Assessments!B:B,"&gt;="&amp;$B$4,Assessments!B:B,"&lt;="&amp;$B$5))</f>
        <v/>
      </c>
      <c r="H397">
        <f>IF($D397=0,"",MINIFS(Assessments!J:J,Assessments!G:G,$A397,Assessments!B:B,"&gt;="&amp;$B$4,Assessments!B:B,"&lt;="&amp;$B$5))</f>
        <v/>
      </c>
    </row>
    <row r="398">
      <c r="A398">
        <f>IF(Students!A392="","",Students!A392)</f>
        <v/>
      </c>
      <c r="B398">
        <f>IF($A398="","",Students!B392)</f>
        <v/>
      </c>
      <c r="C398">
        <f>IF($A398="","",Students!C392)</f>
        <v/>
      </c>
      <c r="D398">
        <f>IF($A398="","",COUNTIFS(Assessments!G:G,$A398,Assessments!B:B,"&gt;="&amp;$B$4,Assessments!B:B,"&lt;="&amp;$B$5))</f>
        <v/>
      </c>
      <c r="E398">
        <f>IF($D398=0,"",ROUND(AVERAGEIFS(Assessments!J:J,Assessments!G:G,$A398,Assessments!B:B,"&gt;="&amp;$B$4,Assessments!B:B,"&lt;="&amp;$B$5),0))</f>
        <v/>
      </c>
      <c r="F398">
        <f>IF($D398=0,"",IFERROR(AVERAGEIFS(Assessments!J:J,Assessments!G:G,$A398,Assessments!B:B,$B$5),0)-IFERROR(AVERAGEIFS(Assessments!J:J,Assessments!G:G,$A398,Assessments!B:B,$B$4),0))</f>
        <v/>
      </c>
      <c r="G398">
        <f>IF($D398=0,"",MAXIFS(Assessments!J:J,Assessments!G:G,$A398,Assessments!B:B,"&gt;="&amp;$B$4,Assessments!B:B,"&lt;="&amp;$B$5))</f>
        <v/>
      </c>
      <c r="H398">
        <f>IF($D398=0,"",MINIFS(Assessments!J:J,Assessments!G:G,$A398,Assessments!B:B,"&gt;="&amp;$B$4,Assessments!B:B,"&lt;="&amp;$B$5))</f>
        <v/>
      </c>
    </row>
    <row r="399">
      <c r="A399">
        <f>IF(Students!A393="","",Students!A393)</f>
        <v/>
      </c>
      <c r="B399">
        <f>IF($A399="","",Students!B393)</f>
        <v/>
      </c>
      <c r="C399">
        <f>IF($A399="","",Students!C393)</f>
        <v/>
      </c>
      <c r="D399">
        <f>IF($A399="","",COUNTIFS(Assessments!G:G,$A399,Assessments!B:B,"&gt;="&amp;$B$4,Assessments!B:B,"&lt;="&amp;$B$5))</f>
        <v/>
      </c>
      <c r="E399">
        <f>IF($D399=0,"",ROUND(AVERAGEIFS(Assessments!J:J,Assessments!G:G,$A399,Assessments!B:B,"&gt;="&amp;$B$4,Assessments!B:B,"&lt;="&amp;$B$5),0))</f>
        <v/>
      </c>
      <c r="F399">
        <f>IF($D399=0,"",IFERROR(AVERAGEIFS(Assessments!J:J,Assessments!G:G,$A399,Assessments!B:B,$B$5),0)-IFERROR(AVERAGEIFS(Assessments!J:J,Assessments!G:G,$A399,Assessments!B:B,$B$4),0))</f>
        <v/>
      </c>
      <c r="G399">
        <f>IF($D399=0,"",MAXIFS(Assessments!J:J,Assessments!G:G,$A399,Assessments!B:B,"&gt;="&amp;$B$4,Assessments!B:B,"&lt;="&amp;$B$5))</f>
        <v/>
      </c>
      <c r="H399">
        <f>IF($D399=0,"",MINIFS(Assessments!J:J,Assessments!G:G,$A399,Assessments!B:B,"&gt;="&amp;$B$4,Assessments!B:B,"&lt;="&amp;$B$5))</f>
        <v/>
      </c>
    </row>
    <row r="400">
      <c r="A400">
        <f>IF(Students!A394="","",Students!A394)</f>
        <v/>
      </c>
      <c r="B400">
        <f>IF($A400="","",Students!B394)</f>
        <v/>
      </c>
      <c r="C400">
        <f>IF($A400="","",Students!C394)</f>
        <v/>
      </c>
      <c r="D400">
        <f>IF($A400="","",COUNTIFS(Assessments!G:G,$A400,Assessments!B:B,"&gt;="&amp;$B$4,Assessments!B:B,"&lt;="&amp;$B$5))</f>
        <v/>
      </c>
      <c r="E400">
        <f>IF($D400=0,"",ROUND(AVERAGEIFS(Assessments!J:J,Assessments!G:G,$A400,Assessments!B:B,"&gt;="&amp;$B$4,Assessments!B:B,"&lt;="&amp;$B$5),0))</f>
        <v/>
      </c>
      <c r="F400">
        <f>IF($D400=0,"",IFERROR(AVERAGEIFS(Assessments!J:J,Assessments!G:G,$A400,Assessments!B:B,$B$5),0)-IFERROR(AVERAGEIFS(Assessments!J:J,Assessments!G:G,$A400,Assessments!B:B,$B$4),0))</f>
        <v/>
      </c>
      <c r="G400">
        <f>IF($D400=0,"",MAXIFS(Assessments!J:J,Assessments!G:G,$A400,Assessments!B:B,"&gt;="&amp;$B$4,Assessments!B:B,"&lt;="&amp;$B$5))</f>
        <v/>
      </c>
      <c r="H400">
        <f>IF($D400=0,"",MINIFS(Assessments!J:J,Assessments!G:G,$A400,Assessments!B:B,"&gt;="&amp;$B$4,Assessments!B:B,"&lt;="&amp;$B$5))</f>
        <v/>
      </c>
    </row>
    <row r="401">
      <c r="A401">
        <f>IF(Students!A395="","",Students!A395)</f>
        <v/>
      </c>
      <c r="B401">
        <f>IF($A401="","",Students!B395)</f>
        <v/>
      </c>
      <c r="C401">
        <f>IF($A401="","",Students!C395)</f>
        <v/>
      </c>
      <c r="D401">
        <f>IF($A401="","",COUNTIFS(Assessments!G:G,$A401,Assessments!B:B,"&gt;="&amp;$B$4,Assessments!B:B,"&lt;="&amp;$B$5))</f>
        <v/>
      </c>
      <c r="E401">
        <f>IF($D401=0,"",ROUND(AVERAGEIFS(Assessments!J:J,Assessments!G:G,$A401,Assessments!B:B,"&gt;="&amp;$B$4,Assessments!B:B,"&lt;="&amp;$B$5),0))</f>
        <v/>
      </c>
      <c r="F401">
        <f>IF($D401=0,"",IFERROR(AVERAGEIFS(Assessments!J:J,Assessments!G:G,$A401,Assessments!B:B,$B$5),0)-IFERROR(AVERAGEIFS(Assessments!J:J,Assessments!G:G,$A401,Assessments!B:B,$B$4),0))</f>
        <v/>
      </c>
      <c r="G401">
        <f>IF($D401=0,"",MAXIFS(Assessments!J:J,Assessments!G:G,$A401,Assessments!B:B,"&gt;="&amp;$B$4,Assessments!B:B,"&lt;="&amp;$B$5))</f>
        <v/>
      </c>
      <c r="H401">
        <f>IF($D401=0,"",MINIFS(Assessments!J:J,Assessments!G:G,$A401,Assessments!B:B,"&gt;="&amp;$B$4,Assessments!B:B,"&lt;="&amp;$B$5))</f>
        <v/>
      </c>
    </row>
    <row r="402">
      <c r="A402">
        <f>IF(Students!A396="","",Students!A396)</f>
        <v/>
      </c>
      <c r="B402">
        <f>IF($A402="","",Students!B396)</f>
        <v/>
      </c>
      <c r="C402">
        <f>IF($A402="","",Students!C396)</f>
        <v/>
      </c>
      <c r="D402">
        <f>IF($A402="","",COUNTIFS(Assessments!G:G,$A402,Assessments!B:B,"&gt;="&amp;$B$4,Assessments!B:B,"&lt;="&amp;$B$5))</f>
        <v/>
      </c>
      <c r="E402">
        <f>IF($D402=0,"",ROUND(AVERAGEIFS(Assessments!J:J,Assessments!G:G,$A402,Assessments!B:B,"&gt;="&amp;$B$4,Assessments!B:B,"&lt;="&amp;$B$5),0))</f>
        <v/>
      </c>
      <c r="F402">
        <f>IF($D402=0,"",IFERROR(AVERAGEIFS(Assessments!J:J,Assessments!G:G,$A402,Assessments!B:B,$B$5),0)-IFERROR(AVERAGEIFS(Assessments!J:J,Assessments!G:G,$A402,Assessments!B:B,$B$4),0))</f>
        <v/>
      </c>
      <c r="G402">
        <f>IF($D402=0,"",MAXIFS(Assessments!J:J,Assessments!G:G,$A402,Assessments!B:B,"&gt;="&amp;$B$4,Assessments!B:B,"&lt;="&amp;$B$5))</f>
        <v/>
      </c>
      <c r="H402">
        <f>IF($D402=0,"",MINIFS(Assessments!J:J,Assessments!G:G,$A402,Assessments!B:B,"&gt;="&amp;$B$4,Assessments!B:B,"&lt;="&amp;$B$5))</f>
        <v/>
      </c>
    </row>
    <row r="403">
      <c r="A403">
        <f>IF(Students!A397="","",Students!A397)</f>
        <v/>
      </c>
      <c r="B403">
        <f>IF($A403="","",Students!B397)</f>
        <v/>
      </c>
      <c r="C403">
        <f>IF($A403="","",Students!C397)</f>
        <v/>
      </c>
      <c r="D403">
        <f>IF($A403="","",COUNTIFS(Assessments!G:G,$A403,Assessments!B:B,"&gt;="&amp;$B$4,Assessments!B:B,"&lt;="&amp;$B$5))</f>
        <v/>
      </c>
      <c r="E403">
        <f>IF($D403=0,"",ROUND(AVERAGEIFS(Assessments!J:J,Assessments!G:G,$A403,Assessments!B:B,"&gt;="&amp;$B$4,Assessments!B:B,"&lt;="&amp;$B$5),0))</f>
        <v/>
      </c>
      <c r="F403">
        <f>IF($D403=0,"",IFERROR(AVERAGEIFS(Assessments!J:J,Assessments!G:G,$A403,Assessments!B:B,$B$5),0)-IFERROR(AVERAGEIFS(Assessments!J:J,Assessments!G:G,$A403,Assessments!B:B,$B$4),0))</f>
        <v/>
      </c>
      <c r="G403">
        <f>IF($D403=0,"",MAXIFS(Assessments!J:J,Assessments!G:G,$A403,Assessments!B:B,"&gt;="&amp;$B$4,Assessments!B:B,"&lt;="&amp;$B$5))</f>
        <v/>
      </c>
      <c r="H403">
        <f>IF($D403=0,"",MINIFS(Assessments!J:J,Assessments!G:G,$A403,Assessments!B:B,"&gt;="&amp;$B$4,Assessments!B:B,"&lt;="&amp;$B$5))</f>
        <v/>
      </c>
    </row>
    <row r="404">
      <c r="A404">
        <f>IF(Students!A398="","",Students!A398)</f>
        <v/>
      </c>
      <c r="B404">
        <f>IF($A404="","",Students!B398)</f>
        <v/>
      </c>
      <c r="C404">
        <f>IF($A404="","",Students!C398)</f>
        <v/>
      </c>
      <c r="D404">
        <f>IF($A404="","",COUNTIFS(Assessments!G:G,$A404,Assessments!B:B,"&gt;="&amp;$B$4,Assessments!B:B,"&lt;="&amp;$B$5))</f>
        <v/>
      </c>
      <c r="E404">
        <f>IF($D404=0,"",ROUND(AVERAGEIFS(Assessments!J:J,Assessments!G:G,$A404,Assessments!B:B,"&gt;="&amp;$B$4,Assessments!B:B,"&lt;="&amp;$B$5),0))</f>
        <v/>
      </c>
      <c r="F404">
        <f>IF($D404=0,"",IFERROR(AVERAGEIFS(Assessments!J:J,Assessments!G:G,$A404,Assessments!B:B,$B$5),0)-IFERROR(AVERAGEIFS(Assessments!J:J,Assessments!G:G,$A404,Assessments!B:B,$B$4),0))</f>
        <v/>
      </c>
      <c r="G404">
        <f>IF($D404=0,"",MAXIFS(Assessments!J:J,Assessments!G:G,$A404,Assessments!B:B,"&gt;="&amp;$B$4,Assessments!B:B,"&lt;="&amp;$B$5))</f>
        <v/>
      </c>
      <c r="H404">
        <f>IF($D404=0,"",MINIFS(Assessments!J:J,Assessments!G:G,$A404,Assessments!B:B,"&gt;="&amp;$B$4,Assessments!B:B,"&lt;="&amp;$B$5))</f>
        <v/>
      </c>
    </row>
    <row r="405">
      <c r="A405">
        <f>IF(Students!A399="","",Students!A399)</f>
        <v/>
      </c>
      <c r="B405">
        <f>IF($A405="","",Students!B399)</f>
        <v/>
      </c>
      <c r="C405">
        <f>IF($A405="","",Students!C399)</f>
        <v/>
      </c>
      <c r="D405">
        <f>IF($A405="","",COUNTIFS(Assessments!G:G,$A405,Assessments!B:B,"&gt;="&amp;$B$4,Assessments!B:B,"&lt;="&amp;$B$5))</f>
        <v/>
      </c>
      <c r="E405">
        <f>IF($D405=0,"",ROUND(AVERAGEIFS(Assessments!J:J,Assessments!G:G,$A405,Assessments!B:B,"&gt;="&amp;$B$4,Assessments!B:B,"&lt;="&amp;$B$5),0))</f>
        <v/>
      </c>
      <c r="F405">
        <f>IF($D405=0,"",IFERROR(AVERAGEIFS(Assessments!J:J,Assessments!G:G,$A405,Assessments!B:B,$B$5),0)-IFERROR(AVERAGEIFS(Assessments!J:J,Assessments!G:G,$A405,Assessments!B:B,$B$4),0))</f>
        <v/>
      </c>
      <c r="G405">
        <f>IF($D405=0,"",MAXIFS(Assessments!J:J,Assessments!G:G,$A405,Assessments!B:B,"&gt;="&amp;$B$4,Assessments!B:B,"&lt;="&amp;$B$5))</f>
        <v/>
      </c>
      <c r="H405">
        <f>IF($D405=0,"",MINIFS(Assessments!J:J,Assessments!G:G,$A405,Assessments!B:B,"&gt;="&amp;$B$4,Assessments!B:B,"&lt;="&amp;$B$5))</f>
        <v/>
      </c>
    </row>
    <row r="406">
      <c r="A406">
        <f>IF(Students!A400="","",Students!A400)</f>
        <v/>
      </c>
      <c r="B406">
        <f>IF($A406="","",Students!B400)</f>
        <v/>
      </c>
      <c r="C406">
        <f>IF($A406="","",Students!C400)</f>
        <v/>
      </c>
      <c r="D406">
        <f>IF($A406="","",COUNTIFS(Assessments!G:G,$A406,Assessments!B:B,"&gt;="&amp;$B$4,Assessments!B:B,"&lt;="&amp;$B$5))</f>
        <v/>
      </c>
      <c r="E406">
        <f>IF($D406=0,"",ROUND(AVERAGEIFS(Assessments!J:J,Assessments!G:G,$A406,Assessments!B:B,"&gt;="&amp;$B$4,Assessments!B:B,"&lt;="&amp;$B$5),0))</f>
        <v/>
      </c>
      <c r="F406">
        <f>IF($D406=0,"",IFERROR(AVERAGEIFS(Assessments!J:J,Assessments!G:G,$A406,Assessments!B:B,$B$5),0)-IFERROR(AVERAGEIFS(Assessments!J:J,Assessments!G:G,$A406,Assessments!B:B,$B$4),0))</f>
        <v/>
      </c>
      <c r="G406">
        <f>IF($D406=0,"",MAXIFS(Assessments!J:J,Assessments!G:G,$A406,Assessments!B:B,"&gt;="&amp;$B$4,Assessments!B:B,"&lt;="&amp;$B$5))</f>
        <v/>
      </c>
      <c r="H406">
        <f>IF($D406=0,"",MINIFS(Assessments!J:J,Assessments!G:G,$A406,Assessments!B:B,"&gt;="&amp;$B$4,Assessments!B:B,"&lt;="&amp;$B$5))</f>
        <v/>
      </c>
    </row>
    <row r="407">
      <c r="A407">
        <f>IF(Students!A401="","",Students!A401)</f>
        <v/>
      </c>
      <c r="B407">
        <f>IF($A407="","",Students!B401)</f>
        <v/>
      </c>
      <c r="C407">
        <f>IF($A407="","",Students!C401)</f>
        <v/>
      </c>
      <c r="D407">
        <f>IF($A407="","",COUNTIFS(Assessments!G:G,$A407,Assessments!B:B,"&gt;="&amp;$B$4,Assessments!B:B,"&lt;="&amp;$B$5))</f>
        <v/>
      </c>
      <c r="E407">
        <f>IF($D407=0,"",ROUND(AVERAGEIFS(Assessments!J:J,Assessments!G:G,$A407,Assessments!B:B,"&gt;="&amp;$B$4,Assessments!B:B,"&lt;="&amp;$B$5),0))</f>
        <v/>
      </c>
      <c r="F407">
        <f>IF($D407=0,"",IFERROR(AVERAGEIFS(Assessments!J:J,Assessments!G:G,$A407,Assessments!B:B,$B$5),0)-IFERROR(AVERAGEIFS(Assessments!J:J,Assessments!G:G,$A407,Assessments!B:B,$B$4),0))</f>
        <v/>
      </c>
      <c r="G407">
        <f>IF($D407=0,"",MAXIFS(Assessments!J:J,Assessments!G:G,$A407,Assessments!B:B,"&gt;="&amp;$B$4,Assessments!B:B,"&lt;="&amp;$B$5))</f>
        <v/>
      </c>
      <c r="H407">
        <f>IF($D407=0,"",MINIFS(Assessments!J:J,Assessments!G:G,$A407,Assessments!B:B,"&gt;="&amp;$B$4,Assessments!B:B,"&lt;="&amp;$B$5))</f>
        <v/>
      </c>
    </row>
    <row r="408">
      <c r="A408">
        <f>IF(Students!A402="","",Students!A402)</f>
        <v/>
      </c>
      <c r="B408">
        <f>IF($A408="","",Students!B402)</f>
        <v/>
      </c>
      <c r="C408">
        <f>IF($A408="","",Students!C402)</f>
        <v/>
      </c>
      <c r="D408">
        <f>IF($A408="","",COUNTIFS(Assessments!G:G,$A408,Assessments!B:B,"&gt;="&amp;$B$4,Assessments!B:B,"&lt;="&amp;$B$5))</f>
        <v/>
      </c>
      <c r="E408">
        <f>IF($D408=0,"",ROUND(AVERAGEIFS(Assessments!J:J,Assessments!G:G,$A408,Assessments!B:B,"&gt;="&amp;$B$4,Assessments!B:B,"&lt;="&amp;$B$5),0))</f>
        <v/>
      </c>
      <c r="F408">
        <f>IF($D408=0,"",IFERROR(AVERAGEIFS(Assessments!J:J,Assessments!G:G,$A408,Assessments!B:B,$B$5),0)-IFERROR(AVERAGEIFS(Assessments!J:J,Assessments!G:G,$A408,Assessments!B:B,$B$4),0))</f>
        <v/>
      </c>
      <c r="G408">
        <f>IF($D408=0,"",MAXIFS(Assessments!J:J,Assessments!G:G,$A408,Assessments!B:B,"&gt;="&amp;$B$4,Assessments!B:B,"&lt;="&amp;$B$5))</f>
        <v/>
      </c>
      <c r="H408">
        <f>IF($D408=0,"",MINIFS(Assessments!J:J,Assessments!G:G,$A408,Assessments!B:B,"&gt;="&amp;$B$4,Assessments!B:B,"&lt;="&amp;$B$5))</f>
        <v/>
      </c>
    </row>
    <row r="409">
      <c r="A409">
        <f>IF(Students!A403="","",Students!A403)</f>
        <v/>
      </c>
      <c r="B409">
        <f>IF($A409="","",Students!B403)</f>
        <v/>
      </c>
      <c r="C409">
        <f>IF($A409="","",Students!C403)</f>
        <v/>
      </c>
      <c r="D409">
        <f>IF($A409="","",COUNTIFS(Assessments!G:G,$A409,Assessments!B:B,"&gt;="&amp;$B$4,Assessments!B:B,"&lt;="&amp;$B$5))</f>
        <v/>
      </c>
      <c r="E409">
        <f>IF($D409=0,"",ROUND(AVERAGEIFS(Assessments!J:J,Assessments!G:G,$A409,Assessments!B:B,"&gt;="&amp;$B$4,Assessments!B:B,"&lt;="&amp;$B$5),0))</f>
        <v/>
      </c>
      <c r="F409">
        <f>IF($D409=0,"",IFERROR(AVERAGEIFS(Assessments!J:J,Assessments!G:G,$A409,Assessments!B:B,$B$5),0)-IFERROR(AVERAGEIFS(Assessments!J:J,Assessments!G:G,$A409,Assessments!B:B,$B$4),0))</f>
        <v/>
      </c>
      <c r="G409">
        <f>IF($D409=0,"",MAXIFS(Assessments!J:J,Assessments!G:G,$A409,Assessments!B:B,"&gt;="&amp;$B$4,Assessments!B:B,"&lt;="&amp;$B$5))</f>
        <v/>
      </c>
      <c r="H409">
        <f>IF($D409=0,"",MINIFS(Assessments!J:J,Assessments!G:G,$A409,Assessments!B:B,"&gt;="&amp;$B$4,Assessments!B:B,"&lt;="&amp;$B$5))</f>
        <v/>
      </c>
    </row>
    <row r="410">
      <c r="A410">
        <f>IF(Students!A404="","",Students!A404)</f>
        <v/>
      </c>
      <c r="B410">
        <f>IF($A410="","",Students!B404)</f>
        <v/>
      </c>
      <c r="C410">
        <f>IF($A410="","",Students!C404)</f>
        <v/>
      </c>
      <c r="D410">
        <f>IF($A410="","",COUNTIFS(Assessments!G:G,$A410,Assessments!B:B,"&gt;="&amp;$B$4,Assessments!B:B,"&lt;="&amp;$B$5))</f>
        <v/>
      </c>
      <c r="E410">
        <f>IF($D410=0,"",ROUND(AVERAGEIFS(Assessments!J:J,Assessments!G:G,$A410,Assessments!B:B,"&gt;="&amp;$B$4,Assessments!B:B,"&lt;="&amp;$B$5),0))</f>
        <v/>
      </c>
      <c r="F410">
        <f>IF($D410=0,"",IFERROR(AVERAGEIFS(Assessments!J:J,Assessments!G:G,$A410,Assessments!B:B,$B$5),0)-IFERROR(AVERAGEIFS(Assessments!J:J,Assessments!G:G,$A410,Assessments!B:B,$B$4),0))</f>
        <v/>
      </c>
      <c r="G410">
        <f>IF($D410=0,"",MAXIFS(Assessments!J:J,Assessments!G:G,$A410,Assessments!B:B,"&gt;="&amp;$B$4,Assessments!B:B,"&lt;="&amp;$B$5))</f>
        <v/>
      </c>
      <c r="H410">
        <f>IF($D410=0,"",MINIFS(Assessments!J:J,Assessments!G:G,$A410,Assessments!B:B,"&gt;="&amp;$B$4,Assessments!B:B,"&lt;="&amp;$B$5))</f>
        <v/>
      </c>
    </row>
    <row r="411">
      <c r="A411">
        <f>IF(Students!A405="","",Students!A405)</f>
        <v/>
      </c>
      <c r="B411">
        <f>IF($A411="","",Students!B405)</f>
        <v/>
      </c>
      <c r="C411">
        <f>IF($A411="","",Students!C405)</f>
        <v/>
      </c>
      <c r="D411">
        <f>IF($A411="","",COUNTIFS(Assessments!G:G,$A411,Assessments!B:B,"&gt;="&amp;$B$4,Assessments!B:B,"&lt;="&amp;$B$5))</f>
        <v/>
      </c>
      <c r="E411">
        <f>IF($D411=0,"",ROUND(AVERAGEIFS(Assessments!J:J,Assessments!G:G,$A411,Assessments!B:B,"&gt;="&amp;$B$4,Assessments!B:B,"&lt;="&amp;$B$5),0))</f>
        <v/>
      </c>
      <c r="F411">
        <f>IF($D411=0,"",IFERROR(AVERAGEIFS(Assessments!J:J,Assessments!G:G,$A411,Assessments!B:B,$B$5),0)-IFERROR(AVERAGEIFS(Assessments!J:J,Assessments!G:G,$A411,Assessments!B:B,$B$4),0))</f>
        <v/>
      </c>
      <c r="G411">
        <f>IF($D411=0,"",MAXIFS(Assessments!J:J,Assessments!G:G,$A411,Assessments!B:B,"&gt;="&amp;$B$4,Assessments!B:B,"&lt;="&amp;$B$5))</f>
        <v/>
      </c>
      <c r="H411">
        <f>IF($D411=0,"",MINIFS(Assessments!J:J,Assessments!G:G,$A411,Assessments!B:B,"&gt;="&amp;$B$4,Assessments!B:B,"&lt;="&amp;$B$5))</f>
        <v/>
      </c>
    </row>
    <row r="412">
      <c r="A412">
        <f>IF(Students!A406="","",Students!A406)</f>
        <v/>
      </c>
      <c r="B412">
        <f>IF($A412="","",Students!B406)</f>
        <v/>
      </c>
      <c r="C412">
        <f>IF($A412="","",Students!C406)</f>
        <v/>
      </c>
      <c r="D412">
        <f>IF($A412="","",COUNTIFS(Assessments!G:G,$A412,Assessments!B:B,"&gt;="&amp;$B$4,Assessments!B:B,"&lt;="&amp;$B$5))</f>
        <v/>
      </c>
      <c r="E412">
        <f>IF($D412=0,"",ROUND(AVERAGEIFS(Assessments!J:J,Assessments!G:G,$A412,Assessments!B:B,"&gt;="&amp;$B$4,Assessments!B:B,"&lt;="&amp;$B$5),0))</f>
        <v/>
      </c>
      <c r="F412">
        <f>IF($D412=0,"",IFERROR(AVERAGEIFS(Assessments!J:J,Assessments!G:G,$A412,Assessments!B:B,$B$5),0)-IFERROR(AVERAGEIFS(Assessments!J:J,Assessments!G:G,$A412,Assessments!B:B,$B$4),0))</f>
        <v/>
      </c>
      <c r="G412">
        <f>IF($D412=0,"",MAXIFS(Assessments!J:J,Assessments!G:G,$A412,Assessments!B:B,"&gt;="&amp;$B$4,Assessments!B:B,"&lt;="&amp;$B$5))</f>
        <v/>
      </c>
      <c r="H412">
        <f>IF($D412=0,"",MINIFS(Assessments!J:J,Assessments!G:G,$A412,Assessments!B:B,"&gt;="&amp;$B$4,Assessments!B:B,"&lt;="&amp;$B$5))</f>
        <v/>
      </c>
    </row>
    <row r="413">
      <c r="A413">
        <f>IF(Students!A407="","",Students!A407)</f>
        <v/>
      </c>
      <c r="B413">
        <f>IF($A413="","",Students!B407)</f>
        <v/>
      </c>
      <c r="C413">
        <f>IF($A413="","",Students!C407)</f>
        <v/>
      </c>
      <c r="D413">
        <f>IF($A413="","",COUNTIFS(Assessments!G:G,$A413,Assessments!B:B,"&gt;="&amp;$B$4,Assessments!B:B,"&lt;="&amp;$B$5))</f>
        <v/>
      </c>
      <c r="E413">
        <f>IF($D413=0,"",ROUND(AVERAGEIFS(Assessments!J:J,Assessments!G:G,$A413,Assessments!B:B,"&gt;="&amp;$B$4,Assessments!B:B,"&lt;="&amp;$B$5),0))</f>
        <v/>
      </c>
      <c r="F413">
        <f>IF($D413=0,"",IFERROR(AVERAGEIFS(Assessments!J:J,Assessments!G:G,$A413,Assessments!B:B,$B$5),0)-IFERROR(AVERAGEIFS(Assessments!J:J,Assessments!G:G,$A413,Assessments!B:B,$B$4),0))</f>
        <v/>
      </c>
      <c r="G413">
        <f>IF($D413=0,"",MAXIFS(Assessments!J:J,Assessments!G:G,$A413,Assessments!B:B,"&gt;="&amp;$B$4,Assessments!B:B,"&lt;="&amp;$B$5))</f>
        <v/>
      </c>
      <c r="H413">
        <f>IF($D413=0,"",MINIFS(Assessments!J:J,Assessments!G:G,$A413,Assessments!B:B,"&gt;="&amp;$B$4,Assessments!B:B,"&lt;="&amp;$B$5))</f>
        <v/>
      </c>
    </row>
    <row r="414">
      <c r="A414">
        <f>IF(Students!A408="","",Students!A408)</f>
        <v/>
      </c>
      <c r="B414">
        <f>IF($A414="","",Students!B408)</f>
        <v/>
      </c>
      <c r="C414">
        <f>IF($A414="","",Students!C408)</f>
        <v/>
      </c>
      <c r="D414">
        <f>IF($A414="","",COUNTIFS(Assessments!G:G,$A414,Assessments!B:B,"&gt;="&amp;$B$4,Assessments!B:B,"&lt;="&amp;$B$5))</f>
        <v/>
      </c>
      <c r="E414">
        <f>IF($D414=0,"",ROUND(AVERAGEIFS(Assessments!J:J,Assessments!G:G,$A414,Assessments!B:B,"&gt;="&amp;$B$4,Assessments!B:B,"&lt;="&amp;$B$5),0))</f>
        <v/>
      </c>
      <c r="F414">
        <f>IF($D414=0,"",IFERROR(AVERAGEIFS(Assessments!J:J,Assessments!G:G,$A414,Assessments!B:B,$B$5),0)-IFERROR(AVERAGEIFS(Assessments!J:J,Assessments!G:G,$A414,Assessments!B:B,$B$4),0))</f>
        <v/>
      </c>
      <c r="G414">
        <f>IF($D414=0,"",MAXIFS(Assessments!J:J,Assessments!G:G,$A414,Assessments!B:B,"&gt;="&amp;$B$4,Assessments!B:B,"&lt;="&amp;$B$5))</f>
        <v/>
      </c>
      <c r="H414">
        <f>IF($D414=0,"",MINIFS(Assessments!J:J,Assessments!G:G,$A414,Assessments!B:B,"&gt;="&amp;$B$4,Assessments!B:B,"&lt;="&amp;$B$5))</f>
        <v/>
      </c>
    </row>
    <row r="415">
      <c r="A415">
        <f>IF(Students!A409="","",Students!A409)</f>
        <v/>
      </c>
      <c r="B415">
        <f>IF($A415="","",Students!B409)</f>
        <v/>
      </c>
      <c r="C415">
        <f>IF($A415="","",Students!C409)</f>
        <v/>
      </c>
      <c r="D415">
        <f>IF($A415="","",COUNTIFS(Assessments!G:G,$A415,Assessments!B:B,"&gt;="&amp;$B$4,Assessments!B:B,"&lt;="&amp;$B$5))</f>
        <v/>
      </c>
      <c r="E415">
        <f>IF($D415=0,"",ROUND(AVERAGEIFS(Assessments!J:J,Assessments!G:G,$A415,Assessments!B:B,"&gt;="&amp;$B$4,Assessments!B:B,"&lt;="&amp;$B$5),0))</f>
        <v/>
      </c>
      <c r="F415">
        <f>IF($D415=0,"",IFERROR(AVERAGEIFS(Assessments!J:J,Assessments!G:G,$A415,Assessments!B:B,$B$5),0)-IFERROR(AVERAGEIFS(Assessments!J:J,Assessments!G:G,$A415,Assessments!B:B,$B$4),0))</f>
        <v/>
      </c>
      <c r="G415">
        <f>IF($D415=0,"",MAXIFS(Assessments!J:J,Assessments!G:G,$A415,Assessments!B:B,"&gt;="&amp;$B$4,Assessments!B:B,"&lt;="&amp;$B$5))</f>
        <v/>
      </c>
      <c r="H415">
        <f>IF($D415=0,"",MINIFS(Assessments!J:J,Assessments!G:G,$A415,Assessments!B:B,"&gt;="&amp;$B$4,Assessments!B:B,"&lt;="&amp;$B$5))</f>
        <v/>
      </c>
    </row>
    <row r="416">
      <c r="A416">
        <f>IF(Students!A410="","",Students!A410)</f>
        <v/>
      </c>
      <c r="B416">
        <f>IF($A416="","",Students!B410)</f>
        <v/>
      </c>
      <c r="C416">
        <f>IF($A416="","",Students!C410)</f>
        <v/>
      </c>
      <c r="D416">
        <f>IF($A416="","",COUNTIFS(Assessments!G:G,$A416,Assessments!B:B,"&gt;="&amp;$B$4,Assessments!B:B,"&lt;="&amp;$B$5))</f>
        <v/>
      </c>
      <c r="E416">
        <f>IF($D416=0,"",ROUND(AVERAGEIFS(Assessments!J:J,Assessments!G:G,$A416,Assessments!B:B,"&gt;="&amp;$B$4,Assessments!B:B,"&lt;="&amp;$B$5),0))</f>
        <v/>
      </c>
      <c r="F416">
        <f>IF($D416=0,"",IFERROR(AVERAGEIFS(Assessments!J:J,Assessments!G:G,$A416,Assessments!B:B,$B$5),0)-IFERROR(AVERAGEIFS(Assessments!J:J,Assessments!G:G,$A416,Assessments!B:B,$B$4),0))</f>
        <v/>
      </c>
      <c r="G416">
        <f>IF($D416=0,"",MAXIFS(Assessments!J:J,Assessments!G:G,$A416,Assessments!B:B,"&gt;="&amp;$B$4,Assessments!B:B,"&lt;="&amp;$B$5))</f>
        <v/>
      </c>
      <c r="H416">
        <f>IF($D416=0,"",MINIFS(Assessments!J:J,Assessments!G:G,$A416,Assessments!B:B,"&gt;="&amp;$B$4,Assessments!B:B,"&lt;="&amp;$B$5))</f>
        <v/>
      </c>
    </row>
    <row r="417">
      <c r="A417">
        <f>IF(Students!A411="","",Students!A411)</f>
        <v/>
      </c>
      <c r="B417">
        <f>IF($A417="","",Students!B411)</f>
        <v/>
      </c>
      <c r="C417">
        <f>IF($A417="","",Students!C411)</f>
        <v/>
      </c>
      <c r="D417">
        <f>IF($A417="","",COUNTIFS(Assessments!G:G,$A417,Assessments!B:B,"&gt;="&amp;$B$4,Assessments!B:B,"&lt;="&amp;$B$5))</f>
        <v/>
      </c>
      <c r="E417">
        <f>IF($D417=0,"",ROUND(AVERAGEIFS(Assessments!J:J,Assessments!G:G,$A417,Assessments!B:B,"&gt;="&amp;$B$4,Assessments!B:B,"&lt;="&amp;$B$5),0))</f>
        <v/>
      </c>
      <c r="F417">
        <f>IF($D417=0,"",IFERROR(AVERAGEIFS(Assessments!J:J,Assessments!G:G,$A417,Assessments!B:B,$B$5),0)-IFERROR(AVERAGEIFS(Assessments!J:J,Assessments!G:G,$A417,Assessments!B:B,$B$4),0))</f>
        <v/>
      </c>
      <c r="G417">
        <f>IF($D417=0,"",MAXIFS(Assessments!J:J,Assessments!G:G,$A417,Assessments!B:B,"&gt;="&amp;$B$4,Assessments!B:B,"&lt;="&amp;$B$5))</f>
        <v/>
      </c>
      <c r="H417">
        <f>IF($D417=0,"",MINIFS(Assessments!J:J,Assessments!G:G,$A417,Assessments!B:B,"&gt;="&amp;$B$4,Assessments!B:B,"&lt;="&amp;$B$5))</f>
        <v/>
      </c>
    </row>
    <row r="418">
      <c r="A418">
        <f>IF(Students!A412="","",Students!A412)</f>
        <v/>
      </c>
      <c r="B418">
        <f>IF($A418="","",Students!B412)</f>
        <v/>
      </c>
      <c r="C418">
        <f>IF($A418="","",Students!C412)</f>
        <v/>
      </c>
      <c r="D418">
        <f>IF($A418="","",COUNTIFS(Assessments!G:G,$A418,Assessments!B:B,"&gt;="&amp;$B$4,Assessments!B:B,"&lt;="&amp;$B$5))</f>
        <v/>
      </c>
      <c r="E418">
        <f>IF($D418=0,"",ROUND(AVERAGEIFS(Assessments!J:J,Assessments!G:G,$A418,Assessments!B:B,"&gt;="&amp;$B$4,Assessments!B:B,"&lt;="&amp;$B$5),0))</f>
        <v/>
      </c>
      <c r="F418">
        <f>IF($D418=0,"",IFERROR(AVERAGEIFS(Assessments!J:J,Assessments!G:G,$A418,Assessments!B:B,$B$5),0)-IFERROR(AVERAGEIFS(Assessments!J:J,Assessments!G:G,$A418,Assessments!B:B,$B$4),0))</f>
        <v/>
      </c>
      <c r="G418">
        <f>IF($D418=0,"",MAXIFS(Assessments!J:J,Assessments!G:G,$A418,Assessments!B:B,"&gt;="&amp;$B$4,Assessments!B:B,"&lt;="&amp;$B$5))</f>
        <v/>
      </c>
      <c r="H418">
        <f>IF($D418=0,"",MINIFS(Assessments!J:J,Assessments!G:G,$A418,Assessments!B:B,"&gt;="&amp;$B$4,Assessments!B:B,"&lt;="&amp;$B$5))</f>
        <v/>
      </c>
    </row>
    <row r="419">
      <c r="A419">
        <f>IF(Students!A413="","",Students!A413)</f>
        <v/>
      </c>
      <c r="B419">
        <f>IF($A419="","",Students!B413)</f>
        <v/>
      </c>
      <c r="C419">
        <f>IF($A419="","",Students!C413)</f>
        <v/>
      </c>
      <c r="D419">
        <f>IF($A419="","",COUNTIFS(Assessments!G:G,$A419,Assessments!B:B,"&gt;="&amp;$B$4,Assessments!B:B,"&lt;="&amp;$B$5))</f>
        <v/>
      </c>
      <c r="E419">
        <f>IF($D419=0,"",ROUND(AVERAGEIFS(Assessments!J:J,Assessments!G:G,$A419,Assessments!B:B,"&gt;="&amp;$B$4,Assessments!B:B,"&lt;="&amp;$B$5),0))</f>
        <v/>
      </c>
      <c r="F419">
        <f>IF($D419=0,"",IFERROR(AVERAGEIFS(Assessments!J:J,Assessments!G:G,$A419,Assessments!B:B,$B$5),0)-IFERROR(AVERAGEIFS(Assessments!J:J,Assessments!G:G,$A419,Assessments!B:B,$B$4),0))</f>
        <v/>
      </c>
      <c r="G419">
        <f>IF($D419=0,"",MAXIFS(Assessments!J:J,Assessments!G:G,$A419,Assessments!B:B,"&gt;="&amp;$B$4,Assessments!B:B,"&lt;="&amp;$B$5))</f>
        <v/>
      </c>
      <c r="H419">
        <f>IF($D419=0,"",MINIFS(Assessments!J:J,Assessments!G:G,$A419,Assessments!B:B,"&gt;="&amp;$B$4,Assessments!B:B,"&lt;="&amp;$B$5))</f>
        <v/>
      </c>
    </row>
    <row r="420">
      <c r="A420">
        <f>IF(Students!A414="","",Students!A414)</f>
        <v/>
      </c>
      <c r="B420">
        <f>IF($A420="","",Students!B414)</f>
        <v/>
      </c>
      <c r="C420">
        <f>IF($A420="","",Students!C414)</f>
        <v/>
      </c>
      <c r="D420">
        <f>IF($A420="","",COUNTIFS(Assessments!G:G,$A420,Assessments!B:B,"&gt;="&amp;$B$4,Assessments!B:B,"&lt;="&amp;$B$5))</f>
        <v/>
      </c>
      <c r="E420">
        <f>IF($D420=0,"",ROUND(AVERAGEIFS(Assessments!J:J,Assessments!G:G,$A420,Assessments!B:B,"&gt;="&amp;$B$4,Assessments!B:B,"&lt;="&amp;$B$5),0))</f>
        <v/>
      </c>
      <c r="F420">
        <f>IF($D420=0,"",IFERROR(AVERAGEIFS(Assessments!J:J,Assessments!G:G,$A420,Assessments!B:B,$B$5),0)-IFERROR(AVERAGEIFS(Assessments!J:J,Assessments!G:G,$A420,Assessments!B:B,$B$4),0))</f>
        <v/>
      </c>
      <c r="G420">
        <f>IF($D420=0,"",MAXIFS(Assessments!J:J,Assessments!G:G,$A420,Assessments!B:B,"&gt;="&amp;$B$4,Assessments!B:B,"&lt;="&amp;$B$5))</f>
        <v/>
      </c>
      <c r="H420">
        <f>IF($D420=0,"",MINIFS(Assessments!J:J,Assessments!G:G,$A420,Assessments!B:B,"&gt;="&amp;$B$4,Assessments!B:B,"&lt;="&amp;$B$5))</f>
        <v/>
      </c>
    </row>
    <row r="421">
      <c r="A421">
        <f>IF(Students!A415="","",Students!A415)</f>
        <v/>
      </c>
      <c r="B421">
        <f>IF($A421="","",Students!B415)</f>
        <v/>
      </c>
      <c r="C421">
        <f>IF($A421="","",Students!C415)</f>
        <v/>
      </c>
      <c r="D421">
        <f>IF($A421="","",COUNTIFS(Assessments!G:G,$A421,Assessments!B:B,"&gt;="&amp;$B$4,Assessments!B:B,"&lt;="&amp;$B$5))</f>
        <v/>
      </c>
      <c r="E421">
        <f>IF($D421=0,"",ROUND(AVERAGEIFS(Assessments!J:J,Assessments!G:G,$A421,Assessments!B:B,"&gt;="&amp;$B$4,Assessments!B:B,"&lt;="&amp;$B$5),0))</f>
        <v/>
      </c>
      <c r="F421">
        <f>IF($D421=0,"",IFERROR(AVERAGEIFS(Assessments!J:J,Assessments!G:G,$A421,Assessments!B:B,$B$5),0)-IFERROR(AVERAGEIFS(Assessments!J:J,Assessments!G:G,$A421,Assessments!B:B,$B$4),0))</f>
        <v/>
      </c>
      <c r="G421">
        <f>IF($D421=0,"",MAXIFS(Assessments!J:J,Assessments!G:G,$A421,Assessments!B:B,"&gt;="&amp;$B$4,Assessments!B:B,"&lt;="&amp;$B$5))</f>
        <v/>
      </c>
      <c r="H421">
        <f>IF($D421=0,"",MINIFS(Assessments!J:J,Assessments!G:G,$A421,Assessments!B:B,"&gt;="&amp;$B$4,Assessments!B:B,"&lt;="&amp;$B$5))</f>
        <v/>
      </c>
    </row>
    <row r="422">
      <c r="A422">
        <f>IF(Students!A416="","",Students!A416)</f>
        <v/>
      </c>
      <c r="B422">
        <f>IF($A422="","",Students!B416)</f>
        <v/>
      </c>
      <c r="C422">
        <f>IF($A422="","",Students!C416)</f>
        <v/>
      </c>
      <c r="D422">
        <f>IF($A422="","",COUNTIFS(Assessments!G:G,$A422,Assessments!B:B,"&gt;="&amp;$B$4,Assessments!B:B,"&lt;="&amp;$B$5))</f>
        <v/>
      </c>
      <c r="E422">
        <f>IF($D422=0,"",ROUND(AVERAGEIFS(Assessments!J:J,Assessments!G:G,$A422,Assessments!B:B,"&gt;="&amp;$B$4,Assessments!B:B,"&lt;="&amp;$B$5),0))</f>
        <v/>
      </c>
      <c r="F422">
        <f>IF($D422=0,"",IFERROR(AVERAGEIFS(Assessments!J:J,Assessments!G:G,$A422,Assessments!B:B,$B$5),0)-IFERROR(AVERAGEIFS(Assessments!J:J,Assessments!G:G,$A422,Assessments!B:B,$B$4),0))</f>
        <v/>
      </c>
      <c r="G422">
        <f>IF($D422=0,"",MAXIFS(Assessments!J:J,Assessments!G:G,$A422,Assessments!B:B,"&gt;="&amp;$B$4,Assessments!B:B,"&lt;="&amp;$B$5))</f>
        <v/>
      </c>
      <c r="H422">
        <f>IF($D422=0,"",MINIFS(Assessments!J:J,Assessments!G:G,$A422,Assessments!B:B,"&gt;="&amp;$B$4,Assessments!B:B,"&lt;="&amp;$B$5))</f>
        <v/>
      </c>
    </row>
    <row r="423">
      <c r="A423">
        <f>IF(Students!A417="","",Students!A417)</f>
        <v/>
      </c>
      <c r="B423">
        <f>IF($A423="","",Students!B417)</f>
        <v/>
      </c>
      <c r="C423">
        <f>IF($A423="","",Students!C417)</f>
        <v/>
      </c>
      <c r="D423">
        <f>IF($A423="","",COUNTIFS(Assessments!G:G,$A423,Assessments!B:B,"&gt;="&amp;$B$4,Assessments!B:B,"&lt;="&amp;$B$5))</f>
        <v/>
      </c>
      <c r="E423">
        <f>IF($D423=0,"",ROUND(AVERAGEIFS(Assessments!J:J,Assessments!G:G,$A423,Assessments!B:B,"&gt;="&amp;$B$4,Assessments!B:B,"&lt;="&amp;$B$5),0))</f>
        <v/>
      </c>
      <c r="F423">
        <f>IF($D423=0,"",IFERROR(AVERAGEIFS(Assessments!J:J,Assessments!G:G,$A423,Assessments!B:B,$B$5),0)-IFERROR(AVERAGEIFS(Assessments!J:J,Assessments!G:G,$A423,Assessments!B:B,$B$4),0))</f>
        <v/>
      </c>
      <c r="G423">
        <f>IF($D423=0,"",MAXIFS(Assessments!J:J,Assessments!G:G,$A423,Assessments!B:B,"&gt;="&amp;$B$4,Assessments!B:B,"&lt;="&amp;$B$5))</f>
        <v/>
      </c>
      <c r="H423">
        <f>IF($D423=0,"",MINIFS(Assessments!J:J,Assessments!G:G,$A423,Assessments!B:B,"&gt;="&amp;$B$4,Assessments!B:B,"&lt;="&amp;$B$5))</f>
        <v/>
      </c>
    </row>
    <row r="424">
      <c r="A424">
        <f>IF(Students!A418="","",Students!A418)</f>
        <v/>
      </c>
      <c r="B424">
        <f>IF($A424="","",Students!B418)</f>
        <v/>
      </c>
      <c r="C424">
        <f>IF($A424="","",Students!C418)</f>
        <v/>
      </c>
      <c r="D424">
        <f>IF($A424="","",COUNTIFS(Assessments!G:G,$A424,Assessments!B:B,"&gt;="&amp;$B$4,Assessments!B:B,"&lt;="&amp;$B$5))</f>
        <v/>
      </c>
      <c r="E424">
        <f>IF($D424=0,"",ROUND(AVERAGEIFS(Assessments!J:J,Assessments!G:G,$A424,Assessments!B:B,"&gt;="&amp;$B$4,Assessments!B:B,"&lt;="&amp;$B$5),0))</f>
        <v/>
      </c>
      <c r="F424">
        <f>IF($D424=0,"",IFERROR(AVERAGEIFS(Assessments!J:J,Assessments!G:G,$A424,Assessments!B:B,$B$5),0)-IFERROR(AVERAGEIFS(Assessments!J:J,Assessments!G:G,$A424,Assessments!B:B,$B$4),0))</f>
        <v/>
      </c>
      <c r="G424">
        <f>IF($D424=0,"",MAXIFS(Assessments!J:J,Assessments!G:G,$A424,Assessments!B:B,"&gt;="&amp;$B$4,Assessments!B:B,"&lt;="&amp;$B$5))</f>
        <v/>
      </c>
      <c r="H424">
        <f>IF($D424=0,"",MINIFS(Assessments!J:J,Assessments!G:G,$A424,Assessments!B:B,"&gt;="&amp;$B$4,Assessments!B:B,"&lt;="&amp;$B$5))</f>
        <v/>
      </c>
    </row>
    <row r="425">
      <c r="A425">
        <f>IF(Students!A419="","",Students!A419)</f>
        <v/>
      </c>
      <c r="B425">
        <f>IF($A425="","",Students!B419)</f>
        <v/>
      </c>
      <c r="C425">
        <f>IF($A425="","",Students!C419)</f>
        <v/>
      </c>
      <c r="D425">
        <f>IF($A425="","",COUNTIFS(Assessments!G:G,$A425,Assessments!B:B,"&gt;="&amp;$B$4,Assessments!B:B,"&lt;="&amp;$B$5))</f>
        <v/>
      </c>
      <c r="E425">
        <f>IF($D425=0,"",ROUND(AVERAGEIFS(Assessments!J:J,Assessments!G:G,$A425,Assessments!B:B,"&gt;="&amp;$B$4,Assessments!B:B,"&lt;="&amp;$B$5),0))</f>
        <v/>
      </c>
      <c r="F425">
        <f>IF($D425=0,"",IFERROR(AVERAGEIFS(Assessments!J:J,Assessments!G:G,$A425,Assessments!B:B,$B$5),0)-IFERROR(AVERAGEIFS(Assessments!J:J,Assessments!G:G,$A425,Assessments!B:B,$B$4),0))</f>
        <v/>
      </c>
      <c r="G425">
        <f>IF($D425=0,"",MAXIFS(Assessments!J:J,Assessments!G:G,$A425,Assessments!B:B,"&gt;="&amp;$B$4,Assessments!B:B,"&lt;="&amp;$B$5))</f>
        <v/>
      </c>
      <c r="H425">
        <f>IF($D425=0,"",MINIFS(Assessments!J:J,Assessments!G:G,$A425,Assessments!B:B,"&gt;="&amp;$B$4,Assessments!B:B,"&lt;="&amp;$B$5))</f>
        <v/>
      </c>
    </row>
    <row r="426">
      <c r="A426">
        <f>IF(Students!A420="","",Students!A420)</f>
        <v/>
      </c>
      <c r="B426">
        <f>IF($A426="","",Students!B420)</f>
        <v/>
      </c>
      <c r="C426">
        <f>IF($A426="","",Students!C420)</f>
        <v/>
      </c>
      <c r="D426">
        <f>IF($A426="","",COUNTIFS(Assessments!G:G,$A426,Assessments!B:B,"&gt;="&amp;$B$4,Assessments!B:B,"&lt;="&amp;$B$5))</f>
        <v/>
      </c>
      <c r="E426">
        <f>IF($D426=0,"",ROUND(AVERAGEIFS(Assessments!J:J,Assessments!G:G,$A426,Assessments!B:B,"&gt;="&amp;$B$4,Assessments!B:B,"&lt;="&amp;$B$5),0))</f>
        <v/>
      </c>
      <c r="F426">
        <f>IF($D426=0,"",IFERROR(AVERAGEIFS(Assessments!J:J,Assessments!G:G,$A426,Assessments!B:B,$B$5),0)-IFERROR(AVERAGEIFS(Assessments!J:J,Assessments!G:G,$A426,Assessments!B:B,$B$4),0))</f>
        <v/>
      </c>
      <c r="G426">
        <f>IF($D426=0,"",MAXIFS(Assessments!J:J,Assessments!G:G,$A426,Assessments!B:B,"&gt;="&amp;$B$4,Assessments!B:B,"&lt;="&amp;$B$5))</f>
        <v/>
      </c>
      <c r="H426">
        <f>IF($D426=0,"",MINIFS(Assessments!J:J,Assessments!G:G,$A426,Assessments!B:B,"&gt;="&amp;$B$4,Assessments!B:B,"&lt;="&amp;$B$5))</f>
        <v/>
      </c>
    </row>
    <row r="427">
      <c r="A427">
        <f>IF(Students!A421="","",Students!A421)</f>
        <v/>
      </c>
      <c r="B427">
        <f>IF($A427="","",Students!B421)</f>
        <v/>
      </c>
      <c r="C427">
        <f>IF($A427="","",Students!C421)</f>
        <v/>
      </c>
      <c r="D427">
        <f>IF($A427="","",COUNTIFS(Assessments!G:G,$A427,Assessments!B:B,"&gt;="&amp;$B$4,Assessments!B:B,"&lt;="&amp;$B$5))</f>
        <v/>
      </c>
      <c r="E427">
        <f>IF($D427=0,"",ROUND(AVERAGEIFS(Assessments!J:J,Assessments!G:G,$A427,Assessments!B:B,"&gt;="&amp;$B$4,Assessments!B:B,"&lt;="&amp;$B$5),0))</f>
        <v/>
      </c>
      <c r="F427">
        <f>IF($D427=0,"",IFERROR(AVERAGEIFS(Assessments!J:J,Assessments!G:G,$A427,Assessments!B:B,$B$5),0)-IFERROR(AVERAGEIFS(Assessments!J:J,Assessments!G:G,$A427,Assessments!B:B,$B$4),0))</f>
        <v/>
      </c>
      <c r="G427">
        <f>IF($D427=0,"",MAXIFS(Assessments!J:J,Assessments!G:G,$A427,Assessments!B:B,"&gt;="&amp;$B$4,Assessments!B:B,"&lt;="&amp;$B$5))</f>
        <v/>
      </c>
      <c r="H427">
        <f>IF($D427=0,"",MINIFS(Assessments!J:J,Assessments!G:G,$A427,Assessments!B:B,"&gt;="&amp;$B$4,Assessments!B:B,"&lt;="&amp;$B$5))</f>
        <v/>
      </c>
    </row>
    <row r="428">
      <c r="A428">
        <f>IF(Students!A422="","",Students!A422)</f>
        <v/>
      </c>
      <c r="B428">
        <f>IF($A428="","",Students!B422)</f>
        <v/>
      </c>
      <c r="C428">
        <f>IF($A428="","",Students!C422)</f>
        <v/>
      </c>
      <c r="D428">
        <f>IF($A428="","",COUNTIFS(Assessments!G:G,$A428,Assessments!B:B,"&gt;="&amp;$B$4,Assessments!B:B,"&lt;="&amp;$B$5))</f>
        <v/>
      </c>
      <c r="E428">
        <f>IF($D428=0,"",ROUND(AVERAGEIFS(Assessments!J:J,Assessments!G:G,$A428,Assessments!B:B,"&gt;="&amp;$B$4,Assessments!B:B,"&lt;="&amp;$B$5),0))</f>
        <v/>
      </c>
      <c r="F428">
        <f>IF($D428=0,"",IFERROR(AVERAGEIFS(Assessments!J:J,Assessments!G:G,$A428,Assessments!B:B,$B$5),0)-IFERROR(AVERAGEIFS(Assessments!J:J,Assessments!G:G,$A428,Assessments!B:B,$B$4),0))</f>
        <v/>
      </c>
      <c r="G428">
        <f>IF($D428=0,"",MAXIFS(Assessments!J:J,Assessments!G:G,$A428,Assessments!B:B,"&gt;="&amp;$B$4,Assessments!B:B,"&lt;="&amp;$B$5))</f>
        <v/>
      </c>
      <c r="H428">
        <f>IF($D428=0,"",MINIFS(Assessments!J:J,Assessments!G:G,$A428,Assessments!B:B,"&gt;="&amp;$B$4,Assessments!B:B,"&lt;="&amp;$B$5))</f>
        <v/>
      </c>
    </row>
    <row r="429">
      <c r="A429">
        <f>IF(Students!A423="","",Students!A423)</f>
        <v/>
      </c>
      <c r="B429">
        <f>IF($A429="","",Students!B423)</f>
        <v/>
      </c>
      <c r="C429">
        <f>IF($A429="","",Students!C423)</f>
        <v/>
      </c>
      <c r="D429">
        <f>IF($A429="","",COUNTIFS(Assessments!G:G,$A429,Assessments!B:B,"&gt;="&amp;$B$4,Assessments!B:B,"&lt;="&amp;$B$5))</f>
        <v/>
      </c>
      <c r="E429">
        <f>IF($D429=0,"",ROUND(AVERAGEIFS(Assessments!J:J,Assessments!G:G,$A429,Assessments!B:B,"&gt;="&amp;$B$4,Assessments!B:B,"&lt;="&amp;$B$5),0))</f>
        <v/>
      </c>
      <c r="F429">
        <f>IF($D429=0,"",IFERROR(AVERAGEIFS(Assessments!J:J,Assessments!G:G,$A429,Assessments!B:B,$B$5),0)-IFERROR(AVERAGEIFS(Assessments!J:J,Assessments!G:G,$A429,Assessments!B:B,$B$4),0))</f>
        <v/>
      </c>
      <c r="G429">
        <f>IF($D429=0,"",MAXIFS(Assessments!J:J,Assessments!G:G,$A429,Assessments!B:B,"&gt;="&amp;$B$4,Assessments!B:B,"&lt;="&amp;$B$5))</f>
        <v/>
      </c>
      <c r="H429">
        <f>IF($D429=0,"",MINIFS(Assessments!J:J,Assessments!G:G,$A429,Assessments!B:B,"&gt;="&amp;$B$4,Assessments!B:B,"&lt;="&amp;$B$5))</f>
        <v/>
      </c>
    </row>
    <row r="430">
      <c r="A430">
        <f>IF(Students!A424="","",Students!A424)</f>
        <v/>
      </c>
      <c r="B430">
        <f>IF($A430="","",Students!B424)</f>
        <v/>
      </c>
      <c r="C430">
        <f>IF($A430="","",Students!C424)</f>
        <v/>
      </c>
      <c r="D430">
        <f>IF($A430="","",COUNTIFS(Assessments!G:G,$A430,Assessments!B:B,"&gt;="&amp;$B$4,Assessments!B:B,"&lt;="&amp;$B$5))</f>
        <v/>
      </c>
      <c r="E430">
        <f>IF($D430=0,"",ROUND(AVERAGEIFS(Assessments!J:J,Assessments!G:G,$A430,Assessments!B:B,"&gt;="&amp;$B$4,Assessments!B:B,"&lt;="&amp;$B$5),0))</f>
        <v/>
      </c>
      <c r="F430">
        <f>IF($D430=0,"",IFERROR(AVERAGEIFS(Assessments!J:J,Assessments!G:G,$A430,Assessments!B:B,$B$5),0)-IFERROR(AVERAGEIFS(Assessments!J:J,Assessments!G:G,$A430,Assessments!B:B,$B$4),0))</f>
        <v/>
      </c>
      <c r="G430">
        <f>IF($D430=0,"",MAXIFS(Assessments!J:J,Assessments!G:G,$A430,Assessments!B:B,"&gt;="&amp;$B$4,Assessments!B:B,"&lt;="&amp;$B$5))</f>
        <v/>
      </c>
      <c r="H430">
        <f>IF($D430=0,"",MINIFS(Assessments!J:J,Assessments!G:G,$A430,Assessments!B:B,"&gt;="&amp;$B$4,Assessments!B:B,"&lt;="&amp;$B$5))</f>
        <v/>
      </c>
    </row>
    <row r="431">
      <c r="A431">
        <f>IF(Students!A425="","",Students!A425)</f>
        <v/>
      </c>
      <c r="B431">
        <f>IF($A431="","",Students!B425)</f>
        <v/>
      </c>
      <c r="C431">
        <f>IF($A431="","",Students!C425)</f>
        <v/>
      </c>
      <c r="D431">
        <f>IF($A431="","",COUNTIFS(Assessments!G:G,$A431,Assessments!B:B,"&gt;="&amp;$B$4,Assessments!B:B,"&lt;="&amp;$B$5))</f>
        <v/>
      </c>
      <c r="E431">
        <f>IF($D431=0,"",ROUND(AVERAGEIFS(Assessments!J:J,Assessments!G:G,$A431,Assessments!B:B,"&gt;="&amp;$B$4,Assessments!B:B,"&lt;="&amp;$B$5),0))</f>
        <v/>
      </c>
      <c r="F431">
        <f>IF($D431=0,"",IFERROR(AVERAGEIFS(Assessments!J:J,Assessments!G:G,$A431,Assessments!B:B,$B$5),0)-IFERROR(AVERAGEIFS(Assessments!J:J,Assessments!G:G,$A431,Assessments!B:B,$B$4),0))</f>
        <v/>
      </c>
      <c r="G431">
        <f>IF($D431=0,"",MAXIFS(Assessments!J:J,Assessments!G:G,$A431,Assessments!B:B,"&gt;="&amp;$B$4,Assessments!B:B,"&lt;="&amp;$B$5))</f>
        <v/>
      </c>
      <c r="H431">
        <f>IF($D431=0,"",MINIFS(Assessments!J:J,Assessments!G:G,$A431,Assessments!B:B,"&gt;="&amp;$B$4,Assessments!B:B,"&lt;="&amp;$B$5))</f>
        <v/>
      </c>
    </row>
    <row r="432">
      <c r="A432">
        <f>IF(Students!A426="","",Students!A426)</f>
        <v/>
      </c>
      <c r="B432">
        <f>IF($A432="","",Students!B426)</f>
        <v/>
      </c>
      <c r="C432">
        <f>IF($A432="","",Students!C426)</f>
        <v/>
      </c>
      <c r="D432">
        <f>IF($A432="","",COUNTIFS(Assessments!G:G,$A432,Assessments!B:B,"&gt;="&amp;$B$4,Assessments!B:B,"&lt;="&amp;$B$5))</f>
        <v/>
      </c>
      <c r="E432">
        <f>IF($D432=0,"",ROUND(AVERAGEIFS(Assessments!J:J,Assessments!G:G,$A432,Assessments!B:B,"&gt;="&amp;$B$4,Assessments!B:B,"&lt;="&amp;$B$5),0))</f>
        <v/>
      </c>
      <c r="F432">
        <f>IF($D432=0,"",IFERROR(AVERAGEIFS(Assessments!J:J,Assessments!G:G,$A432,Assessments!B:B,$B$5),0)-IFERROR(AVERAGEIFS(Assessments!J:J,Assessments!G:G,$A432,Assessments!B:B,$B$4),0))</f>
        <v/>
      </c>
      <c r="G432">
        <f>IF($D432=0,"",MAXIFS(Assessments!J:J,Assessments!G:G,$A432,Assessments!B:B,"&gt;="&amp;$B$4,Assessments!B:B,"&lt;="&amp;$B$5))</f>
        <v/>
      </c>
      <c r="H432">
        <f>IF($D432=0,"",MINIFS(Assessments!J:J,Assessments!G:G,$A432,Assessments!B:B,"&gt;="&amp;$B$4,Assessments!B:B,"&lt;="&amp;$B$5))</f>
        <v/>
      </c>
    </row>
    <row r="433">
      <c r="A433">
        <f>IF(Students!A427="","",Students!A427)</f>
        <v/>
      </c>
      <c r="B433">
        <f>IF($A433="","",Students!B427)</f>
        <v/>
      </c>
      <c r="C433">
        <f>IF($A433="","",Students!C427)</f>
        <v/>
      </c>
      <c r="D433">
        <f>IF($A433="","",COUNTIFS(Assessments!G:G,$A433,Assessments!B:B,"&gt;="&amp;$B$4,Assessments!B:B,"&lt;="&amp;$B$5))</f>
        <v/>
      </c>
      <c r="E433">
        <f>IF($D433=0,"",ROUND(AVERAGEIFS(Assessments!J:J,Assessments!G:G,$A433,Assessments!B:B,"&gt;="&amp;$B$4,Assessments!B:B,"&lt;="&amp;$B$5),0))</f>
        <v/>
      </c>
      <c r="F433">
        <f>IF($D433=0,"",IFERROR(AVERAGEIFS(Assessments!J:J,Assessments!G:G,$A433,Assessments!B:B,$B$5),0)-IFERROR(AVERAGEIFS(Assessments!J:J,Assessments!G:G,$A433,Assessments!B:B,$B$4),0))</f>
        <v/>
      </c>
      <c r="G433">
        <f>IF($D433=0,"",MAXIFS(Assessments!J:J,Assessments!G:G,$A433,Assessments!B:B,"&gt;="&amp;$B$4,Assessments!B:B,"&lt;="&amp;$B$5))</f>
        <v/>
      </c>
      <c r="H433">
        <f>IF($D433=0,"",MINIFS(Assessments!J:J,Assessments!G:G,$A433,Assessments!B:B,"&gt;="&amp;$B$4,Assessments!B:B,"&lt;="&amp;$B$5))</f>
        <v/>
      </c>
    </row>
    <row r="434">
      <c r="A434">
        <f>IF(Students!A428="","",Students!A428)</f>
        <v/>
      </c>
      <c r="B434">
        <f>IF($A434="","",Students!B428)</f>
        <v/>
      </c>
      <c r="C434">
        <f>IF($A434="","",Students!C428)</f>
        <v/>
      </c>
      <c r="D434">
        <f>IF($A434="","",COUNTIFS(Assessments!G:G,$A434,Assessments!B:B,"&gt;="&amp;$B$4,Assessments!B:B,"&lt;="&amp;$B$5))</f>
        <v/>
      </c>
      <c r="E434">
        <f>IF($D434=0,"",ROUND(AVERAGEIFS(Assessments!J:J,Assessments!G:G,$A434,Assessments!B:B,"&gt;="&amp;$B$4,Assessments!B:B,"&lt;="&amp;$B$5),0))</f>
        <v/>
      </c>
      <c r="F434">
        <f>IF($D434=0,"",IFERROR(AVERAGEIFS(Assessments!J:J,Assessments!G:G,$A434,Assessments!B:B,$B$5),0)-IFERROR(AVERAGEIFS(Assessments!J:J,Assessments!G:G,$A434,Assessments!B:B,$B$4),0))</f>
        <v/>
      </c>
      <c r="G434">
        <f>IF($D434=0,"",MAXIFS(Assessments!J:J,Assessments!G:G,$A434,Assessments!B:B,"&gt;="&amp;$B$4,Assessments!B:B,"&lt;="&amp;$B$5))</f>
        <v/>
      </c>
      <c r="H434">
        <f>IF($D434=0,"",MINIFS(Assessments!J:J,Assessments!G:G,$A434,Assessments!B:B,"&gt;="&amp;$B$4,Assessments!B:B,"&lt;="&amp;$B$5))</f>
        <v/>
      </c>
    </row>
    <row r="435">
      <c r="A435">
        <f>IF(Students!A429="","",Students!A429)</f>
        <v/>
      </c>
      <c r="B435">
        <f>IF($A435="","",Students!B429)</f>
        <v/>
      </c>
      <c r="C435">
        <f>IF($A435="","",Students!C429)</f>
        <v/>
      </c>
      <c r="D435">
        <f>IF($A435="","",COUNTIFS(Assessments!G:G,$A435,Assessments!B:B,"&gt;="&amp;$B$4,Assessments!B:B,"&lt;="&amp;$B$5))</f>
        <v/>
      </c>
      <c r="E435">
        <f>IF($D435=0,"",ROUND(AVERAGEIFS(Assessments!J:J,Assessments!G:G,$A435,Assessments!B:B,"&gt;="&amp;$B$4,Assessments!B:B,"&lt;="&amp;$B$5),0))</f>
        <v/>
      </c>
      <c r="F435">
        <f>IF($D435=0,"",IFERROR(AVERAGEIFS(Assessments!J:J,Assessments!G:G,$A435,Assessments!B:B,$B$5),0)-IFERROR(AVERAGEIFS(Assessments!J:J,Assessments!G:G,$A435,Assessments!B:B,$B$4),0))</f>
        <v/>
      </c>
      <c r="G435">
        <f>IF($D435=0,"",MAXIFS(Assessments!J:J,Assessments!G:G,$A435,Assessments!B:B,"&gt;="&amp;$B$4,Assessments!B:B,"&lt;="&amp;$B$5))</f>
        <v/>
      </c>
      <c r="H435">
        <f>IF($D435=0,"",MINIFS(Assessments!J:J,Assessments!G:G,$A435,Assessments!B:B,"&gt;="&amp;$B$4,Assessments!B:B,"&lt;="&amp;$B$5))</f>
        <v/>
      </c>
    </row>
    <row r="436">
      <c r="A436">
        <f>IF(Students!A430="","",Students!A430)</f>
        <v/>
      </c>
      <c r="B436">
        <f>IF($A436="","",Students!B430)</f>
        <v/>
      </c>
      <c r="C436">
        <f>IF($A436="","",Students!C430)</f>
        <v/>
      </c>
      <c r="D436">
        <f>IF($A436="","",COUNTIFS(Assessments!G:G,$A436,Assessments!B:B,"&gt;="&amp;$B$4,Assessments!B:B,"&lt;="&amp;$B$5))</f>
        <v/>
      </c>
      <c r="E436">
        <f>IF($D436=0,"",ROUND(AVERAGEIFS(Assessments!J:J,Assessments!G:G,$A436,Assessments!B:B,"&gt;="&amp;$B$4,Assessments!B:B,"&lt;="&amp;$B$5),0))</f>
        <v/>
      </c>
      <c r="F436">
        <f>IF($D436=0,"",IFERROR(AVERAGEIFS(Assessments!J:J,Assessments!G:G,$A436,Assessments!B:B,$B$5),0)-IFERROR(AVERAGEIFS(Assessments!J:J,Assessments!G:G,$A436,Assessments!B:B,$B$4),0))</f>
        <v/>
      </c>
      <c r="G436">
        <f>IF($D436=0,"",MAXIFS(Assessments!J:J,Assessments!G:G,$A436,Assessments!B:B,"&gt;="&amp;$B$4,Assessments!B:B,"&lt;="&amp;$B$5))</f>
        <v/>
      </c>
      <c r="H436">
        <f>IF($D436=0,"",MINIFS(Assessments!J:J,Assessments!G:G,$A436,Assessments!B:B,"&gt;="&amp;$B$4,Assessments!B:B,"&lt;="&amp;$B$5))</f>
        <v/>
      </c>
    </row>
    <row r="437">
      <c r="A437">
        <f>IF(Students!A431="","",Students!A431)</f>
        <v/>
      </c>
      <c r="B437">
        <f>IF($A437="","",Students!B431)</f>
        <v/>
      </c>
      <c r="C437">
        <f>IF($A437="","",Students!C431)</f>
        <v/>
      </c>
      <c r="D437">
        <f>IF($A437="","",COUNTIFS(Assessments!G:G,$A437,Assessments!B:B,"&gt;="&amp;$B$4,Assessments!B:B,"&lt;="&amp;$B$5))</f>
        <v/>
      </c>
      <c r="E437">
        <f>IF($D437=0,"",ROUND(AVERAGEIFS(Assessments!J:J,Assessments!G:G,$A437,Assessments!B:B,"&gt;="&amp;$B$4,Assessments!B:B,"&lt;="&amp;$B$5),0))</f>
        <v/>
      </c>
      <c r="F437">
        <f>IF($D437=0,"",IFERROR(AVERAGEIFS(Assessments!J:J,Assessments!G:G,$A437,Assessments!B:B,$B$5),0)-IFERROR(AVERAGEIFS(Assessments!J:J,Assessments!G:G,$A437,Assessments!B:B,$B$4),0))</f>
        <v/>
      </c>
      <c r="G437">
        <f>IF($D437=0,"",MAXIFS(Assessments!J:J,Assessments!G:G,$A437,Assessments!B:B,"&gt;="&amp;$B$4,Assessments!B:B,"&lt;="&amp;$B$5))</f>
        <v/>
      </c>
      <c r="H437">
        <f>IF($D437=0,"",MINIFS(Assessments!J:J,Assessments!G:G,$A437,Assessments!B:B,"&gt;="&amp;$B$4,Assessments!B:B,"&lt;="&amp;$B$5))</f>
        <v/>
      </c>
    </row>
    <row r="438">
      <c r="A438">
        <f>IF(Students!A432="","",Students!A432)</f>
        <v/>
      </c>
      <c r="B438">
        <f>IF($A438="","",Students!B432)</f>
        <v/>
      </c>
      <c r="C438">
        <f>IF($A438="","",Students!C432)</f>
        <v/>
      </c>
      <c r="D438">
        <f>IF($A438="","",COUNTIFS(Assessments!G:G,$A438,Assessments!B:B,"&gt;="&amp;$B$4,Assessments!B:B,"&lt;="&amp;$B$5))</f>
        <v/>
      </c>
      <c r="E438">
        <f>IF($D438=0,"",ROUND(AVERAGEIFS(Assessments!J:J,Assessments!G:G,$A438,Assessments!B:B,"&gt;="&amp;$B$4,Assessments!B:B,"&lt;="&amp;$B$5),0))</f>
        <v/>
      </c>
      <c r="F438">
        <f>IF($D438=0,"",IFERROR(AVERAGEIFS(Assessments!J:J,Assessments!G:G,$A438,Assessments!B:B,$B$5),0)-IFERROR(AVERAGEIFS(Assessments!J:J,Assessments!G:G,$A438,Assessments!B:B,$B$4),0))</f>
        <v/>
      </c>
      <c r="G438">
        <f>IF($D438=0,"",MAXIFS(Assessments!J:J,Assessments!G:G,$A438,Assessments!B:B,"&gt;="&amp;$B$4,Assessments!B:B,"&lt;="&amp;$B$5))</f>
        <v/>
      </c>
      <c r="H438">
        <f>IF($D438=0,"",MINIFS(Assessments!J:J,Assessments!G:G,$A438,Assessments!B:B,"&gt;="&amp;$B$4,Assessments!B:B,"&lt;="&amp;$B$5))</f>
        <v/>
      </c>
    </row>
    <row r="439">
      <c r="A439">
        <f>IF(Students!A433="","",Students!A433)</f>
        <v/>
      </c>
      <c r="B439">
        <f>IF($A439="","",Students!B433)</f>
        <v/>
      </c>
      <c r="C439">
        <f>IF($A439="","",Students!C433)</f>
        <v/>
      </c>
      <c r="D439">
        <f>IF($A439="","",COUNTIFS(Assessments!G:G,$A439,Assessments!B:B,"&gt;="&amp;$B$4,Assessments!B:B,"&lt;="&amp;$B$5))</f>
        <v/>
      </c>
      <c r="E439">
        <f>IF($D439=0,"",ROUND(AVERAGEIFS(Assessments!J:J,Assessments!G:G,$A439,Assessments!B:B,"&gt;="&amp;$B$4,Assessments!B:B,"&lt;="&amp;$B$5),0))</f>
        <v/>
      </c>
      <c r="F439">
        <f>IF($D439=0,"",IFERROR(AVERAGEIFS(Assessments!J:J,Assessments!G:G,$A439,Assessments!B:B,$B$5),0)-IFERROR(AVERAGEIFS(Assessments!J:J,Assessments!G:G,$A439,Assessments!B:B,$B$4),0))</f>
        <v/>
      </c>
      <c r="G439">
        <f>IF($D439=0,"",MAXIFS(Assessments!J:J,Assessments!G:G,$A439,Assessments!B:B,"&gt;="&amp;$B$4,Assessments!B:B,"&lt;="&amp;$B$5))</f>
        <v/>
      </c>
      <c r="H439">
        <f>IF($D439=0,"",MINIFS(Assessments!J:J,Assessments!G:G,$A439,Assessments!B:B,"&gt;="&amp;$B$4,Assessments!B:B,"&lt;="&amp;$B$5))</f>
        <v/>
      </c>
    </row>
    <row r="440">
      <c r="A440">
        <f>IF(Students!A434="","",Students!A434)</f>
        <v/>
      </c>
      <c r="B440">
        <f>IF($A440="","",Students!B434)</f>
        <v/>
      </c>
      <c r="C440">
        <f>IF($A440="","",Students!C434)</f>
        <v/>
      </c>
      <c r="D440">
        <f>IF($A440="","",COUNTIFS(Assessments!G:G,$A440,Assessments!B:B,"&gt;="&amp;$B$4,Assessments!B:B,"&lt;="&amp;$B$5))</f>
        <v/>
      </c>
      <c r="E440">
        <f>IF($D440=0,"",ROUND(AVERAGEIFS(Assessments!J:J,Assessments!G:G,$A440,Assessments!B:B,"&gt;="&amp;$B$4,Assessments!B:B,"&lt;="&amp;$B$5),0))</f>
        <v/>
      </c>
      <c r="F440">
        <f>IF($D440=0,"",IFERROR(AVERAGEIFS(Assessments!J:J,Assessments!G:G,$A440,Assessments!B:B,$B$5),0)-IFERROR(AVERAGEIFS(Assessments!J:J,Assessments!G:G,$A440,Assessments!B:B,$B$4),0))</f>
        <v/>
      </c>
      <c r="G440">
        <f>IF($D440=0,"",MAXIFS(Assessments!J:J,Assessments!G:G,$A440,Assessments!B:B,"&gt;="&amp;$B$4,Assessments!B:B,"&lt;="&amp;$B$5))</f>
        <v/>
      </c>
      <c r="H440">
        <f>IF($D440=0,"",MINIFS(Assessments!J:J,Assessments!G:G,$A440,Assessments!B:B,"&gt;="&amp;$B$4,Assessments!B:B,"&lt;="&amp;$B$5))</f>
        <v/>
      </c>
    </row>
    <row r="441">
      <c r="A441">
        <f>IF(Students!A435="","",Students!A435)</f>
        <v/>
      </c>
      <c r="B441">
        <f>IF($A441="","",Students!B435)</f>
        <v/>
      </c>
      <c r="C441">
        <f>IF($A441="","",Students!C435)</f>
        <v/>
      </c>
      <c r="D441">
        <f>IF($A441="","",COUNTIFS(Assessments!G:G,$A441,Assessments!B:B,"&gt;="&amp;$B$4,Assessments!B:B,"&lt;="&amp;$B$5))</f>
        <v/>
      </c>
      <c r="E441">
        <f>IF($D441=0,"",ROUND(AVERAGEIFS(Assessments!J:J,Assessments!G:G,$A441,Assessments!B:B,"&gt;="&amp;$B$4,Assessments!B:B,"&lt;="&amp;$B$5),0))</f>
        <v/>
      </c>
      <c r="F441">
        <f>IF($D441=0,"",IFERROR(AVERAGEIFS(Assessments!J:J,Assessments!G:G,$A441,Assessments!B:B,$B$5),0)-IFERROR(AVERAGEIFS(Assessments!J:J,Assessments!G:G,$A441,Assessments!B:B,$B$4),0))</f>
        <v/>
      </c>
      <c r="G441">
        <f>IF($D441=0,"",MAXIFS(Assessments!J:J,Assessments!G:G,$A441,Assessments!B:B,"&gt;="&amp;$B$4,Assessments!B:B,"&lt;="&amp;$B$5))</f>
        <v/>
      </c>
      <c r="H441">
        <f>IF($D441=0,"",MINIFS(Assessments!J:J,Assessments!G:G,$A441,Assessments!B:B,"&gt;="&amp;$B$4,Assessments!B:B,"&lt;="&amp;$B$5))</f>
        <v/>
      </c>
    </row>
    <row r="442">
      <c r="A442">
        <f>IF(Students!A436="","",Students!A436)</f>
        <v/>
      </c>
      <c r="B442">
        <f>IF($A442="","",Students!B436)</f>
        <v/>
      </c>
      <c r="C442">
        <f>IF($A442="","",Students!C436)</f>
        <v/>
      </c>
      <c r="D442">
        <f>IF($A442="","",COUNTIFS(Assessments!G:G,$A442,Assessments!B:B,"&gt;="&amp;$B$4,Assessments!B:B,"&lt;="&amp;$B$5))</f>
        <v/>
      </c>
      <c r="E442">
        <f>IF($D442=0,"",ROUND(AVERAGEIFS(Assessments!J:J,Assessments!G:G,$A442,Assessments!B:B,"&gt;="&amp;$B$4,Assessments!B:B,"&lt;="&amp;$B$5),0))</f>
        <v/>
      </c>
      <c r="F442">
        <f>IF($D442=0,"",IFERROR(AVERAGEIFS(Assessments!J:J,Assessments!G:G,$A442,Assessments!B:B,$B$5),0)-IFERROR(AVERAGEIFS(Assessments!J:J,Assessments!G:G,$A442,Assessments!B:B,$B$4),0))</f>
        <v/>
      </c>
      <c r="G442">
        <f>IF($D442=0,"",MAXIFS(Assessments!J:J,Assessments!G:G,$A442,Assessments!B:B,"&gt;="&amp;$B$4,Assessments!B:B,"&lt;="&amp;$B$5))</f>
        <v/>
      </c>
      <c r="H442">
        <f>IF($D442=0,"",MINIFS(Assessments!J:J,Assessments!G:G,$A442,Assessments!B:B,"&gt;="&amp;$B$4,Assessments!B:B,"&lt;="&amp;$B$5))</f>
        <v/>
      </c>
    </row>
    <row r="443">
      <c r="A443">
        <f>IF(Students!A437="","",Students!A437)</f>
        <v/>
      </c>
      <c r="B443">
        <f>IF($A443="","",Students!B437)</f>
        <v/>
      </c>
      <c r="C443">
        <f>IF($A443="","",Students!C437)</f>
        <v/>
      </c>
      <c r="D443">
        <f>IF($A443="","",COUNTIFS(Assessments!G:G,$A443,Assessments!B:B,"&gt;="&amp;$B$4,Assessments!B:B,"&lt;="&amp;$B$5))</f>
        <v/>
      </c>
      <c r="E443">
        <f>IF($D443=0,"",ROUND(AVERAGEIFS(Assessments!J:J,Assessments!G:G,$A443,Assessments!B:B,"&gt;="&amp;$B$4,Assessments!B:B,"&lt;="&amp;$B$5),0))</f>
        <v/>
      </c>
      <c r="F443">
        <f>IF($D443=0,"",IFERROR(AVERAGEIFS(Assessments!J:J,Assessments!G:G,$A443,Assessments!B:B,$B$5),0)-IFERROR(AVERAGEIFS(Assessments!J:J,Assessments!G:G,$A443,Assessments!B:B,$B$4),0))</f>
        <v/>
      </c>
      <c r="G443">
        <f>IF($D443=0,"",MAXIFS(Assessments!J:J,Assessments!G:G,$A443,Assessments!B:B,"&gt;="&amp;$B$4,Assessments!B:B,"&lt;="&amp;$B$5))</f>
        <v/>
      </c>
      <c r="H443">
        <f>IF($D443=0,"",MINIFS(Assessments!J:J,Assessments!G:G,$A443,Assessments!B:B,"&gt;="&amp;$B$4,Assessments!B:B,"&lt;="&amp;$B$5))</f>
        <v/>
      </c>
    </row>
    <row r="444">
      <c r="A444">
        <f>IF(Students!A438="","",Students!A438)</f>
        <v/>
      </c>
      <c r="B444">
        <f>IF($A444="","",Students!B438)</f>
        <v/>
      </c>
      <c r="C444">
        <f>IF($A444="","",Students!C438)</f>
        <v/>
      </c>
      <c r="D444">
        <f>IF($A444="","",COUNTIFS(Assessments!G:G,$A444,Assessments!B:B,"&gt;="&amp;$B$4,Assessments!B:B,"&lt;="&amp;$B$5))</f>
        <v/>
      </c>
      <c r="E444">
        <f>IF($D444=0,"",ROUND(AVERAGEIFS(Assessments!J:J,Assessments!G:G,$A444,Assessments!B:B,"&gt;="&amp;$B$4,Assessments!B:B,"&lt;="&amp;$B$5),0))</f>
        <v/>
      </c>
      <c r="F444">
        <f>IF($D444=0,"",IFERROR(AVERAGEIFS(Assessments!J:J,Assessments!G:G,$A444,Assessments!B:B,$B$5),0)-IFERROR(AVERAGEIFS(Assessments!J:J,Assessments!G:G,$A444,Assessments!B:B,$B$4),0))</f>
        <v/>
      </c>
      <c r="G444">
        <f>IF($D444=0,"",MAXIFS(Assessments!J:J,Assessments!G:G,$A444,Assessments!B:B,"&gt;="&amp;$B$4,Assessments!B:B,"&lt;="&amp;$B$5))</f>
        <v/>
      </c>
      <c r="H444">
        <f>IF($D444=0,"",MINIFS(Assessments!J:J,Assessments!G:G,$A444,Assessments!B:B,"&gt;="&amp;$B$4,Assessments!B:B,"&lt;="&amp;$B$5))</f>
        <v/>
      </c>
    </row>
    <row r="445">
      <c r="A445">
        <f>IF(Students!A439="","",Students!A439)</f>
        <v/>
      </c>
      <c r="B445">
        <f>IF($A445="","",Students!B439)</f>
        <v/>
      </c>
      <c r="C445">
        <f>IF($A445="","",Students!C439)</f>
        <v/>
      </c>
      <c r="D445">
        <f>IF($A445="","",COUNTIFS(Assessments!G:G,$A445,Assessments!B:B,"&gt;="&amp;$B$4,Assessments!B:B,"&lt;="&amp;$B$5))</f>
        <v/>
      </c>
      <c r="E445">
        <f>IF($D445=0,"",ROUND(AVERAGEIFS(Assessments!J:J,Assessments!G:G,$A445,Assessments!B:B,"&gt;="&amp;$B$4,Assessments!B:B,"&lt;="&amp;$B$5),0))</f>
        <v/>
      </c>
      <c r="F445">
        <f>IF($D445=0,"",IFERROR(AVERAGEIFS(Assessments!J:J,Assessments!G:G,$A445,Assessments!B:B,$B$5),0)-IFERROR(AVERAGEIFS(Assessments!J:J,Assessments!G:G,$A445,Assessments!B:B,$B$4),0))</f>
        <v/>
      </c>
      <c r="G445">
        <f>IF($D445=0,"",MAXIFS(Assessments!J:J,Assessments!G:G,$A445,Assessments!B:B,"&gt;="&amp;$B$4,Assessments!B:B,"&lt;="&amp;$B$5))</f>
        <v/>
      </c>
      <c r="H445">
        <f>IF($D445=0,"",MINIFS(Assessments!J:J,Assessments!G:G,$A445,Assessments!B:B,"&gt;="&amp;$B$4,Assessments!B:B,"&lt;="&amp;$B$5))</f>
        <v/>
      </c>
    </row>
    <row r="446">
      <c r="A446">
        <f>IF(Students!A440="","",Students!A440)</f>
        <v/>
      </c>
      <c r="B446">
        <f>IF($A446="","",Students!B440)</f>
        <v/>
      </c>
      <c r="C446">
        <f>IF($A446="","",Students!C440)</f>
        <v/>
      </c>
      <c r="D446">
        <f>IF($A446="","",COUNTIFS(Assessments!G:G,$A446,Assessments!B:B,"&gt;="&amp;$B$4,Assessments!B:B,"&lt;="&amp;$B$5))</f>
        <v/>
      </c>
      <c r="E446">
        <f>IF($D446=0,"",ROUND(AVERAGEIFS(Assessments!J:J,Assessments!G:G,$A446,Assessments!B:B,"&gt;="&amp;$B$4,Assessments!B:B,"&lt;="&amp;$B$5),0))</f>
        <v/>
      </c>
      <c r="F446">
        <f>IF($D446=0,"",IFERROR(AVERAGEIFS(Assessments!J:J,Assessments!G:G,$A446,Assessments!B:B,$B$5),0)-IFERROR(AVERAGEIFS(Assessments!J:J,Assessments!G:G,$A446,Assessments!B:B,$B$4),0))</f>
        <v/>
      </c>
      <c r="G446">
        <f>IF($D446=0,"",MAXIFS(Assessments!J:J,Assessments!G:G,$A446,Assessments!B:B,"&gt;="&amp;$B$4,Assessments!B:B,"&lt;="&amp;$B$5))</f>
        <v/>
      </c>
      <c r="H446">
        <f>IF($D446=0,"",MINIFS(Assessments!J:J,Assessments!G:G,$A446,Assessments!B:B,"&gt;="&amp;$B$4,Assessments!B:B,"&lt;="&amp;$B$5))</f>
        <v/>
      </c>
    </row>
    <row r="447">
      <c r="A447">
        <f>IF(Students!A441="","",Students!A441)</f>
        <v/>
      </c>
      <c r="B447">
        <f>IF($A447="","",Students!B441)</f>
        <v/>
      </c>
      <c r="C447">
        <f>IF($A447="","",Students!C441)</f>
        <v/>
      </c>
      <c r="D447">
        <f>IF($A447="","",COUNTIFS(Assessments!G:G,$A447,Assessments!B:B,"&gt;="&amp;$B$4,Assessments!B:B,"&lt;="&amp;$B$5))</f>
        <v/>
      </c>
      <c r="E447">
        <f>IF($D447=0,"",ROUND(AVERAGEIFS(Assessments!J:J,Assessments!G:G,$A447,Assessments!B:B,"&gt;="&amp;$B$4,Assessments!B:B,"&lt;="&amp;$B$5),0))</f>
        <v/>
      </c>
      <c r="F447">
        <f>IF($D447=0,"",IFERROR(AVERAGEIFS(Assessments!J:J,Assessments!G:G,$A447,Assessments!B:B,$B$5),0)-IFERROR(AVERAGEIFS(Assessments!J:J,Assessments!G:G,$A447,Assessments!B:B,$B$4),0))</f>
        <v/>
      </c>
      <c r="G447">
        <f>IF($D447=0,"",MAXIFS(Assessments!J:J,Assessments!G:G,$A447,Assessments!B:B,"&gt;="&amp;$B$4,Assessments!B:B,"&lt;="&amp;$B$5))</f>
        <v/>
      </c>
      <c r="H447">
        <f>IF($D447=0,"",MINIFS(Assessments!J:J,Assessments!G:G,$A447,Assessments!B:B,"&gt;="&amp;$B$4,Assessments!B:B,"&lt;="&amp;$B$5))</f>
        <v/>
      </c>
    </row>
    <row r="448">
      <c r="A448">
        <f>IF(Students!A442="","",Students!A442)</f>
        <v/>
      </c>
      <c r="B448">
        <f>IF($A448="","",Students!B442)</f>
        <v/>
      </c>
      <c r="C448">
        <f>IF($A448="","",Students!C442)</f>
        <v/>
      </c>
      <c r="D448">
        <f>IF($A448="","",COUNTIFS(Assessments!G:G,$A448,Assessments!B:B,"&gt;="&amp;$B$4,Assessments!B:B,"&lt;="&amp;$B$5))</f>
        <v/>
      </c>
      <c r="E448">
        <f>IF($D448=0,"",ROUND(AVERAGEIFS(Assessments!J:J,Assessments!G:G,$A448,Assessments!B:B,"&gt;="&amp;$B$4,Assessments!B:B,"&lt;="&amp;$B$5),0))</f>
        <v/>
      </c>
      <c r="F448">
        <f>IF($D448=0,"",IFERROR(AVERAGEIFS(Assessments!J:J,Assessments!G:G,$A448,Assessments!B:B,$B$5),0)-IFERROR(AVERAGEIFS(Assessments!J:J,Assessments!G:G,$A448,Assessments!B:B,$B$4),0))</f>
        <v/>
      </c>
      <c r="G448">
        <f>IF($D448=0,"",MAXIFS(Assessments!J:J,Assessments!G:G,$A448,Assessments!B:B,"&gt;="&amp;$B$4,Assessments!B:B,"&lt;="&amp;$B$5))</f>
        <v/>
      </c>
      <c r="H448">
        <f>IF($D448=0,"",MINIFS(Assessments!J:J,Assessments!G:G,$A448,Assessments!B:B,"&gt;="&amp;$B$4,Assessments!B:B,"&lt;="&amp;$B$5))</f>
        <v/>
      </c>
    </row>
    <row r="449">
      <c r="A449">
        <f>IF(Students!A443="","",Students!A443)</f>
        <v/>
      </c>
      <c r="B449">
        <f>IF($A449="","",Students!B443)</f>
        <v/>
      </c>
      <c r="C449">
        <f>IF($A449="","",Students!C443)</f>
        <v/>
      </c>
      <c r="D449">
        <f>IF($A449="","",COUNTIFS(Assessments!G:G,$A449,Assessments!B:B,"&gt;="&amp;$B$4,Assessments!B:B,"&lt;="&amp;$B$5))</f>
        <v/>
      </c>
      <c r="E449">
        <f>IF($D449=0,"",ROUND(AVERAGEIFS(Assessments!J:J,Assessments!G:G,$A449,Assessments!B:B,"&gt;="&amp;$B$4,Assessments!B:B,"&lt;="&amp;$B$5),0))</f>
        <v/>
      </c>
      <c r="F449">
        <f>IF($D449=0,"",IFERROR(AVERAGEIFS(Assessments!J:J,Assessments!G:G,$A449,Assessments!B:B,$B$5),0)-IFERROR(AVERAGEIFS(Assessments!J:J,Assessments!G:G,$A449,Assessments!B:B,$B$4),0))</f>
        <v/>
      </c>
      <c r="G449">
        <f>IF($D449=0,"",MAXIFS(Assessments!J:J,Assessments!G:G,$A449,Assessments!B:B,"&gt;="&amp;$B$4,Assessments!B:B,"&lt;="&amp;$B$5))</f>
        <v/>
      </c>
      <c r="H449">
        <f>IF($D449=0,"",MINIFS(Assessments!J:J,Assessments!G:G,$A449,Assessments!B:B,"&gt;="&amp;$B$4,Assessments!B:B,"&lt;="&amp;$B$5))</f>
        <v/>
      </c>
    </row>
    <row r="450">
      <c r="A450">
        <f>IF(Students!A444="","",Students!A444)</f>
        <v/>
      </c>
      <c r="B450">
        <f>IF($A450="","",Students!B444)</f>
        <v/>
      </c>
      <c r="C450">
        <f>IF($A450="","",Students!C444)</f>
        <v/>
      </c>
      <c r="D450">
        <f>IF($A450="","",COUNTIFS(Assessments!G:G,$A450,Assessments!B:B,"&gt;="&amp;$B$4,Assessments!B:B,"&lt;="&amp;$B$5))</f>
        <v/>
      </c>
      <c r="E450">
        <f>IF($D450=0,"",ROUND(AVERAGEIFS(Assessments!J:J,Assessments!G:G,$A450,Assessments!B:B,"&gt;="&amp;$B$4,Assessments!B:B,"&lt;="&amp;$B$5),0))</f>
        <v/>
      </c>
      <c r="F450">
        <f>IF($D450=0,"",IFERROR(AVERAGEIFS(Assessments!J:J,Assessments!G:G,$A450,Assessments!B:B,$B$5),0)-IFERROR(AVERAGEIFS(Assessments!J:J,Assessments!G:G,$A450,Assessments!B:B,$B$4),0))</f>
        <v/>
      </c>
      <c r="G450">
        <f>IF($D450=0,"",MAXIFS(Assessments!J:J,Assessments!G:G,$A450,Assessments!B:B,"&gt;="&amp;$B$4,Assessments!B:B,"&lt;="&amp;$B$5))</f>
        <v/>
      </c>
      <c r="H450">
        <f>IF($D450=0,"",MINIFS(Assessments!J:J,Assessments!G:G,$A450,Assessments!B:B,"&gt;="&amp;$B$4,Assessments!B:B,"&lt;="&amp;$B$5))</f>
        <v/>
      </c>
    </row>
    <row r="451">
      <c r="A451">
        <f>IF(Students!A445="","",Students!A445)</f>
        <v/>
      </c>
      <c r="B451">
        <f>IF($A451="","",Students!B445)</f>
        <v/>
      </c>
      <c r="C451">
        <f>IF($A451="","",Students!C445)</f>
        <v/>
      </c>
      <c r="D451">
        <f>IF($A451="","",COUNTIFS(Assessments!G:G,$A451,Assessments!B:B,"&gt;="&amp;$B$4,Assessments!B:B,"&lt;="&amp;$B$5))</f>
        <v/>
      </c>
      <c r="E451">
        <f>IF($D451=0,"",ROUND(AVERAGEIFS(Assessments!J:J,Assessments!G:G,$A451,Assessments!B:B,"&gt;="&amp;$B$4,Assessments!B:B,"&lt;="&amp;$B$5),0))</f>
        <v/>
      </c>
      <c r="F451">
        <f>IF($D451=0,"",IFERROR(AVERAGEIFS(Assessments!J:J,Assessments!G:G,$A451,Assessments!B:B,$B$5),0)-IFERROR(AVERAGEIFS(Assessments!J:J,Assessments!G:G,$A451,Assessments!B:B,$B$4),0))</f>
        <v/>
      </c>
      <c r="G451">
        <f>IF($D451=0,"",MAXIFS(Assessments!J:J,Assessments!G:G,$A451,Assessments!B:B,"&gt;="&amp;$B$4,Assessments!B:B,"&lt;="&amp;$B$5))</f>
        <v/>
      </c>
      <c r="H451">
        <f>IF($D451=0,"",MINIFS(Assessments!J:J,Assessments!G:G,$A451,Assessments!B:B,"&gt;="&amp;$B$4,Assessments!B:B,"&lt;="&amp;$B$5))</f>
        <v/>
      </c>
    </row>
    <row r="452">
      <c r="A452">
        <f>IF(Students!A446="","",Students!A446)</f>
        <v/>
      </c>
      <c r="B452">
        <f>IF($A452="","",Students!B446)</f>
        <v/>
      </c>
      <c r="C452">
        <f>IF($A452="","",Students!C446)</f>
        <v/>
      </c>
      <c r="D452">
        <f>IF($A452="","",COUNTIFS(Assessments!G:G,$A452,Assessments!B:B,"&gt;="&amp;$B$4,Assessments!B:B,"&lt;="&amp;$B$5))</f>
        <v/>
      </c>
      <c r="E452">
        <f>IF($D452=0,"",ROUND(AVERAGEIFS(Assessments!J:J,Assessments!G:G,$A452,Assessments!B:B,"&gt;="&amp;$B$4,Assessments!B:B,"&lt;="&amp;$B$5),0))</f>
        <v/>
      </c>
      <c r="F452">
        <f>IF($D452=0,"",IFERROR(AVERAGEIFS(Assessments!J:J,Assessments!G:G,$A452,Assessments!B:B,$B$5),0)-IFERROR(AVERAGEIFS(Assessments!J:J,Assessments!G:G,$A452,Assessments!B:B,$B$4),0))</f>
        <v/>
      </c>
      <c r="G452">
        <f>IF($D452=0,"",MAXIFS(Assessments!J:J,Assessments!G:G,$A452,Assessments!B:B,"&gt;="&amp;$B$4,Assessments!B:B,"&lt;="&amp;$B$5))</f>
        <v/>
      </c>
      <c r="H452">
        <f>IF($D452=0,"",MINIFS(Assessments!J:J,Assessments!G:G,$A452,Assessments!B:B,"&gt;="&amp;$B$4,Assessments!B:B,"&lt;="&amp;$B$5))</f>
        <v/>
      </c>
    </row>
    <row r="453">
      <c r="A453">
        <f>IF(Students!A447="","",Students!A447)</f>
        <v/>
      </c>
      <c r="B453">
        <f>IF($A453="","",Students!B447)</f>
        <v/>
      </c>
      <c r="C453">
        <f>IF($A453="","",Students!C447)</f>
        <v/>
      </c>
      <c r="D453">
        <f>IF($A453="","",COUNTIFS(Assessments!G:G,$A453,Assessments!B:B,"&gt;="&amp;$B$4,Assessments!B:B,"&lt;="&amp;$B$5))</f>
        <v/>
      </c>
      <c r="E453">
        <f>IF($D453=0,"",ROUND(AVERAGEIFS(Assessments!J:J,Assessments!G:G,$A453,Assessments!B:B,"&gt;="&amp;$B$4,Assessments!B:B,"&lt;="&amp;$B$5),0))</f>
        <v/>
      </c>
      <c r="F453">
        <f>IF($D453=0,"",IFERROR(AVERAGEIFS(Assessments!J:J,Assessments!G:G,$A453,Assessments!B:B,$B$5),0)-IFERROR(AVERAGEIFS(Assessments!J:J,Assessments!G:G,$A453,Assessments!B:B,$B$4),0))</f>
        <v/>
      </c>
      <c r="G453">
        <f>IF($D453=0,"",MAXIFS(Assessments!J:J,Assessments!G:G,$A453,Assessments!B:B,"&gt;="&amp;$B$4,Assessments!B:B,"&lt;="&amp;$B$5))</f>
        <v/>
      </c>
      <c r="H453">
        <f>IF($D453=0,"",MINIFS(Assessments!J:J,Assessments!G:G,$A453,Assessments!B:B,"&gt;="&amp;$B$4,Assessments!B:B,"&lt;="&amp;$B$5))</f>
        <v/>
      </c>
    </row>
    <row r="454">
      <c r="A454">
        <f>IF(Students!A448="","",Students!A448)</f>
        <v/>
      </c>
      <c r="B454">
        <f>IF($A454="","",Students!B448)</f>
        <v/>
      </c>
      <c r="C454">
        <f>IF($A454="","",Students!C448)</f>
        <v/>
      </c>
      <c r="D454">
        <f>IF($A454="","",COUNTIFS(Assessments!G:G,$A454,Assessments!B:B,"&gt;="&amp;$B$4,Assessments!B:B,"&lt;="&amp;$B$5))</f>
        <v/>
      </c>
      <c r="E454">
        <f>IF($D454=0,"",ROUND(AVERAGEIFS(Assessments!J:J,Assessments!G:G,$A454,Assessments!B:B,"&gt;="&amp;$B$4,Assessments!B:B,"&lt;="&amp;$B$5),0))</f>
        <v/>
      </c>
      <c r="F454">
        <f>IF($D454=0,"",IFERROR(AVERAGEIFS(Assessments!J:J,Assessments!G:G,$A454,Assessments!B:B,$B$5),0)-IFERROR(AVERAGEIFS(Assessments!J:J,Assessments!G:G,$A454,Assessments!B:B,$B$4),0))</f>
        <v/>
      </c>
      <c r="G454">
        <f>IF($D454=0,"",MAXIFS(Assessments!J:J,Assessments!G:G,$A454,Assessments!B:B,"&gt;="&amp;$B$4,Assessments!B:B,"&lt;="&amp;$B$5))</f>
        <v/>
      </c>
      <c r="H454">
        <f>IF($D454=0,"",MINIFS(Assessments!J:J,Assessments!G:G,$A454,Assessments!B:B,"&gt;="&amp;$B$4,Assessments!B:B,"&lt;="&amp;$B$5))</f>
        <v/>
      </c>
    </row>
    <row r="455">
      <c r="A455">
        <f>IF(Students!A449="","",Students!A449)</f>
        <v/>
      </c>
      <c r="B455">
        <f>IF($A455="","",Students!B449)</f>
        <v/>
      </c>
      <c r="C455">
        <f>IF($A455="","",Students!C449)</f>
        <v/>
      </c>
      <c r="D455">
        <f>IF($A455="","",COUNTIFS(Assessments!G:G,$A455,Assessments!B:B,"&gt;="&amp;$B$4,Assessments!B:B,"&lt;="&amp;$B$5))</f>
        <v/>
      </c>
      <c r="E455">
        <f>IF($D455=0,"",ROUND(AVERAGEIFS(Assessments!J:J,Assessments!G:G,$A455,Assessments!B:B,"&gt;="&amp;$B$4,Assessments!B:B,"&lt;="&amp;$B$5),0))</f>
        <v/>
      </c>
      <c r="F455">
        <f>IF($D455=0,"",IFERROR(AVERAGEIFS(Assessments!J:J,Assessments!G:G,$A455,Assessments!B:B,$B$5),0)-IFERROR(AVERAGEIFS(Assessments!J:J,Assessments!G:G,$A455,Assessments!B:B,$B$4),0))</f>
        <v/>
      </c>
      <c r="G455">
        <f>IF($D455=0,"",MAXIFS(Assessments!J:J,Assessments!G:G,$A455,Assessments!B:B,"&gt;="&amp;$B$4,Assessments!B:B,"&lt;="&amp;$B$5))</f>
        <v/>
      </c>
      <c r="H455">
        <f>IF($D455=0,"",MINIFS(Assessments!J:J,Assessments!G:G,$A455,Assessments!B:B,"&gt;="&amp;$B$4,Assessments!B:B,"&lt;="&amp;$B$5))</f>
        <v/>
      </c>
    </row>
    <row r="456">
      <c r="A456">
        <f>IF(Students!A450="","",Students!A450)</f>
        <v/>
      </c>
      <c r="B456">
        <f>IF($A456="","",Students!B450)</f>
        <v/>
      </c>
      <c r="C456">
        <f>IF($A456="","",Students!C450)</f>
        <v/>
      </c>
      <c r="D456">
        <f>IF($A456="","",COUNTIFS(Assessments!G:G,$A456,Assessments!B:B,"&gt;="&amp;$B$4,Assessments!B:B,"&lt;="&amp;$B$5))</f>
        <v/>
      </c>
      <c r="E456">
        <f>IF($D456=0,"",ROUND(AVERAGEIFS(Assessments!J:J,Assessments!G:G,$A456,Assessments!B:B,"&gt;="&amp;$B$4,Assessments!B:B,"&lt;="&amp;$B$5),0))</f>
        <v/>
      </c>
      <c r="F456">
        <f>IF($D456=0,"",IFERROR(AVERAGEIFS(Assessments!J:J,Assessments!G:G,$A456,Assessments!B:B,$B$5),0)-IFERROR(AVERAGEIFS(Assessments!J:J,Assessments!G:G,$A456,Assessments!B:B,$B$4),0))</f>
        <v/>
      </c>
      <c r="G456">
        <f>IF($D456=0,"",MAXIFS(Assessments!J:J,Assessments!G:G,$A456,Assessments!B:B,"&gt;="&amp;$B$4,Assessments!B:B,"&lt;="&amp;$B$5))</f>
        <v/>
      </c>
      <c r="H456">
        <f>IF($D456=0,"",MINIFS(Assessments!J:J,Assessments!G:G,$A456,Assessments!B:B,"&gt;="&amp;$B$4,Assessments!B:B,"&lt;="&amp;$B$5))</f>
        <v/>
      </c>
    </row>
    <row r="457">
      <c r="A457">
        <f>IF(Students!A451="","",Students!A451)</f>
        <v/>
      </c>
      <c r="B457">
        <f>IF($A457="","",Students!B451)</f>
        <v/>
      </c>
      <c r="C457">
        <f>IF($A457="","",Students!C451)</f>
        <v/>
      </c>
      <c r="D457">
        <f>IF($A457="","",COUNTIFS(Assessments!G:G,$A457,Assessments!B:B,"&gt;="&amp;$B$4,Assessments!B:B,"&lt;="&amp;$B$5))</f>
        <v/>
      </c>
      <c r="E457">
        <f>IF($D457=0,"",ROUND(AVERAGEIFS(Assessments!J:J,Assessments!G:G,$A457,Assessments!B:B,"&gt;="&amp;$B$4,Assessments!B:B,"&lt;="&amp;$B$5),0))</f>
        <v/>
      </c>
      <c r="F457">
        <f>IF($D457=0,"",IFERROR(AVERAGEIFS(Assessments!J:J,Assessments!G:G,$A457,Assessments!B:B,$B$5),0)-IFERROR(AVERAGEIFS(Assessments!J:J,Assessments!G:G,$A457,Assessments!B:B,$B$4),0))</f>
        <v/>
      </c>
      <c r="G457">
        <f>IF($D457=0,"",MAXIFS(Assessments!J:J,Assessments!G:G,$A457,Assessments!B:B,"&gt;="&amp;$B$4,Assessments!B:B,"&lt;="&amp;$B$5))</f>
        <v/>
      </c>
      <c r="H457">
        <f>IF($D457=0,"",MINIFS(Assessments!J:J,Assessments!G:G,$A457,Assessments!B:B,"&gt;="&amp;$B$4,Assessments!B:B,"&lt;="&amp;$B$5))</f>
        <v/>
      </c>
    </row>
    <row r="458">
      <c r="A458">
        <f>IF(Students!A452="","",Students!A452)</f>
        <v/>
      </c>
      <c r="B458">
        <f>IF($A458="","",Students!B452)</f>
        <v/>
      </c>
      <c r="C458">
        <f>IF($A458="","",Students!C452)</f>
        <v/>
      </c>
      <c r="D458">
        <f>IF($A458="","",COUNTIFS(Assessments!G:G,$A458,Assessments!B:B,"&gt;="&amp;$B$4,Assessments!B:B,"&lt;="&amp;$B$5))</f>
        <v/>
      </c>
      <c r="E458">
        <f>IF($D458=0,"",ROUND(AVERAGEIFS(Assessments!J:J,Assessments!G:G,$A458,Assessments!B:B,"&gt;="&amp;$B$4,Assessments!B:B,"&lt;="&amp;$B$5),0))</f>
        <v/>
      </c>
      <c r="F458">
        <f>IF($D458=0,"",IFERROR(AVERAGEIFS(Assessments!J:J,Assessments!G:G,$A458,Assessments!B:B,$B$5),0)-IFERROR(AVERAGEIFS(Assessments!J:J,Assessments!G:G,$A458,Assessments!B:B,$B$4),0))</f>
        <v/>
      </c>
      <c r="G458">
        <f>IF($D458=0,"",MAXIFS(Assessments!J:J,Assessments!G:G,$A458,Assessments!B:B,"&gt;="&amp;$B$4,Assessments!B:B,"&lt;="&amp;$B$5))</f>
        <v/>
      </c>
      <c r="H458">
        <f>IF($D458=0,"",MINIFS(Assessments!J:J,Assessments!G:G,$A458,Assessments!B:B,"&gt;="&amp;$B$4,Assessments!B:B,"&lt;="&amp;$B$5))</f>
        <v/>
      </c>
    </row>
    <row r="459">
      <c r="A459">
        <f>IF(Students!A453="","",Students!A453)</f>
        <v/>
      </c>
      <c r="B459">
        <f>IF($A459="","",Students!B453)</f>
        <v/>
      </c>
      <c r="C459">
        <f>IF($A459="","",Students!C453)</f>
        <v/>
      </c>
      <c r="D459">
        <f>IF($A459="","",COUNTIFS(Assessments!G:G,$A459,Assessments!B:B,"&gt;="&amp;$B$4,Assessments!B:B,"&lt;="&amp;$B$5))</f>
        <v/>
      </c>
      <c r="E459">
        <f>IF($D459=0,"",ROUND(AVERAGEIFS(Assessments!J:J,Assessments!G:G,$A459,Assessments!B:B,"&gt;="&amp;$B$4,Assessments!B:B,"&lt;="&amp;$B$5),0))</f>
        <v/>
      </c>
      <c r="F459">
        <f>IF($D459=0,"",IFERROR(AVERAGEIFS(Assessments!J:J,Assessments!G:G,$A459,Assessments!B:B,$B$5),0)-IFERROR(AVERAGEIFS(Assessments!J:J,Assessments!G:G,$A459,Assessments!B:B,$B$4),0))</f>
        <v/>
      </c>
      <c r="G459">
        <f>IF($D459=0,"",MAXIFS(Assessments!J:J,Assessments!G:G,$A459,Assessments!B:B,"&gt;="&amp;$B$4,Assessments!B:B,"&lt;="&amp;$B$5))</f>
        <v/>
      </c>
      <c r="H459">
        <f>IF($D459=0,"",MINIFS(Assessments!J:J,Assessments!G:G,$A459,Assessments!B:B,"&gt;="&amp;$B$4,Assessments!B:B,"&lt;="&amp;$B$5))</f>
        <v/>
      </c>
    </row>
    <row r="460">
      <c r="A460">
        <f>IF(Students!A454="","",Students!A454)</f>
        <v/>
      </c>
      <c r="B460">
        <f>IF($A460="","",Students!B454)</f>
        <v/>
      </c>
      <c r="C460">
        <f>IF($A460="","",Students!C454)</f>
        <v/>
      </c>
      <c r="D460">
        <f>IF($A460="","",COUNTIFS(Assessments!G:G,$A460,Assessments!B:B,"&gt;="&amp;$B$4,Assessments!B:B,"&lt;="&amp;$B$5))</f>
        <v/>
      </c>
      <c r="E460">
        <f>IF($D460=0,"",ROUND(AVERAGEIFS(Assessments!J:J,Assessments!G:G,$A460,Assessments!B:B,"&gt;="&amp;$B$4,Assessments!B:B,"&lt;="&amp;$B$5),0))</f>
        <v/>
      </c>
      <c r="F460">
        <f>IF($D460=0,"",IFERROR(AVERAGEIFS(Assessments!J:J,Assessments!G:G,$A460,Assessments!B:B,$B$5),0)-IFERROR(AVERAGEIFS(Assessments!J:J,Assessments!G:G,$A460,Assessments!B:B,$B$4),0))</f>
        <v/>
      </c>
      <c r="G460">
        <f>IF($D460=0,"",MAXIFS(Assessments!J:J,Assessments!G:G,$A460,Assessments!B:B,"&gt;="&amp;$B$4,Assessments!B:B,"&lt;="&amp;$B$5))</f>
        <v/>
      </c>
      <c r="H460">
        <f>IF($D460=0,"",MINIFS(Assessments!J:J,Assessments!G:G,$A460,Assessments!B:B,"&gt;="&amp;$B$4,Assessments!B:B,"&lt;="&amp;$B$5))</f>
        <v/>
      </c>
    </row>
    <row r="461">
      <c r="A461">
        <f>IF(Students!A455="","",Students!A455)</f>
        <v/>
      </c>
      <c r="B461">
        <f>IF($A461="","",Students!B455)</f>
        <v/>
      </c>
      <c r="C461">
        <f>IF($A461="","",Students!C455)</f>
        <v/>
      </c>
      <c r="D461">
        <f>IF($A461="","",COUNTIFS(Assessments!G:G,$A461,Assessments!B:B,"&gt;="&amp;$B$4,Assessments!B:B,"&lt;="&amp;$B$5))</f>
        <v/>
      </c>
      <c r="E461">
        <f>IF($D461=0,"",ROUND(AVERAGEIFS(Assessments!J:J,Assessments!G:G,$A461,Assessments!B:B,"&gt;="&amp;$B$4,Assessments!B:B,"&lt;="&amp;$B$5),0))</f>
        <v/>
      </c>
      <c r="F461">
        <f>IF($D461=0,"",IFERROR(AVERAGEIFS(Assessments!J:J,Assessments!G:G,$A461,Assessments!B:B,$B$5),0)-IFERROR(AVERAGEIFS(Assessments!J:J,Assessments!G:G,$A461,Assessments!B:B,$B$4),0))</f>
        <v/>
      </c>
      <c r="G461">
        <f>IF($D461=0,"",MAXIFS(Assessments!J:J,Assessments!G:G,$A461,Assessments!B:B,"&gt;="&amp;$B$4,Assessments!B:B,"&lt;="&amp;$B$5))</f>
        <v/>
      </c>
      <c r="H461">
        <f>IF($D461=0,"",MINIFS(Assessments!J:J,Assessments!G:G,$A461,Assessments!B:B,"&gt;="&amp;$B$4,Assessments!B:B,"&lt;="&amp;$B$5))</f>
        <v/>
      </c>
    </row>
    <row r="462">
      <c r="A462">
        <f>IF(Students!A456="","",Students!A456)</f>
        <v/>
      </c>
      <c r="B462">
        <f>IF($A462="","",Students!B456)</f>
        <v/>
      </c>
      <c r="C462">
        <f>IF($A462="","",Students!C456)</f>
        <v/>
      </c>
      <c r="D462">
        <f>IF($A462="","",COUNTIFS(Assessments!G:G,$A462,Assessments!B:B,"&gt;="&amp;$B$4,Assessments!B:B,"&lt;="&amp;$B$5))</f>
        <v/>
      </c>
      <c r="E462">
        <f>IF($D462=0,"",ROUND(AVERAGEIFS(Assessments!J:J,Assessments!G:G,$A462,Assessments!B:B,"&gt;="&amp;$B$4,Assessments!B:B,"&lt;="&amp;$B$5),0))</f>
        <v/>
      </c>
      <c r="F462">
        <f>IF($D462=0,"",IFERROR(AVERAGEIFS(Assessments!J:J,Assessments!G:G,$A462,Assessments!B:B,$B$5),0)-IFERROR(AVERAGEIFS(Assessments!J:J,Assessments!G:G,$A462,Assessments!B:B,$B$4),0))</f>
        <v/>
      </c>
      <c r="G462">
        <f>IF($D462=0,"",MAXIFS(Assessments!J:J,Assessments!G:G,$A462,Assessments!B:B,"&gt;="&amp;$B$4,Assessments!B:B,"&lt;="&amp;$B$5))</f>
        <v/>
      </c>
      <c r="H462">
        <f>IF($D462=0,"",MINIFS(Assessments!J:J,Assessments!G:G,$A462,Assessments!B:B,"&gt;="&amp;$B$4,Assessments!B:B,"&lt;="&amp;$B$5))</f>
        <v/>
      </c>
    </row>
    <row r="463">
      <c r="A463">
        <f>IF(Students!A457="","",Students!A457)</f>
        <v/>
      </c>
      <c r="B463">
        <f>IF($A463="","",Students!B457)</f>
        <v/>
      </c>
      <c r="C463">
        <f>IF($A463="","",Students!C457)</f>
        <v/>
      </c>
      <c r="D463">
        <f>IF($A463="","",COUNTIFS(Assessments!G:G,$A463,Assessments!B:B,"&gt;="&amp;$B$4,Assessments!B:B,"&lt;="&amp;$B$5))</f>
        <v/>
      </c>
      <c r="E463">
        <f>IF($D463=0,"",ROUND(AVERAGEIFS(Assessments!J:J,Assessments!G:G,$A463,Assessments!B:B,"&gt;="&amp;$B$4,Assessments!B:B,"&lt;="&amp;$B$5),0))</f>
        <v/>
      </c>
      <c r="F463">
        <f>IF($D463=0,"",IFERROR(AVERAGEIFS(Assessments!J:J,Assessments!G:G,$A463,Assessments!B:B,$B$5),0)-IFERROR(AVERAGEIFS(Assessments!J:J,Assessments!G:G,$A463,Assessments!B:B,$B$4),0))</f>
        <v/>
      </c>
      <c r="G463">
        <f>IF($D463=0,"",MAXIFS(Assessments!J:J,Assessments!G:G,$A463,Assessments!B:B,"&gt;="&amp;$B$4,Assessments!B:B,"&lt;="&amp;$B$5))</f>
        <v/>
      </c>
      <c r="H463">
        <f>IF($D463=0,"",MINIFS(Assessments!J:J,Assessments!G:G,$A463,Assessments!B:B,"&gt;="&amp;$B$4,Assessments!B:B,"&lt;="&amp;$B$5))</f>
        <v/>
      </c>
    </row>
    <row r="464">
      <c r="A464">
        <f>IF(Students!A458="","",Students!A458)</f>
        <v/>
      </c>
      <c r="B464">
        <f>IF($A464="","",Students!B458)</f>
        <v/>
      </c>
      <c r="C464">
        <f>IF($A464="","",Students!C458)</f>
        <v/>
      </c>
      <c r="D464">
        <f>IF($A464="","",COUNTIFS(Assessments!G:G,$A464,Assessments!B:B,"&gt;="&amp;$B$4,Assessments!B:B,"&lt;="&amp;$B$5))</f>
        <v/>
      </c>
      <c r="E464">
        <f>IF($D464=0,"",ROUND(AVERAGEIFS(Assessments!J:J,Assessments!G:G,$A464,Assessments!B:B,"&gt;="&amp;$B$4,Assessments!B:B,"&lt;="&amp;$B$5),0))</f>
        <v/>
      </c>
      <c r="F464">
        <f>IF($D464=0,"",IFERROR(AVERAGEIFS(Assessments!J:J,Assessments!G:G,$A464,Assessments!B:B,$B$5),0)-IFERROR(AVERAGEIFS(Assessments!J:J,Assessments!G:G,$A464,Assessments!B:B,$B$4),0))</f>
        <v/>
      </c>
      <c r="G464">
        <f>IF($D464=0,"",MAXIFS(Assessments!J:J,Assessments!G:G,$A464,Assessments!B:B,"&gt;="&amp;$B$4,Assessments!B:B,"&lt;="&amp;$B$5))</f>
        <v/>
      </c>
      <c r="H464">
        <f>IF($D464=0,"",MINIFS(Assessments!J:J,Assessments!G:G,$A464,Assessments!B:B,"&gt;="&amp;$B$4,Assessments!B:B,"&lt;="&amp;$B$5))</f>
        <v/>
      </c>
    </row>
    <row r="465">
      <c r="A465">
        <f>IF(Students!A459="","",Students!A459)</f>
        <v/>
      </c>
      <c r="B465">
        <f>IF($A465="","",Students!B459)</f>
        <v/>
      </c>
      <c r="C465">
        <f>IF($A465="","",Students!C459)</f>
        <v/>
      </c>
      <c r="D465">
        <f>IF($A465="","",COUNTIFS(Assessments!G:G,$A465,Assessments!B:B,"&gt;="&amp;$B$4,Assessments!B:B,"&lt;="&amp;$B$5))</f>
        <v/>
      </c>
      <c r="E465">
        <f>IF($D465=0,"",ROUND(AVERAGEIFS(Assessments!J:J,Assessments!G:G,$A465,Assessments!B:B,"&gt;="&amp;$B$4,Assessments!B:B,"&lt;="&amp;$B$5),0))</f>
        <v/>
      </c>
      <c r="F465">
        <f>IF($D465=0,"",IFERROR(AVERAGEIFS(Assessments!J:J,Assessments!G:G,$A465,Assessments!B:B,$B$5),0)-IFERROR(AVERAGEIFS(Assessments!J:J,Assessments!G:G,$A465,Assessments!B:B,$B$4),0))</f>
        <v/>
      </c>
      <c r="G465">
        <f>IF($D465=0,"",MAXIFS(Assessments!J:J,Assessments!G:G,$A465,Assessments!B:B,"&gt;="&amp;$B$4,Assessments!B:B,"&lt;="&amp;$B$5))</f>
        <v/>
      </c>
      <c r="H465">
        <f>IF($D465=0,"",MINIFS(Assessments!J:J,Assessments!G:G,$A465,Assessments!B:B,"&gt;="&amp;$B$4,Assessments!B:B,"&lt;="&amp;$B$5))</f>
        <v/>
      </c>
    </row>
    <row r="466">
      <c r="A466">
        <f>IF(Students!A460="","",Students!A460)</f>
        <v/>
      </c>
      <c r="B466">
        <f>IF($A466="","",Students!B460)</f>
        <v/>
      </c>
      <c r="C466">
        <f>IF($A466="","",Students!C460)</f>
        <v/>
      </c>
      <c r="D466">
        <f>IF($A466="","",COUNTIFS(Assessments!G:G,$A466,Assessments!B:B,"&gt;="&amp;$B$4,Assessments!B:B,"&lt;="&amp;$B$5))</f>
        <v/>
      </c>
      <c r="E466">
        <f>IF($D466=0,"",ROUND(AVERAGEIFS(Assessments!J:J,Assessments!G:G,$A466,Assessments!B:B,"&gt;="&amp;$B$4,Assessments!B:B,"&lt;="&amp;$B$5),0))</f>
        <v/>
      </c>
      <c r="F466">
        <f>IF($D466=0,"",IFERROR(AVERAGEIFS(Assessments!J:J,Assessments!G:G,$A466,Assessments!B:B,$B$5),0)-IFERROR(AVERAGEIFS(Assessments!J:J,Assessments!G:G,$A466,Assessments!B:B,$B$4),0))</f>
        <v/>
      </c>
      <c r="G466">
        <f>IF($D466=0,"",MAXIFS(Assessments!J:J,Assessments!G:G,$A466,Assessments!B:B,"&gt;="&amp;$B$4,Assessments!B:B,"&lt;="&amp;$B$5))</f>
        <v/>
      </c>
      <c r="H466">
        <f>IF($D466=0,"",MINIFS(Assessments!J:J,Assessments!G:G,$A466,Assessments!B:B,"&gt;="&amp;$B$4,Assessments!B:B,"&lt;="&amp;$B$5))</f>
        <v/>
      </c>
    </row>
    <row r="467">
      <c r="A467">
        <f>IF(Students!A461="","",Students!A461)</f>
        <v/>
      </c>
      <c r="B467">
        <f>IF($A467="","",Students!B461)</f>
        <v/>
      </c>
      <c r="C467">
        <f>IF($A467="","",Students!C461)</f>
        <v/>
      </c>
      <c r="D467">
        <f>IF($A467="","",COUNTIFS(Assessments!G:G,$A467,Assessments!B:B,"&gt;="&amp;$B$4,Assessments!B:B,"&lt;="&amp;$B$5))</f>
        <v/>
      </c>
      <c r="E467">
        <f>IF($D467=0,"",ROUND(AVERAGEIFS(Assessments!J:J,Assessments!G:G,$A467,Assessments!B:B,"&gt;="&amp;$B$4,Assessments!B:B,"&lt;="&amp;$B$5),0))</f>
        <v/>
      </c>
      <c r="F467">
        <f>IF($D467=0,"",IFERROR(AVERAGEIFS(Assessments!J:J,Assessments!G:G,$A467,Assessments!B:B,$B$5),0)-IFERROR(AVERAGEIFS(Assessments!J:J,Assessments!G:G,$A467,Assessments!B:B,$B$4),0))</f>
        <v/>
      </c>
      <c r="G467">
        <f>IF($D467=0,"",MAXIFS(Assessments!J:J,Assessments!G:G,$A467,Assessments!B:B,"&gt;="&amp;$B$4,Assessments!B:B,"&lt;="&amp;$B$5))</f>
        <v/>
      </c>
      <c r="H467">
        <f>IF($D467=0,"",MINIFS(Assessments!J:J,Assessments!G:G,$A467,Assessments!B:B,"&gt;="&amp;$B$4,Assessments!B:B,"&lt;="&amp;$B$5))</f>
        <v/>
      </c>
    </row>
    <row r="468">
      <c r="A468">
        <f>IF(Students!A462="","",Students!A462)</f>
        <v/>
      </c>
      <c r="B468">
        <f>IF($A468="","",Students!B462)</f>
        <v/>
      </c>
      <c r="C468">
        <f>IF($A468="","",Students!C462)</f>
        <v/>
      </c>
      <c r="D468">
        <f>IF($A468="","",COUNTIFS(Assessments!G:G,$A468,Assessments!B:B,"&gt;="&amp;$B$4,Assessments!B:B,"&lt;="&amp;$B$5))</f>
        <v/>
      </c>
      <c r="E468">
        <f>IF($D468=0,"",ROUND(AVERAGEIFS(Assessments!J:J,Assessments!G:G,$A468,Assessments!B:B,"&gt;="&amp;$B$4,Assessments!B:B,"&lt;="&amp;$B$5),0))</f>
        <v/>
      </c>
      <c r="F468">
        <f>IF($D468=0,"",IFERROR(AVERAGEIFS(Assessments!J:J,Assessments!G:G,$A468,Assessments!B:B,$B$5),0)-IFERROR(AVERAGEIFS(Assessments!J:J,Assessments!G:G,$A468,Assessments!B:B,$B$4),0))</f>
        <v/>
      </c>
      <c r="G468">
        <f>IF($D468=0,"",MAXIFS(Assessments!J:J,Assessments!G:G,$A468,Assessments!B:B,"&gt;="&amp;$B$4,Assessments!B:B,"&lt;="&amp;$B$5))</f>
        <v/>
      </c>
      <c r="H468">
        <f>IF($D468=0,"",MINIFS(Assessments!J:J,Assessments!G:G,$A468,Assessments!B:B,"&gt;="&amp;$B$4,Assessments!B:B,"&lt;="&amp;$B$5))</f>
        <v/>
      </c>
    </row>
    <row r="469">
      <c r="A469">
        <f>IF(Students!A463="","",Students!A463)</f>
        <v/>
      </c>
      <c r="B469">
        <f>IF($A469="","",Students!B463)</f>
        <v/>
      </c>
      <c r="C469">
        <f>IF($A469="","",Students!C463)</f>
        <v/>
      </c>
      <c r="D469">
        <f>IF($A469="","",COUNTIFS(Assessments!G:G,$A469,Assessments!B:B,"&gt;="&amp;$B$4,Assessments!B:B,"&lt;="&amp;$B$5))</f>
        <v/>
      </c>
      <c r="E469">
        <f>IF($D469=0,"",ROUND(AVERAGEIFS(Assessments!J:J,Assessments!G:G,$A469,Assessments!B:B,"&gt;="&amp;$B$4,Assessments!B:B,"&lt;="&amp;$B$5),0))</f>
        <v/>
      </c>
      <c r="F469">
        <f>IF($D469=0,"",IFERROR(AVERAGEIFS(Assessments!J:J,Assessments!G:G,$A469,Assessments!B:B,$B$5),0)-IFERROR(AVERAGEIFS(Assessments!J:J,Assessments!G:G,$A469,Assessments!B:B,$B$4),0))</f>
        <v/>
      </c>
      <c r="G469">
        <f>IF($D469=0,"",MAXIFS(Assessments!J:J,Assessments!G:G,$A469,Assessments!B:B,"&gt;="&amp;$B$4,Assessments!B:B,"&lt;="&amp;$B$5))</f>
        <v/>
      </c>
      <c r="H469">
        <f>IF($D469=0,"",MINIFS(Assessments!J:J,Assessments!G:G,$A469,Assessments!B:B,"&gt;="&amp;$B$4,Assessments!B:B,"&lt;="&amp;$B$5))</f>
        <v/>
      </c>
    </row>
    <row r="470">
      <c r="A470">
        <f>IF(Students!A464="","",Students!A464)</f>
        <v/>
      </c>
      <c r="B470">
        <f>IF($A470="","",Students!B464)</f>
        <v/>
      </c>
      <c r="C470">
        <f>IF($A470="","",Students!C464)</f>
        <v/>
      </c>
      <c r="D470">
        <f>IF($A470="","",COUNTIFS(Assessments!G:G,$A470,Assessments!B:B,"&gt;="&amp;$B$4,Assessments!B:B,"&lt;="&amp;$B$5))</f>
        <v/>
      </c>
      <c r="E470">
        <f>IF($D470=0,"",ROUND(AVERAGEIFS(Assessments!J:J,Assessments!G:G,$A470,Assessments!B:B,"&gt;="&amp;$B$4,Assessments!B:B,"&lt;="&amp;$B$5),0))</f>
        <v/>
      </c>
      <c r="F470">
        <f>IF($D470=0,"",IFERROR(AVERAGEIFS(Assessments!J:J,Assessments!G:G,$A470,Assessments!B:B,$B$5),0)-IFERROR(AVERAGEIFS(Assessments!J:J,Assessments!G:G,$A470,Assessments!B:B,$B$4),0))</f>
        <v/>
      </c>
      <c r="G470">
        <f>IF($D470=0,"",MAXIFS(Assessments!J:J,Assessments!G:G,$A470,Assessments!B:B,"&gt;="&amp;$B$4,Assessments!B:B,"&lt;="&amp;$B$5))</f>
        <v/>
      </c>
      <c r="H470">
        <f>IF($D470=0,"",MINIFS(Assessments!J:J,Assessments!G:G,$A470,Assessments!B:B,"&gt;="&amp;$B$4,Assessments!B:B,"&lt;="&amp;$B$5))</f>
        <v/>
      </c>
    </row>
    <row r="471">
      <c r="A471">
        <f>IF(Students!A465="","",Students!A465)</f>
        <v/>
      </c>
      <c r="B471">
        <f>IF($A471="","",Students!B465)</f>
        <v/>
      </c>
      <c r="C471">
        <f>IF($A471="","",Students!C465)</f>
        <v/>
      </c>
      <c r="D471">
        <f>IF($A471="","",COUNTIFS(Assessments!G:G,$A471,Assessments!B:B,"&gt;="&amp;$B$4,Assessments!B:B,"&lt;="&amp;$B$5))</f>
        <v/>
      </c>
      <c r="E471">
        <f>IF($D471=0,"",ROUND(AVERAGEIFS(Assessments!J:J,Assessments!G:G,$A471,Assessments!B:B,"&gt;="&amp;$B$4,Assessments!B:B,"&lt;="&amp;$B$5),0))</f>
        <v/>
      </c>
      <c r="F471">
        <f>IF($D471=0,"",IFERROR(AVERAGEIFS(Assessments!J:J,Assessments!G:G,$A471,Assessments!B:B,$B$5),0)-IFERROR(AVERAGEIFS(Assessments!J:J,Assessments!G:G,$A471,Assessments!B:B,$B$4),0))</f>
        <v/>
      </c>
      <c r="G471">
        <f>IF($D471=0,"",MAXIFS(Assessments!J:J,Assessments!G:G,$A471,Assessments!B:B,"&gt;="&amp;$B$4,Assessments!B:B,"&lt;="&amp;$B$5))</f>
        <v/>
      </c>
      <c r="H471">
        <f>IF($D471=0,"",MINIFS(Assessments!J:J,Assessments!G:G,$A471,Assessments!B:B,"&gt;="&amp;$B$4,Assessments!B:B,"&lt;="&amp;$B$5))</f>
        <v/>
      </c>
    </row>
    <row r="472">
      <c r="A472">
        <f>IF(Students!A466="","",Students!A466)</f>
        <v/>
      </c>
      <c r="B472">
        <f>IF($A472="","",Students!B466)</f>
        <v/>
      </c>
      <c r="C472">
        <f>IF($A472="","",Students!C466)</f>
        <v/>
      </c>
      <c r="D472">
        <f>IF($A472="","",COUNTIFS(Assessments!G:G,$A472,Assessments!B:B,"&gt;="&amp;$B$4,Assessments!B:B,"&lt;="&amp;$B$5))</f>
        <v/>
      </c>
      <c r="E472">
        <f>IF($D472=0,"",ROUND(AVERAGEIFS(Assessments!J:J,Assessments!G:G,$A472,Assessments!B:B,"&gt;="&amp;$B$4,Assessments!B:B,"&lt;="&amp;$B$5),0))</f>
        <v/>
      </c>
      <c r="F472">
        <f>IF($D472=0,"",IFERROR(AVERAGEIFS(Assessments!J:J,Assessments!G:G,$A472,Assessments!B:B,$B$5),0)-IFERROR(AVERAGEIFS(Assessments!J:J,Assessments!G:G,$A472,Assessments!B:B,$B$4),0))</f>
        <v/>
      </c>
      <c r="G472">
        <f>IF($D472=0,"",MAXIFS(Assessments!J:J,Assessments!G:G,$A472,Assessments!B:B,"&gt;="&amp;$B$4,Assessments!B:B,"&lt;="&amp;$B$5))</f>
        <v/>
      </c>
      <c r="H472">
        <f>IF($D472=0,"",MINIFS(Assessments!J:J,Assessments!G:G,$A472,Assessments!B:B,"&gt;="&amp;$B$4,Assessments!B:B,"&lt;="&amp;$B$5))</f>
        <v/>
      </c>
    </row>
    <row r="473">
      <c r="A473">
        <f>IF(Students!A467="","",Students!A467)</f>
        <v/>
      </c>
      <c r="B473">
        <f>IF($A473="","",Students!B467)</f>
        <v/>
      </c>
      <c r="C473">
        <f>IF($A473="","",Students!C467)</f>
        <v/>
      </c>
      <c r="D473">
        <f>IF($A473="","",COUNTIFS(Assessments!G:G,$A473,Assessments!B:B,"&gt;="&amp;$B$4,Assessments!B:B,"&lt;="&amp;$B$5))</f>
        <v/>
      </c>
      <c r="E473">
        <f>IF($D473=0,"",ROUND(AVERAGEIFS(Assessments!J:J,Assessments!G:G,$A473,Assessments!B:B,"&gt;="&amp;$B$4,Assessments!B:B,"&lt;="&amp;$B$5),0))</f>
        <v/>
      </c>
      <c r="F473">
        <f>IF($D473=0,"",IFERROR(AVERAGEIFS(Assessments!J:J,Assessments!G:G,$A473,Assessments!B:B,$B$5),0)-IFERROR(AVERAGEIFS(Assessments!J:J,Assessments!G:G,$A473,Assessments!B:B,$B$4),0))</f>
        <v/>
      </c>
      <c r="G473">
        <f>IF($D473=0,"",MAXIFS(Assessments!J:J,Assessments!G:G,$A473,Assessments!B:B,"&gt;="&amp;$B$4,Assessments!B:B,"&lt;="&amp;$B$5))</f>
        <v/>
      </c>
      <c r="H473">
        <f>IF($D473=0,"",MINIFS(Assessments!J:J,Assessments!G:G,$A473,Assessments!B:B,"&gt;="&amp;$B$4,Assessments!B:B,"&lt;="&amp;$B$5))</f>
        <v/>
      </c>
    </row>
    <row r="474">
      <c r="A474">
        <f>IF(Students!A468="","",Students!A468)</f>
        <v/>
      </c>
      <c r="B474">
        <f>IF($A474="","",Students!B468)</f>
        <v/>
      </c>
      <c r="C474">
        <f>IF($A474="","",Students!C468)</f>
        <v/>
      </c>
      <c r="D474">
        <f>IF($A474="","",COUNTIFS(Assessments!G:G,$A474,Assessments!B:B,"&gt;="&amp;$B$4,Assessments!B:B,"&lt;="&amp;$B$5))</f>
        <v/>
      </c>
      <c r="E474">
        <f>IF($D474=0,"",ROUND(AVERAGEIFS(Assessments!J:J,Assessments!G:G,$A474,Assessments!B:B,"&gt;="&amp;$B$4,Assessments!B:B,"&lt;="&amp;$B$5),0))</f>
        <v/>
      </c>
      <c r="F474">
        <f>IF($D474=0,"",IFERROR(AVERAGEIFS(Assessments!J:J,Assessments!G:G,$A474,Assessments!B:B,$B$5),0)-IFERROR(AVERAGEIFS(Assessments!J:J,Assessments!G:G,$A474,Assessments!B:B,$B$4),0))</f>
        <v/>
      </c>
      <c r="G474">
        <f>IF($D474=0,"",MAXIFS(Assessments!J:J,Assessments!G:G,$A474,Assessments!B:B,"&gt;="&amp;$B$4,Assessments!B:B,"&lt;="&amp;$B$5))</f>
        <v/>
      </c>
      <c r="H474">
        <f>IF($D474=0,"",MINIFS(Assessments!J:J,Assessments!G:G,$A474,Assessments!B:B,"&gt;="&amp;$B$4,Assessments!B:B,"&lt;="&amp;$B$5))</f>
        <v/>
      </c>
    </row>
    <row r="475">
      <c r="A475">
        <f>IF(Students!A469="","",Students!A469)</f>
        <v/>
      </c>
      <c r="B475">
        <f>IF($A475="","",Students!B469)</f>
        <v/>
      </c>
      <c r="C475">
        <f>IF($A475="","",Students!C469)</f>
        <v/>
      </c>
      <c r="D475">
        <f>IF($A475="","",COUNTIFS(Assessments!G:G,$A475,Assessments!B:B,"&gt;="&amp;$B$4,Assessments!B:B,"&lt;="&amp;$B$5))</f>
        <v/>
      </c>
      <c r="E475">
        <f>IF($D475=0,"",ROUND(AVERAGEIFS(Assessments!J:J,Assessments!G:G,$A475,Assessments!B:B,"&gt;="&amp;$B$4,Assessments!B:B,"&lt;="&amp;$B$5),0))</f>
        <v/>
      </c>
      <c r="F475">
        <f>IF($D475=0,"",IFERROR(AVERAGEIFS(Assessments!J:J,Assessments!G:G,$A475,Assessments!B:B,$B$5),0)-IFERROR(AVERAGEIFS(Assessments!J:J,Assessments!G:G,$A475,Assessments!B:B,$B$4),0))</f>
        <v/>
      </c>
      <c r="G475">
        <f>IF($D475=0,"",MAXIFS(Assessments!J:J,Assessments!G:G,$A475,Assessments!B:B,"&gt;="&amp;$B$4,Assessments!B:B,"&lt;="&amp;$B$5))</f>
        <v/>
      </c>
      <c r="H475">
        <f>IF($D475=0,"",MINIFS(Assessments!J:J,Assessments!G:G,$A475,Assessments!B:B,"&gt;="&amp;$B$4,Assessments!B:B,"&lt;="&amp;$B$5))</f>
        <v/>
      </c>
    </row>
    <row r="476">
      <c r="A476">
        <f>IF(Students!A470="","",Students!A470)</f>
        <v/>
      </c>
      <c r="B476">
        <f>IF($A476="","",Students!B470)</f>
        <v/>
      </c>
      <c r="C476">
        <f>IF($A476="","",Students!C470)</f>
        <v/>
      </c>
      <c r="D476">
        <f>IF($A476="","",COUNTIFS(Assessments!G:G,$A476,Assessments!B:B,"&gt;="&amp;$B$4,Assessments!B:B,"&lt;="&amp;$B$5))</f>
        <v/>
      </c>
      <c r="E476">
        <f>IF($D476=0,"",ROUND(AVERAGEIFS(Assessments!J:J,Assessments!G:G,$A476,Assessments!B:B,"&gt;="&amp;$B$4,Assessments!B:B,"&lt;="&amp;$B$5),0))</f>
        <v/>
      </c>
      <c r="F476">
        <f>IF($D476=0,"",IFERROR(AVERAGEIFS(Assessments!J:J,Assessments!G:G,$A476,Assessments!B:B,$B$5),0)-IFERROR(AVERAGEIFS(Assessments!J:J,Assessments!G:G,$A476,Assessments!B:B,$B$4),0))</f>
        <v/>
      </c>
      <c r="G476">
        <f>IF($D476=0,"",MAXIFS(Assessments!J:J,Assessments!G:G,$A476,Assessments!B:B,"&gt;="&amp;$B$4,Assessments!B:B,"&lt;="&amp;$B$5))</f>
        <v/>
      </c>
      <c r="H476">
        <f>IF($D476=0,"",MINIFS(Assessments!J:J,Assessments!G:G,$A476,Assessments!B:B,"&gt;="&amp;$B$4,Assessments!B:B,"&lt;="&amp;$B$5))</f>
        <v/>
      </c>
    </row>
    <row r="477">
      <c r="A477">
        <f>IF(Students!A471="","",Students!A471)</f>
        <v/>
      </c>
      <c r="B477">
        <f>IF($A477="","",Students!B471)</f>
        <v/>
      </c>
      <c r="C477">
        <f>IF($A477="","",Students!C471)</f>
        <v/>
      </c>
      <c r="D477">
        <f>IF($A477="","",COUNTIFS(Assessments!G:G,$A477,Assessments!B:B,"&gt;="&amp;$B$4,Assessments!B:B,"&lt;="&amp;$B$5))</f>
        <v/>
      </c>
      <c r="E477">
        <f>IF($D477=0,"",ROUND(AVERAGEIFS(Assessments!J:J,Assessments!G:G,$A477,Assessments!B:B,"&gt;="&amp;$B$4,Assessments!B:B,"&lt;="&amp;$B$5),0))</f>
        <v/>
      </c>
      <c r="F477">
        <f>IF($D477=0,"",IFERROR(AVERAGEIFS(Assessments!J:J,Assessments!G:G,$A477,Assessments!B:B,$B$5),0)-IFERROR(AVERAGEIFS(Assessments!J:J,Assessments!G:G,$A477,Assessments!B:B,$B$4),0))</f>
        <v/>
      </c>
      <c r="G477">
        <f>IF($D477=0,"",MAXIFS(Assessments!J:J,Assessments!G:G,$A477,Assessments!B:B,"&gt;="&amp;$B$4,Assessments!B:B,"&lt;="&amp;$B$5))</f>
        <v/>
      </c>
      <c r="H477">
        <f>IF($D477=0,"",MINIFS(Assessments!J:J,Assessments!G:G,$A477,Assessments!B:B,"&gt;="&amp;$B$4,Assessments!B:B,"&lt;="&amp;$B$5))</f>
        <v/>
      </c>
    </row>
    <row r="478">
      <c r="A478">
        <f>IF(Students!A472="","",Students!A472)</f>
        <v/>
      </c>
      <c r="B478">
        <f>IF($A478="","",Students!B472)</f>
        <v/>
      </c>
      <c r="C478">
        <f>IF($A478="","",Students!C472)</f>
        <v/>
      </c>
      <c r="D478">
        <f>IF($A478="","",COUNTIFS(Assessments!G:G,$A478,Assessments!B:B,"&gt;="&amp;$B$4,Assessments!B:B,"&lt;="&amp;$B$5))</f>
        <v/>
      </c>
      <c r="E478">
        <f>IF($D478=0,"",ROUND(AVERAGEIFS(Assessments!J:J,Assessments!G:G,$A478,Assessments!B:B,"&gt;="&amp;$B$4,Assessments!B:B,"&lt;="&amp;$B$5),0))</f>
        <v/>
      </c>
      <c r="F478">
        <f>IF($D478=0,"",IFERROR(AVERAGEIFS(Assessments!J:J,Assessments!G:G,$A478,Assessments!B:B,$B$5),0)-IFERROR(AVERAGEIFS(Assessments!J:J,Assessments!G:G,$A478,Assessments!B:B,$B$4),0))</f>
        <v/>
      </c>
      <c r="G478">
        <f>IF($D478=0,"",MAXIFS(Assessments!J:J,Assessments!G:G,$A478,Assessments!B:B,"&gt;="&amp;$B$4,Assessments!B:B,"&lt;="&amp;$B$5))</f>
        <v/>
      </c>
      <c r="H478">
        <f>IF($D478=0,"",MINIFS(Assessments!J:J,Assessments!G:G,$A478,Assessments!B:B,"&gt;="&amp;$B$4,Assessments!B:B,"&lt;="&amp;$B$5))</f>
        <v/>
      </c>
    </row>
    <row r="479">
      <c r="A479">
        <f>IF(Students!A473="","",Students!A473)</f>
        <v/>
      </c>
      <c r="B479">
        <f>IF($A479="","",Students!B473)</f>
        <v/>
      </c>
      <c r="C479">
        <f>IF($A479="","",Students!C473)</f>
        <v/>
      </c>
      <c r="D479">
        <f>IF($A479="","",COUNTIFS(Assessments!G:G,$A479,Assessments!B:B,"&gt;="&amp;$B$4,Assessments!B:B,"&lt;="&amp;$B$5))</f>
        <v/>
      </c>
      <c r="E479">
        <f>IF($D479=0,"",ROUND(AVERAGEIFS(Assessments!J:J,Assessments!G:G,$A479,Assessments!B:B,"&gt;="&amp;$B$4,Assessments!B:B,"&lt;="&amp;$B$5),0))</f>
        <v/>
      </c>
      <c r="F479">
        <f>IF($D479=0,"",IFERROR(AVERAGEIFS(Assessments!J:J,Assessments!G:G,$A479,Assessments!B:B,$B$5),0)-IFERROR(AVERAGEIFS(Assessments!J:J,Assessments!G:G,$A479,Assessments!B:B,$B$4),0))</f>
        <v/>
      </c>
      <c r="G479">
        <f>IF($D479=0,"",MAXIFS(Assessments!J:J,Assessments!G:G,$A479,Assessments!B:B,"&gt;="&amp;$B$4,Assessments!B:B,"&lt;="&amp;$B$5))</f>
        <v/>
      </c>
      <c r="H479">
        <f>IF($D479=0,"",MINIFS(Assessments!J:J,Assessments!G:G,$A479,Assessments!B:B,"&gt;="&amp;$B$4,Assessments!B:B,"&lt;="&amp;$B$5))</f>
        <v/>
      </c>
    </row>
    <row r="480">
      <c r="A480">
        <f>IF(Students!A474="","",Students!A474)</f>
        <v/>
      </c>
      <c r="B480">
        <f>IF($A480="","",Students!B474)</f>
        <v/>
      </c>
      <c r="C480">
        <f>IF($A480="","",Students!C474)</f>
        <v/>
      </c>
      <c r="D480">
        <f>IF($A480="","",COUNTIFS(Assessments!G:G,$A480,Assessments!B:B,"&gt;="&amp;$B$4,Assessments!B:B,"&lt;="&amp;$B$5))</f>
        <v/>
      </c>
      <c r="E480">
        <f>IF($D480=0,"",ROUND(AVERAGEIFS(Assessments!J:J,Assessments!G:G,$A480,Assessments!B:B,"&gt;="&amp;$B$4,Assessments!B:B,"&lt;="&amp;$B$5),0))</f>
        <v/>
      </c>
      <c r="F480">
        <f>IF($D480=0,"",IFERROR(AVERAGEIFS(Assessments!J:J,Assessments!G:G,$A480,Assessments!B:B,$B$5),0)-IFERROR(AVERAGEIFS(Assessments!J:J,Assessments!G:G,$A480,Assessments!B:B,$B$4),0))</f>
        <v/>
      </c>
      <c r="G480">
        <f>IF($D480=0,"",MAXIFS(Assessments!J:J,Assessments!G:G,$A480,Assessments!B:B,"&gt;="&amp;$B$4,Assessments!B:B,"&lt;="&amp;$B$5))</f>
        <v/>
      </c>
      <c r="H480">
        <f>IF($D480=0,"",MINIFS(Assessments!J:J,Assessments!G:G,$A480,Assessments!B:B,"&gt;="&amp;$B$4,Assessments!B:B,"&lt;="&amp;$B$5))</f>
        <v/>
      </c>
    </row>
    <row r="481">
      <c r="A481">
        <f>IF(Students!A475="","",Students!A475)</f>
        <v/>
      </c>
      <c r="B481">
        <f>IF($A481="","",Students!B475)</f>
        <v/>
      </c>
      <c r="C481">
        <f>IF($A481="","",Students!C475)</f>
        <v/>
      </c>
      <c r="D481">
        <f>IF($A481="","",COUNTIFS(Assessments!G:G,$A481,Assessments!B:B,"&gt;="&amp;$B$4,Assessments!B:B,"&lt;="&amp;$B$5))</f>
        <v/>
      </c>
      <c r="E481">
        <f>IF($D481=0,"",ROUND(AVERAGEIFS(Assessments!J:J,Assessments!G:G,$A481,Assessments!B:B,"&gt;="&amp;$B$4,Assessments!B:B,"&lt;="&amp;$B$5),0))</f>
        <v/>
      </c>
      <c r="F481">
        <f>IF($D481=0,"",IFERROR(AVERAGEIFS(Assessments!J:J,Assessments!G:G,$A481,Assessments!B:B,$B$5),0)-IFERROR(AVERAGEIFS(Assessments!J:J,Assessments!G:G,$A481,Assessments!B:B,$B$4),0))</f>
        <v/>
      </c>
      <c r="G481">
        <f>IF($D481=0,"",MAXIFS(Assessments!J:J,Assessments!G:G,$A481,Assessments!B:B,"&gt;="&amp;$B$4,Assessments!B:B,"&lt;="&amp;$B$5))</f>
        <v/>
      </c>
      <c r="H481">
        <f>IF($D481=0,"",MINIFS(Assessments!J:J,Assessments!G:G,$A481,Assessments!B:B,"&gt;="&amp;$B$4,Assessments!B:B,"&lt;="&amp;$B$5))</f>
        <v/>
      </c>
    </row>
    <row r="482">
      <c r="A482">
        <f>IF(Students!A476="","",Students!A476)</f>
        <v/>
      </c>
      <c r="B482">
        <f>IF($A482="","",Students!B476)</f>
        <v/>
      </c>
      <c r="C482">
        <f>IF($A482="","",Students!C476)</f>
        <v/>
      </c>
      <c r="D482">
        <f>IF($A482="","",COUNTIFS(Assessments!G:G,$A482,Assessments!B:B,"&gt;="&amp;$B$4,Assessments!B:B,"&lt;="&amp;$B$5))</f>
        <v/>
      </c>
      <c r="E482">
        <f>IF($D482=0,"",ROUND(AVERAGEIFS(Assessments!J:J,Assessments!G:G,$A482,Assessments!B:B,"&gt;="&amp;$B$4,Assessments!B:B,"&lt;="&amp;$B$5),0))</f>
        <v/>
      </c>
      <c r="F482">
        <f>IF($D482=0,"",IFERROR(AVERAGEIFS(Assessments!J:J,Assessments!G:G,$A482,Assessments!B:B,$B$5),0)-IFERROR(AVERAGEIFS(Assessments!J:J,Assessments!G:G,$A482,Assessments!B:B,$B$4),0))</f>
        <v/>
      </c>
      <c r="G482">
        <f>IF($D482=0,"",MAXIFS(Assessments!J:J,Assessments!G:G,$A482,Assessments!B:B,"&gt;="&amp;$B$4,Assessments!B:B,"&lt;="&amp;$B$5))</f>
        <v/>
      </c>
      <c r="H482">
        <f>IF($D482=0,"",MINIFS(Assessments!J:J,Assessments!G:G,$A482,Assessments!B:B,"&gt;="&amp;$B$4,Assessments!B:B,"&lt;="&amp;$B$5))</f>
        <v/>
      </c>
    </row>
    <row r="483">
      <c r="A483">
        <f>IF(Students!A477="","",Students!A477)</f>
        <v/>
      </c>
      <c r="B483">
        <f>IF($A483="","",Students!B477)</f>
        <v/>
      </c>
      <c r="C483">
        <f>IF($A483="","",Students!C477)</f>
        <v/>
      </c>
      <c r="D483">
        <f>IF($A483="","",COUNTIFS(Assessments!G:G,$A483,Assessments!B:B,"&gt;="&amp;$B$4,Assessments!B:B,"&lt;="&amp;$B$5))</f>
        <v/>
      </c>
      <c r="E483">
        <f>IF($D483=0,"",ROUND(AVERAGEIFS(Assessments!J:J,Assessments!G:G,$A483,Assessments!B:B,"&gt;="&amp;$B$4,Assessments!B:B,"&lt;="&amp;$B$5),0))</f>
        <v/>
      </c>
      <c r="F483">
        <f>IF($D483=0,"",IFERROR(AVERAGEIFS(Assessments!J:J,Assessments!G:G,$A483,Assessments!B:B,$B$5),0)-IFERROR(AVERAGEIFS(Assessments!J:J,Assessments!G:G,$A483,Assessments!B:B,$B$4),0))</f>
        <v/>
      </c>
      <c r="G483">
        <f>IF($D483=0,"",MAXIFS(Assessments!J:J,Assessments!G:G,$A483,Assessments!B:B,"&gt;="&amp;$B$4,Assessments!B:B,"&lt;="&amp;$B$5))</f>
        <v/>
      </c>
      <c r="H483">
        <f>IF($D483=0,"",MINIFS(Assessments!J:J,Assessments!G:G,$A483,Assessments!B:B,"&gt;="&amp;$B$4,Assessments!B:B,"&lt;="&amp;$B$5))</f>
        <v/>
      </c>
    </row>
    <row r="484">
      <c r="A484">
        <f>IF(Students!A478="","",Students!A478)</f>
        <v/>
      </c>
      <c r="B484">
        <f>IF($A484="","",Students!B478)</f>
        <v/>
      </c>
      <c r="C484">
        <f>IF($A484="","",Students!C478)</f>
        <v/>
      </c>
      <c r="D484">
        <f>IF($A484="","",COUNTIFS(Assessments!G:G,$A484,Assessments!B:B,"&gt;="&amp;$B$4,Assessments!B:B,"&lt;="&amp;$B$5))</f>
        <v/>
      </c>
      <c r="E484">
        <f>IF($D484=0,"",ROUND(AVERAGEIFS(Assessments!J:J,Assessments!G:G,$A484,Assessments!B:B,"&gt;="&amp;$B$4,Assessments!B:B,"&lt;="&amp;$B$5),0))</f>
        <v/>
      </c>
      <c r="F484">
        <f>IF($D484=0,"",IFERROR(AVERAGEIFS(Assessments!J:J,Assessments!G:G,$A484,Assessments!B:B,$B$5),0)-IFERROR(AVERAGEIFS(Assessments!J:J,Assessments!G:G,$A484,Assessments!B:B,$B$4),0))</f>
        <v/>
      </c>
      <c r="G484">
        <f>IF($D484=0,"",MAXIFS(Assessments!J:J,Assessments!G:G,$A484,Assessments!B:B,"&gt;="&amp;$B$4,Assessments!B:B,"&lt;="&amp;$B$5))</f>
        <v/>
      </c>
      <c r="H484">
        <f>IF($D484=0,"",MINIFS(Assessments!J:J,Assessments!G:G,$A484,Assessments!B:B,"&gt;="&amp;$B$4,Assessments!B:B,"&lt;="&amp;$B$5))</f>
        <v/>
      </c>
    </row>
    <row r="485">
      <c r="A485">
        <f>IF(Students!A479="","",Students!A479)</f>
        <v/>
      </c>
      <c r="B485">
        <f>IF($A485="","",Students!B479)</f>
        <v/>
      </c>
      <c r="C485">
        <f>IF($A485="","",Students!C479)</f>
        <v/>
      </c>
      <c r="D485">
        <f>IF($A485="","",COUNTIFS(Assessments!G:G,$A485,Assessments!B:B,"&gt;="&amp;$B$4,Assessments!B:B,"&lt;="&amp;$B$5))</f>
        <v/>
      </c>
      <c r="E485">
        <f>IF($D485=0,"",ROUND(AVERAGEIFS(Assessments!J:J,Assessments!G:G,$A485,Assessments!B:B,"&gt;="&amp;$B$4,Assessments!B:B,"&lt;="&amp;$B$5),0))</f>
        <v/>
      </c>
      <c r="F485">
        <f>IF($D485=0,"",IFERROR(AVERAGEIFS(Assessments!J:J,Assessments!G:G,$A485,Assessments!B:B,$B$5),0)-IFERROR(AVERAGEIFS(Assessments!J:J,Assessments!G:G,$A485,Assessments!B:B,$B$4),0))</f>
        <v/>
      </c>
      <c r="G485">
        <f>IF($D485=0,"",MAXIFS(Assessments!J:J,Assessments!G:G,$A485,Assessments!B:B,"&gt;="&amp;$B$4,Assessments!B:B,"&lt;="&amp;$B$5))</f>
        <v/>
      </c>
      <c r="H485">
        <f>IF($D485=0,"",MINIFS(Assessments!J:J,Assessments!G:G,$A485,Assessments!B:B,"&gt;="&amp;$B$4,Assessments!B:B,"&lt;="&amp;$B$5))</f>
        <v/>
      </c>
    </row>
    <row r="486">
      <c r="A486">
        <f>IF(Students!A480="","",Students!A480)</f>
        <v/>
      </c>
      <c r="B486">
        <f>IF($A486="","",Students!B480)</f>
        <v/>
      </c>
      <c r="C486">
        <f>IF($A486="","",Students!C480)</f>
        <v/>
      </c>
      <c r="D486">
        <f>IF($A486="","",COUNTIFS(Assessments!G:G,$A486,Assessments!B:B,"&gt;="&amp;$B$4,Assessments!B:B,"&lt;="&amp;$B$5))</f>
        <v/>
      </c>
      <c r="E486">
        <f>IF($D486=0,"",ROUND(AVERAGEIFS(Assessments!J:J,Assessments!G:G,$A486,Assessments!B:B,"&gt;="&amp;$B$4,Assessments!B:B,"&lt;="&amp;$B$5),0))</f>
        <v/>
      </c>
      <c r="F486">
        <f>IF($D486=0,"",IFERROR(AVERAGEIFS(Assessments!J:J,Assessments!G:G,$A486,Assessments!B:B,$B$5),0)-IFERROR(AVERAGEIFS(Assessments!J:J,Assessments!G:G,$A486,Assessments!B:B,$B$4),0))</f>
        <v/>
      </c>
      <c r="G486">
        <f>IF($D486=0,"",MAXIFS(Assessments!J:J,Assessments!G:G,$A486,Assessments!B:B,"&gt;="&amp;$B$4,Assessments!B:B,"&lt;="&amp;$B$5))</f>
        <v/>
      </c>
      <c r="H486">
        <f>IF($D486=0,"",MINIFS(Assessments!J:J,Assessments!G:G,$A486,Assessments!B:B,"&gt;="&amp;$B$4,Assessments!B:B,"&lt;="&amp;$B$5))</f>
        <v/>
      </c>
    </row>
    <row r="487">
      <c r="A487">
        <f>IF(Students!A481="","",Students!A481)</f>
        <v/>
      </c>
      <c r="B487">
        <f>IF($A487="","",Students!B481)</f>
        <v/>
      </c>
      <c r="C487">
        <f>IF($A487="","",Students!C481)</f>
        <v/>
      </c>
      <c r="D487">
        <f>IF($A487="","",COUNTIFS(Assessments!G:G,$A487,Assessments!B:B,"&gt;="&amp;$B$4,Assessments!B:B,"&lt;="&amp;$B$5))</f>
        <v/>
      </c>
      <c r="E487">
        <f>IF($D487=0,"",ROUND(AVERAGEIFS(Assessments!J:J,Assessments!G:G,$A487,Assessments!B:B,"&gt;="&amp;$B$4,Assessments!B:B,"&lt;="&amp;$B$5),0))</f>
        <v/>
      </c>
      <c r="F487">
        <f>IF($D487=0,"",IFERROR(AVERAGEIFS(Assessments!J:J,Assessments!G:G,$A487,Assessments!B:B,$B$5),0)-IFERROR(AVERAGEIFS(Assessments!J:J,Assessments!G:G,$A487,Assessments!B:B,$B$4),0))</f>
        <v/>
      </c>
      <c r="G487">
        <f>IF($D487=0,"",MAXIFS(Assessments!J:J,Assessments!G:G,$A487,Assessments!B:B,"&gt;="&amp;$B$4,Assessments!B:B,"&lt;="&amp;$B$5))</f>
        <v/>
      </c>
      <c r="H487">
        <f>IF($D487=0,"",MINIFS(Assessments!J:J,Assessments!G:G,$A487,Assessments!B:B,"&gt;="&amp;$B$4,Assessments!B:B,"&lt;="&amp;$B$5))</f>
        <v/>
      </c>
    </row>
    <row r="488">
      <c r="A488">
        <f>IF(Students!A482="","",Students!A482)</f>
        <v/>
      </c>
      <c r="B488">
        <f>IF($A488="","",Students!B482)</f>
        <v/>
      </c>
      <c r="C488">
        <f>IF($A488="","",Students!C482)</f>
        <v/>
      </c>
      <c r="D488">
        <f>IF($A488="","",COUNTIFS(Assessments!G:G,$A488,Assessments!B:B,"&gt;="&amp;$B$4,Assessments!B:B,"&lt;="&amp;$B$5))</f>
        <v/>
      </c>
      <c r="E488">
        <f>IF($D488=0,"",ROUND(AVERAGEIFS(Assessments!J:J,Assessments!G:G,$A488,Assessments!B:B,"&gt;="&amp;$B$4,Assessments!B:B,"&lt;="&amp;$B$5),0))</f>
        <v/>
      </c>
      <c r="F488">
        <f>IF($D488=0,"",IFERROR(AVERAGEIFS(Assessments!J:J,Assessments!G:G,$A488,Assessments!B:B,$B$5),0)-IFERROR(AVERAGEIFS(Assessments!J:J,Assessments!G:G,$A488,Assessments!B:B,$B$4),0))</f>
        <v/>
      </c>
      <c r="G488">
        <f>IF($D488=0,"",MAXIFS(Assessments!J:J,Assessments!G:G,$A488,Assessments!B:B,"&gt;="&amp;$B$4,Assessments!B:B,"&lt;="&amp;$B$5))</f>
        <v/>
      </c>
      <c r="H488">
        <f>IF($D488=0,"",MINIFS(Assessments!J:J,Assessments!G:G,$A488,Assessments!B:B,"&gt;="&amp;$B$4,Assessments!B:B,"&lt;="&amp;$B$5))</f>
        <v/>
      </c>
    </row>
    <row r="489">
      <c r="A489">
        <f>IF(Students!A483="","",Students!A483)</f>
        <v/>
      </c>
      <c r="B489">
        <f>IF($A489="","",Students!B483)</f>
        <v/>
      </c>
      <c r="C489">
        <f>IF($A489="","",Students!C483)</f>
        <v/>
      </c>
      <c r="D489">
        <f>IF($A489="","",COUNTIFS(Assessments!G:G,$A489,Assessments!B:B,"&gt;="&amp;$B$4,Assessments!B:B,"&lt;="&amp;$B$5))</f>
        <v/>
      </c>
      <c r="E489">
        <f>IF($D489=0,"",ROUND(AVERAGEIFS(Assessments!J:J,Assessments!G:G,$A489,Assessments!B:B,"&gt;="&amp;$B$4,Assessments!B:B,"&lt;="&amp;$B$5),0))</f>
        <v/>
      </c>
      <c r="F489">
        <f>IF($D489=0,"",IFERROR(AVERAGEIFS(Assessments!J:J,Assessments!G:G,$A489,Assessments!B:B,$B$5),0)-IFERROR(AVERAGEIFS(Assessments!J:J,Assessments!G:G,$A489,Assessments!B:B,$B$4),0))</f>
        <v/>
      </c>
      <c r="G489">
        <f>IF($D489=0,"",MAXIFS(Assessments!J:J,Assessments!G:G,$A489,Assessments!B:B,"&gt;="&amp;$B$4,Assessments!B:B,"&lt;="&amp;$B$5))</f>
        <v/>
      </c>
      <c r="H489">
        <f>IF($D489=0,"",MINIFS(Assessments!J:J,Assessments!G:G,$A489,Assessments!B:B,"&gt;="&amp;$B$4,Assessments!B:B,"&lt;="&amp;$B$5))</f>
        <v/>
      </c>
    </row>
    <row r="490">
      <c r="A490">
        <f>IF(Students!A484="","",Students!A484)</f>
        <v/>
      </c>
      <c r="B490">
        <f>IF($A490="","",Students!B484)</f>
        <v/>
      </c>
      <c r="C490">
        <f>IF($A490="","",Students!C484)</f>
        <v/>
      </c>
      <c r="D490">
        <f>IF($A490="","",COUNTIFS(Assessments!G:G,$A490,Assessments!B:B,"&gt;="&amp;$B$4,Assessments!B:B,"&lt;="&amp;$B$5))</f>
        <v/>
      </c>
      <c r="E490">
        <f>IF($D490=0,"",ROUND(AVERAGEIFS(Assessments!J:J,Assessments!G:G,$A490,Assessments!B:B,"&gt;="&amp;$B$4,Assessments!B:B,"&lt;="&amp;$B$5),0))</f>
        <v/>
      </c>
      <c r="F490">
        <f>IF($D490=0,"",IFERROR(AVERAGEIFS(Assessments!J:J,Assessments!G:G,$A490,Assessments!B:B,$B$5),0)-IFERROR(AVERAGEIFS(Assessments!J:J,Assessments!G:G,$A490,Assessments!B:B,$B$4),0))</f>
        <v/>
      </c>
      <c r="G490">
        <f>IF($D490=0,"",MAXIFS(Assessments!J:J,Assessments!G:G,$A490,Assessments!B:B,"&gt;="&amp;$B$4,Assessments!B:B,"&lt;="&amp;$B$5))</f>
        <v/>
      </c>
      <c r="H490">
        <f>IF($D490=0,"",MINIFS(Assessments!J:J,Assessments!G:G,$A490,Assessments!B:B,"&gt;="&amp;$B$4,Assessments!B:B,"&lt;="&amp;$B$5))</f>
        <v/>
      </c>
    </row>
    <row r="491">
      <c r="A491">
        <f>IF(Students!A485="","",Students!A485)</f>
        <v/>
      </c>
      <c r="B491">
        <f>IF($A491="","",Students!B485)</f>
        <v/>
      </c>
      <c r="C491">
        <f>IF($A491="","",Students!C485)</f>
        <v/>
      </c>
      <c r="D491">
        <f>IF($A491="","",COUNTIFS(Assessments!G:G,$A491,Assessments!B:B,"&gt;="&amp;$B$4,Assessments!B:B,"&lt;="&amp;$B$5))</f>
        <v/>
      </c>
      <c r="E491">
        <f>IF($D491=0,"",ROUND(AVERAGEIFS(Assessments!J:J,Assessments!G:G,$A491,Assessments!B:B,"&gt;="&amp;$B$4,Assessments!B:B,"&lt;="&amp;$B$5),0))</f>
        <v/>
      </c>
      <c r="F491">
        <f>IF($D491=0,"",IFERROR(AVERAGEIFS(Assessments!J:J,Assessments!G:G,$A491,Assessments!B:B,$B$5),0)-IFERROR(AVERAGEIFS(Assessments!J:J,Assessments!G:G,$A491,Assessments!B:B,$B$4),0))</f>
        <v/>
      </c>
      <c r="G491">
        <f>IF($D491=0,"",MAXIFS(Assessments!J:J,Assessments!G:G,$A491,Assessments!B:B,"&gt;="&amp;$B$4,Assessments!B:B,"&lt;="&amp;$B$5))</f>
        <v/>
      </c>
      <c r="H491">
        <f>IF($D491=0,"",MINIFS(Assessments!J:J,Assessments!G:G,$A491,Assessments!B:B,"&gt;="&amp;$B$4,Assessments!B:B,"&lt;="&amp;$B$5))</f>
        <v/>
      </c>
    </row>
    <row r="492">
      <c r="A492">
        <f>IF(Students!A486="","",Students!A486)</f>
        <v/>
      </c>
      <c r="B492">
        <f>IF($A492="","",Students!B486)</f>
        <v/>
      </c>
      <c r="C492">
        <f>IF($A492="","",Students!C486)</f>
        <v/>
      </c>
      <c r="D492">
        <f>IF($A492="","",COUNTIFS(Assessments!G:G,$A492,Assessments!B:B,"&gt;="&amp;$B$4,Assessments!B:B,"&lt;="&amp;$B$5))</f>
        <v/>
      </c>
      <c r="E492">
        <f>IF($D492=0,"",ROUND(AVERAGEIFS(Assessments!J:J,Assessments!G:G,$A492,Assessments!B:B,"&gt;="&amp;$B$4,Assessments!B:B,"&lt;="&amp;$B$5),0))</f>
        <v/>
      </c>
      <c r="F492">
        <f>IF($D492=0,"",IFERROR(AVERAGEIFS(Assessments!J:J,Assessments!G:G,$A492,Assessments!B:B,$B$5),0)-IFERROR(AVERAGEIFS(Assessments!J:J,Assessments!G:G,$A492,Assessments!B:B,$B$4),0))</f>
        <v/>
      </c>
      <c r="G492">
        <f>IF($D492=0,"",MAXIFS(Assessments!J:J,Assessments!G:G,$A492,Assessments!B:B,"&gt;="&amp;$B$4,Assessments!B:B,"&lt;="&amp;$B$5))</f>
        <v/>
      </c>
      <c r="H492">
        <f>IF($D492=0,"",MINIFS(Assessments!J:J,Assessments!G:G,$A492,Assessments!B:B,"&gt;="&amp;$B$4,Assessments!B:B,"&lt;="&amp;$B$5))</f>
        <v/>
      </c>
    </row>
    <row r="493">
      <c r="A493">
        <f>IF(Students!A487="","",Students!A487)</f>
        <v/>
      </c>
      <c r="B493">
        <f>IF($A493="","",Students!B487)</f>
        <v/>
      </c>
      <c r="C493">
        <f>IF($A493="","",Students!C487)</f>
        <v/>
      </c>
      <c r="D493">
        <f>IF($A493="","",COUNTIFS(Assessments!G:G,$A493,Assessments!B:B,"&gt;="&amp;$B$4,Assessments!B:B,"&lt;="&amp;$B$5))</f>
        <v/>
      </c>
      <c r="E493">
        <f>IF($D493=0,"",ROUND(AVERAGEIFS(Assessments!J:J,Assessments!G:G,$A493,Assessments!B:B,"&gt;="&amp;$B$4,Assessments!B:B,"&lt;="&amp;$B$5),0))</f>
        <v/>
      </c>
      <c r="F493">
        <f>IF($D493=0,"",IFERROR(AVERAGEIFS(Assessments!J:J,Assessments!G:G,$A493,Assessments!B:B,$B$5),0)-IFERROR(AVERAGEIFS(Assessments!J:J,Assessments!G:G,$A493,Assessments!B:B,$B$4),0))</f>
        <v/>
      </c>
      <c r="G493">
        <f>IF($D493=0,"",MAXIFS(Assessments!J:J,Assessments!G:G,$A493,Assessments!B:B,"&gt;="&amp;$B$4,Assessments!B:B,"&lt;="&amp;$B$5))</f>
        <v/>
      </c>
      <c r="H493">
        <f>IF($D493=0,"",MINIFS(Assessments!J:J,Assessments!G:G,$A493,Assessments!B:B,"&gt;="&amp;$B$4,Assessments!B:B,"&lt;="&amp;$B$5))</f>
        <v/>
      </c>
    </row>
    <row r="494">
      <c r="A494">
        <f>IF(Students!A488="","",Students!A488)</f>
        <v/>
      </c>
      <c r="B494">
        <f>IF($A494="","",Students!B488)</f>
        <v/>
      </c>
      <c r="C494">
        <f>IF($A494="","",Students!C488)</f>
        <v/>
      </c>
      <c r="D494">
        <f>IF($A494="","",COUNTIFS(Assessments!G:G,$A494,Assessments!B:B,"&gt;="&amp;$B$4,Assessments!B:B,"&lt;="&amp;$B$5))</f>
        <v/>
      </c>
      <c r="E494">
        <f>IF($D494=0,"",ROUND(AVERAGEIFS(Assessments!J:J,Assessments!G:G,$A494,Assessments!B:B,"&gt;="&amp;$B$4,Assessments!B:B,"&lt;="&amp;$B$5),0))</f>
        <v/>
      </c>
      <c r="F494">
        <f>IF($D494=0,"",IFERROR(AVERAGEIFS(Assessments!J:J,Assessments!G:G,$A494,Assessments!B:B,$B$5),0)-IFERROR(AVERAGEIFS(Assessments!J:J,Assessments!G:G,$A494,Assessments!B:B,$B$4),0))</f>
        <v/>
      </c>
      <c r="G494">
        <f>IF($D494=0,"",MAXIFS(Assessments!J:J,Assessments!G:G,$A494,Assessments!B:B,"&gt;="&amp;$B$4,Assessments!B:B,"&lt;="&amp;$B$5))</f>
        <v/>
      </c>
      <c r="H494">
        <f>IF($D494=0,"",MINIFS(Assessments!J:J,Assessments!G:G,$A494,Assessments!B:B,"&gt;="&amp;$B$4,Assessments!B:B,"&lt;="&amp;$B$5))</f>
        <v/>
      </c>
    </row>
    <row r="495">
      <c r="A495">
        <f>IF(Students!A489="","",Students!A489)</f>
        <v/>
      </c>
      <c r="B495">
        <f>IF($A495="","",Students!B489)</f>
        <v/>
      </c>
      <c r="C495">
        <f>IF($A495="","",Students!C489)</f>
        <v/>
      </c>
      <c r="D495">
        <f>IF($A495="","",COUNTIFS(Assessments!G:G,$A495,Assessments!B:B,"&gt;="&amp;$B$4,Assessments!B:B,"&lt;="&amp;$B$5))</f>
        <v/>
      </c>
      <c r="E495">
        <f>IF($D495=0,"",ROUND(AVERAGEIFS(Assessments!J:J,Assessments!G:G,$A495,Assessments!B:B,"&gt;="&amp;$B$4,Assessments!B:B,"&lt;="&amp;$B$5),0))</f>
        <v/>
      </c>
      <c r="F495">
        <f>IF($D495=0,"",IFERROR(AVERAGEIFS(Assessments!J:J,Assessments!G:G,$A495,Assessments!B:B,$B$5),0)-IFERROR(AVERAGEIFS(Assessments!J:J,Assessments!G:G,$A495,Assessments!B:B,$B$4),0))</f>
        <v/>
      </c>
      <c r="G495">
        <f>IF($D495=0,"",MAXIFS(Assessments!J:J,Assessments!G:G,$A495,Assessments!B:B,"&gt;="&amp;$B$4,Assessments!B:B,"&lt;="&amp;$B$5))</f>
        <v/>
      </c>
      <c r="H495">
        <f>IF($D495=0,"",MINIFS(Assessments!J:J,Assessments!G:G,$A495,Assessments!B:B,"&gt;="&amp;$B$4,Assessments!B:B,"&lt;="&amp;$B$5))</f>
        <v/>
      </c>
    </row>
    <row r="496">
      <c r="A496">
        <f>IF(Students!A490="","",Students!A490)</f>
        <v/>
      </c>
      <c r="B496">
        <f>IF($A496="","",Students!B490)</f>
        <v/>
      </c>
      <c r="C496">
        <f>IF($A496="","",Students!C490)</f>
        <v/>
      </c>
      <c r="D496">
        <f>IF($A496="","",COUNTIFS(Assessments!G:G,$A496,Assessments!B:B,"&gt;="&amp;$B$4,Assessments!B:B,"&lt;="&amp;$B$5))</f>
        <v/>
      </c>
      <c r="E496">
        <f>IF($D496=0,"",ROUND(AVERAGEIFS(Assessments!J:J,Assessments!G:G,$A496,Assessments!B:B,"&gt;="&amp;$B$4,Assessments!B:B,"&lt;="&amp;$B$5),0))</f>
        <v/>
      </c>
      <c r="F496">
        <f>IF($D496=0,"",IFERROR(AVERAGEIFS(Assessments!J:J,Assessments!G:G,$A496,Assessments!B:B,$B$5),0)-IFERROR(AVERAGEIFS(Assessments!J:J,Assessments!G:G,$A496,Assessments!B:B,$B$4),0))</f>
        <v/>
      </c>
      <c r="G496">
        <f>IF($D496=0,"",MAXIFS(Assessments!J:J,Assessments!G:G,$A496,Assessments!B:B,"&gt;="&amp;$B$4,Assessments!B:B,"&lt;="&amp;$B$5))</f>
        <v/>
      </c>
      <c r="H496">
        <f>IF($D496=0,"",MINIFS(Assessments!J:J,Assessments!G:G,$A496,Assessments!B:B,"&gt;="&amp;$B$4,Assessments!B:B,"&lt;="&amp;$B$5))</f>
        <v/>
      </c>
    </row>
    <row r="497">
      <c r="A497">
        <f>IF(Students!A491="","",Students!A491)</f>
        <v/>
      </c>
      <c r="B497">
        <f>IF($A497="","",Students!B491)</f>
        <v/>
      </c>
      <c r="C497">
        <f>IF($A497="","",Students!C491)</f>
        <v/>
      </c>
      <c r="D497">
        <f>IF($A497="","",COUNTIFS(Assessments!G:G,$A497,Assessments!B:B,"&gt;="&amp;$B$4,Assessments!B:B,"&lt;="&amp;$B$5))</f>
        <v/>
      </c>
      <c r="E497">
        <f>IF($D497=0,"",ROUND(AVERAGEIFS(Assessments!J:J,Assessments!G:G,$A497,Assessments!B:B,"&gt;="&amp;$B$4,Assessments!B:B,"&lt;="&amp;$B$5),0))</f>
        <v/>
      </c>
      <c r="F497">
        <f>IF($D497=0,"",IFERROR(AVERAGEIFS(Assessments!J:J,Assessments!G:G,$A497,Assessments!B:B,$B$5),0)-IFERROR(AVERAGEIFS(Assessments!J:J,Assessments!G:G,$A497,Assessments!B:B,$B$4),0))</f>
        <v/>
      </c>
      <c r="G497">
        <f>IF($D497=0,"",MAXIFS(Assessments!J:J,Assessments!G:G,$A497,Assessments!B:B,"&gt;="&amp;$B$4,Assessments!B:B,"&lt;="&amp;$B$5))</f>
        <v/>
      </c>
      <c r="H497">
        <f>IF($D497=0,"",MINIFS(Assessments!J:J,Assessments!G:G,$A497,Assessments!B:B,"&gt;="&amp;$B$4,Assessments!B:B,"&lt;="&amp;$B$5))</f>
        <v/>
      </c>
    </row>
    <row r="498">
      <c r="A498">
        <f>IF(Students!A492="","",Students!A492)</f>
        <v/>
      </c>
      <c r="B498">
        <f>IF($A498="","",Students!B492)</f>
        <v/>
      </c>
      <c r="C498">
        <f>IF($A498="","",Students!C492)</f>
        <v/>
      </c>
      <c r="D498">
        <f>IF($A498="","",COUNTIFS(Assessments!G:G,$A498,Assessments!B:B,"&gt;="&amp;$B$4,Assessments!B:B,"&lt;="&amp;$B$5))</f>
        <v/>
      </c>
      <c r="E498">
        <f>IF($D498=0,"",ROUND(AVERAGEIFS(Assessments!J:J,Assessments!G:G,$A498,Assessments!B:B,"&gt;="&amp;$B$4,Assessments!B:B,"&lt;="&amp;$B$5),0))</f>
        <v/>
      </c>
      <c r="F498">
        <f>IF($D498=0,"",IFERROR(AVERAGEIFS(Assessments!J:J,Assessments!G:G,$A498,Assessments!B:B,$B$5),0)-IFERROR(AVERAGEIFS(Assessments!J:J,Assessments!G:G,$A498,Assessments!B:B,$B$4),0))</f>
        <v/>
      </c>
      <c r="G498">
        <f>IF($D498=0,"",MAXIFS(Assessments!J:J,Assessments!G:G,$A498,Assessments!B:B,"&gt;="&amp;$B$4,Assessments!B:B,"&lt;="&amp;$B$5))</f>
        <v/>
      </c>
      <c r="H498">
        <f>IF($D498=0,"",MINIFS(Assessments!J:J,Assessments!G:G,$A498,Assessments!B:B,"&gt;="&amp;$B$4,Assessments!B:B,"&lt;="&amp;$B$5))</f>
        <v/>
      </c>
    </row>
    <row r="499">
      <c r="A499">
        <f>IF(Students!A493="","",Students!A493)</f>
        <v/>
      </c>
      <c r="B499">
        <f>IF($A499="","",Students!B493)</f>
        <v/>
      </c>
      <c r="C499">
        <f>IF($A499="","",Students!C493)</f>
        <v/>
      </c>
      <c r="D499">
        <f>IF($A499="","",COUNTIFS(Assessments!G:G,$A499,Assessments!B:B,"&gt;="&amp;$B$4,Assessments!B:B,"&lt;="&amp;$B$5))</f>
        <v/>
      </c>
      <c r="E499">
        <f>IF($D499=0,"",ROUND(AVERAGEIFS(Assessments!J:J,Assessments!G:G,$A499,Assessments!B:B,"&gt;="&amp;$B$4,Assessments!B:B,"&lt;="&amp;$B$5),0))</f>
        <v/>
      </c>
      <c r="F499">
        <f>IF($D499=0,"",IFERROR(AVERAGEIFS(Assessments!J:J,Assessments!G:G,$A499,Assessments!B:B,$B$5),0)-IFERROR(AVERAGEIFS(Assessments!J:J,Assessments!G:G,$A499,Assessments!B:B,$B$4),0))</f>
        <v/>
      </c>
      <c r="G499">
        <f>IF($D499=0,"",MAXIFS(Assessments!J:J,Assessments!G:G,$A499,Assessments!B:B,"&gt;="&amp;$B$4,Assessments!B:B,"&lt;="&amp;$B$5))</f>
        <v/>
      </c>
      <c r="H499">
        <f>IF($D499=0,"",MINIFS(Assessments!J:J,Assessments!G:G,$A499,Assessments!B:B,"&gt;="&amp;$B$4,Assessments!B:B,"&lt;="&amp;$B$5))</f>
        <v/>
      </c>
    </row>
    <row r="500">
      <c r="A500">
        <f>IF(Students!A494="","",Students!A494)</f>
        <v/>
      </c>
      <c r="B500">
        <f>IF($A500="","",Students!B494)</f>
        <v/>
      </c>
      <c r="C500">
        <f>IF($A500="","",Students!C494)</f>
        <v/>
      </c>
      <c r="D500">
        <f>IF($A500="","",COUNTIFS(Assessments!G:G,$A500,Assessments!B:B,"&gt;="&amp;$B$4,Assessments!B:B,"&lt;="&amp;$B$5))</f>
        <v/>
      </c>
      <c r="E500">
        <f>IF($D500=0,"",ROUND(AVERAGEIFS(Assessments!J:J,Assessments!G:G,$A500,Assessments!B:B,"&gt;="&amp;$B$4,Assessments!B:B,"&lt;="&amp;$B$5),0))</f>
        <v/>
      </c>
      <c r="F500">
        <f>IF($D500=0,"",IFERROR(AVERAGEIFS(Assessments!J:J,Assessments!G:G,$A500,Assessments!B:B,$B$5),0)-IFERROR(AVERAGEIFS(Assessments!J:J,Assessments!G:G,$A500,Assessments!B:B,$B$4),0))</f>
        <v/>
      </c>
      <c r="G500">
        <f>IF($D500=0,"",MAXIFS(Assessments!J:J,Assessments!G:G,$A500,Assessments!B:B,"&gt;="&amp;$B$4,Assessments!B:B,"&lt;="&amp;$B$5))</f>
        <v/>
      </c>
      <c r="H500">
        <f>IF($D500=0,"",MINIFS(Assessments!J:J,Assessments!G:G,$A500,Assessments!B:B,"&gt;="&amp;$B$4,Assessments!B:B,"&lt;="&amp;$B$5))</f>
        <v/>
      </c>
    </row>
    <row r="501">
      <c r="A501">
        <f>IF(Students!A495="","",Students!A495)</f>
        <v/>
      </c>
      <c r="B501">
        <f>IF($A501="","",Students!B495)</f>
        <v/>
      </c>
      <c r="C501">
        <f>IF($A501="","",Students!C495)</f>
        <v/>
      </c>
      <c r="D501">
        <f>IF($A501="","",COUNTIFS(Assessments!G:G,$A501,Assessments!B:B,"&gt;="&amp;$B$4,Assessments!B:B,"&lt;="&amp;$B$5))</f>
        <v/>
      </c>
      <c r="E501">
        <f>IF($D501=0,"",ROUND(AVERAGEIFS(Assessments!J:J,Assessments!G:G,$A501,Assessments!B:B,"&gt;="&amp;$B$4,Assessments!B:B,"&lt;="&amp;$B$5),0))</f>
        <v/>
      </c>
      <c r="F501">
        <f>IF($D501=0,"",IFERROR(AVERAGEIFS(Assessments!J:J,Assessments!G:G,$A501,Assessments!B:B,$B$5),0)-IFERROR(AVERAGEIFS(Assessments!J:J,Assessments!G:G,$A501,Assessments!B:B,$B$4),0))</f>
        <v/>
      </c>
      <c r="G501">
        <f>IF($D501=0,"",MAXIFS(Assessments!J:J,Assessments!G:G,$A501,Assessments!B:B,"&gt;="&amp;$B$4,Assessments!B:B,"&lt;="&amp;$B$5))</f>
        <v/>
      </c>
      <c r="H501">
        <f>IF($D501=0,"",MINIFS(Assessments!J:J,Assessments!G:G,$A501,Assessments!B:B,"&gt;="&amp;$B$4,Assessments!B:B,"&lt;="&amp;$B$5))</f>
        <v/>
      </c>
    </row>
    <row r="502">
      <c r="A502">
        <f>IF(Students!A496="","",Students!A496)</f>
        <v/>
      </c>
      <c r="B502">
        <f>IF($A502="","",Students!B496)</f>
        <v/>
      </c>
      <c r="C502">
        <f>IF($A502="","",Students!C496)</f>
        <v/>
      </c>
      <c r="D502">
        <f>IF($A502="","",COUNTIFS(Assessments!G:G,$A502,Assessments!B:B,"&gt;="&amp;$B$4,Assessments!B:B,"&lt;="&amp;$B$5))</f>
        <v/>
      </c>
      <c r="E502">
        <f>IF($D502=0,"",ROUND(AVERAGEIFS(Assessments!J:J,Assessments!G:G,$A502,Assessments!B:B,"&gt;="&amp;$B$4,Assessments!B:B,"&lt;="&amp;$B$5),0))</f>
        <v/>
      </c>
      <c r="F502">
        <f>IF($D502=0,"",IFERROR(AVERAGEIFS(Assessments!J:J,Assessments!G:G,$A502,Assessments!B:B,$B$5),0)-IFERROR(AVERAGEIFS(Assessments!J:J,Assessments!G:G,$A502,Assessments!B:B,$B$4),0))</f>
        <v/>
      </c>
      <c r="G502">
        <f>IF($D502=0,"",MAXIFS(Assessments!J:J,Assessments!G:G,$A502,Assessments!B:B,"&gt;="&amp;$B$4,Assessments!B:B,"&lt;="&amp;$B$5))</f>
        <v/>
      </c>
      <c r="H502">
        <f>IF($D502=0,"",MINIFS(Assessments!J:J,Assessments!G:G,$A502,Assessments!B:B,"&gt;="&amp;$B$4,Assessments!B:B,"&lt;="&amp;$B$5))</f>
        <v/>
      </c>
    </row>
    <row r="503">
      <c r="A503">
        <f>IF(Students!A497="","",Students!A497)</f>
        <v/>
      </c>
      <c r="B503">
        <f>IF($A503="","",Students!B497)</f>
        <v/>
      </c>
      <c r="C503">
        <f>IF($A503="","",Students!C497)</f>
        <v/>
      </c>
      <c r="D503">
        <f>IF($A503="","",COUNTIFS(Assessments!G:G,$A503,Assessments!B:B,"&gt;="&amp;$B$4,Assessments!B:B,"&lt;="&amp;$B$5))</f>
        <v/>
      </c>
      <c r="E503">
        <f>IF($D503=0,"",ROUND(AVERAGEIFS(Assessments!J:J,Assessments!G:G,$A503,Assessments!B:B,"&gt;="&amp;$B$4,Assessments!B:B,"&lt;="&amp;$B$5),0))</f>
        <v/>
      </c>
      <c r="F503">
        <f>IF($D503=0,"",IFERROR(AVERAGEIFS(Assessments!J:J,Assessments!G:G,$A503,Assessments!B:B,$B$5),0)-IFERROR(AVERAGEIFS(Assessments!J:J,Assessments!G:G,$A503,Assessments!B:B,$B$4),0))</f>
        <v/>
      </c>
      <c r="G503">
        <f>IF($D503=0,"",MAXIFS(Assessments!J:J,Assessments!G:G,$A503,Assessments!B:B,"&gt;="&amp;$B$4,Assessments!B:B,"&lt;="&amp;$B$5))</f>
        <v/>
      </c>
      <c r="H503">
        <f>IF($D503=0,"",MINIFS(Assessments!J:J,Assessments!G:G,$A503,Assessments!B:B,"&gt;="&amp;$B$4,Assessments!B:B,"&lt;="&amp;$B$5))</f>
        <v/>
      </c>
    </row>
    <row r="504">
      <c r="A504">
        <f>IF(Students!A498="","",Students!A498)</f>
        <v/>
      </c>
      <c r="B504">
        <f>IF($A504="","",Students!B498)</f>
        <v/>
      </c>
      <c r="C504">
        <f>IF($A504="","",Students!C498)</f>
        <v/>
      </c>
      <c r="D504">
        <f>IF($A504="","",COUNTIFS(Assessments!G:G,$A504,Assessments!B:B,"&gt;="&amp;$B$4,Assessments!B:B,"&lt;="&amp;$B$5))</f>
        <v/>
      </c>
      <c r="E504">
        <f>IF($D504=0,"",ROUND(AVERAGEIFS(Assessments!J:J,Assessments!G:G,$A504,Assessments!B:B,"&gt;="&amp;$B$4,Assessments!B:B,"&lt;="&amp;$B$5),0))</f>
        <v/>
      </c>
      <c r="F504">
        <f>IF($D504=0,"",IFERROR(AVERAGEIFS(Assessments!J:J,Assessments!G:G,$A504,Assessments!B:B,$B$5),0)-IFERROR(AVERAGEIFS(Assessments!J:J,Assessments!G:G,$A504,Assessments!B:B,$B$4),0))</f>
        <v/>
      </c>
      <c r="G504">
        <f>IF($D504=0,"",MAXIFS(Assessments!J:J,Assessments!G:G,$A504,Assessments!B:B,"&gt;="&amp;$B$4,Assessments!B:B,"&lt;="&amp;$B$5))</f>
        <v/>
      </c>
      <c r="H504">
        <f>IF($D504=0,"",MINIFS(Assessments!J:J,Assessments!G:G,$A504,Assessments!B:B,"&gt;="&amp;$B$4,Assessments!B:B,"&lt;="&amp;$B$5))</f>
        <v/>
      </c>
    </row>
    <row r="505">
      <c r="A505">
        <f>IF(Students!A499="","",Students!A499)</f>
        <v/>
      </c>
      <c r="B505">
        <f>IF($A505="","",Students!B499)</f>
        <v/>
      </c>
      <c r="C505">
        <f>IF($A505="","",Students!C499)</f>
        <v/>
      </c>
      <c r="D505">
        <f>IF($A505="","",COUNTIFS(Assessments!G:G,$A505,Assessments!B:B,"&gt;="&amp;$B$4,Assessments!B:B,"&lt;="&amp;$B$5))</f>
        <v/>
      </c>
      <c r="E505">
        <f>IF($D505=0,"",ROUND(AVERAGEIFS(Assessments!J:J,Assessments!G:G,$A505,Assessments!B:B,"&gt;="&amp;$B$4,Assessments!B:B,"&lt;="&amp;$B$5),0))</f>
        <v/>
      </c>
      <c r="F505">
        <f>IF($D505=0,"",IFERROR(AVERAGEIFS(Assessments!J:J,Assessments!G:G,$A505,Assessments!B:B,$B$5),0)-IFERROR(AVERAGEIFS(Assessments!J:J,Assessments!G:G,$A505,Assessments!B:B,$B$4),0))</f>
        <v/>
      </c>
      <c r="G505">
        <f>IF($D505=0,"",MAXIFS(Assessments!J:J,Assessments!G:G,$A505,Assessments!B:B,"&gt;="&amp;$B$4,Assessments!B:B,"&lt;="&amp;$B$5))</f>
        <v/>
      </c>
      <c r="H505">
        <f>IF($D505=0,"",MINIFS(Assessments!J:J,Assessments!G:G,$A505,Assessments!B:B,"&gt;="&amp;$B$4,Assessments!B:B,"&lt;="&amp;$B$5))</f>
        <v/>
      </c>
    </row>
    <row r="506">
      <c r="A506">
        <f>IF(Students!A500="","",Students!A500)</f>
        <v/>
      </c>
      <c r="B506">
        <f>IF($A506="","",Students!B500)</f>
        <v/>
      </c>
      <c r="C506">
        <f>IF($A506="","",Students!C500)</f>
        <v/>
      </c>
      <c r="D506">
        <f>IF($A506="","",COUNTIFS(Assessments!G:G,$A506,Assessments!B:B,"&gt;="&amp;$B$4,Assessments!B:B,"&lt;="&amp;$B$5))</f>
        <v/>
      </c>
      <c r="E506">
        <f>IF($D506=0,"",ROUND(AVERAGEIFS(Assessments!J:J,Assessments!G:G,$A506,Assessments!B:B,"&gt;="&amp;$B$4,Assessments!B:B,"&lt;="&amp;$B$5),0))</f>
        <v/>
      </c>
      <c r="F506">
        <f>IF($D506=0,"",IFERROR(AVERAGEIFS(Assessments!J:J,Assessments!G:G,$A506,Assessments!B:B,$B$5),0)-IFERROR(AVERAGEIFS(Assessments!J:J,Assessments!G:G,$A506,Assessments!B:B,$B$4),0))</f>
        <v/>
      </c>
      <c r="G506">
        <f>IF($D506=0,"",MAXIFS(Assessments!J:J,Assessments!G:G,$A506,Assessments!B:B,"&gt;="&amp;$B$4,Assessments!B:B,"&lt;="&amp;$B$5))</f>
        <v/>
      </c>
      <c r="H506">
        <f>IF($D506=0,"",MINIFS(Assessments!J:J,Assessments!G:G,$A506,Assessments!B:B,"&gt;="&amp;$B$4,Assessments!B:B,"&lt;="&amp;$B$5))</f>
        <v/>
      </c>
    </row>
    <row r="507">
      <c r="A507">
        <f>IF(Students!A501="","",Students!A501)</f>
        <v/>
      </c>
      <c r="B507">
        <f>IF($A507="","",Students!B501)</f>
        <v/>
      </c>
      <c r="C507">
        <f>IF($A507="","",Students!C501)</f>
        <v/>
      </c>
      <c r="D507">
        <f>IF($A507="","",COUNTIFS(Assessments!G:G,$A507,Assessments!B:B,"&gt;="&amp;$B$4,Assessments!B:B,"&lt;="&amp;$B$5))</f>
        <v/>
      </c>
      <c r="E507">
        <f>IF($D507=0,"",ROUND(AVERAGEIFS(Assessments!J:J,Assessments!G:G,$A507,Assessments!B:B,"&gt;="&amp;$B$4,Assessments!B:B,"&lt;="&amp;$B$5),0))</f>
        <v/>
      </c>
      <c r="F507">
        <f>IF($D507=0,"",IFERROR(AVERAGEIFS(Assessments!J:J,Assessments!G:G,$A507,Assessments!B:B,$B$5),0)-IFERROR(AVERAGEIFS(Assessments!J:J,Assessments!G:G,$A507,Assessments!B:B,$B$4),0))</f>
        <v/>
      </c>
      <c r="G507">
        <f>IF($D507=0,"",MAXIFS(Assessments!J:J,Assessments!G:G,$A507,Assessments!B:B,"&gt;="&amp;$B$4,Assessments!B:B,"&lt;="&amp;$B$5))</f>
        <v/>
      </c>
      <c r="H507">
        <f>IF($D507=0,"",MINIFS(Assessments!J:J,Assessments!G:G,$A507,Assessments!B:B,"&gt;="&amp;$B$4,Assessments!B:B,"&lt;="&amp;$B$5))</f>
        <v/>
      </c>
    </row>
    <row r="510">
      <c r="A510" s="3" t="inlineStr">
        <is>
          <t>Note: 'Best Student Per Class &amp; Subject' section allows you to type Class &amp; Subject pairs; it returns the top performer for that pair.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</cols>
  <sheetData>
    <row r="1">
      <c r="A1" s="4" t="inlineStr">
        <is>
          <t>ROYAL KINGS PREMIER SCHOOL</t>
        </is>
      </c>
    </row>
    <row r="2">
      <c r="A2" s="3" t="inlineStr">
        <is>
          <t>ACADEMIC GROUP DASHBOARD (UPPER CAMPUS)</t>
        </is>
      </c>
    </row>
    <row r="4">
      <c r="A4" t="inlineStr">
        <is>
          <t>Week Ending (optional filter):</t>
        </is>
      </c>
    </row>
    <row r="6">
      <c r="A6" s="3" t="inlineStr">
        <is>
          <t>1. OVERALL LEARNER PERFORMANCE (AVERAGE %)</t>
        </is>
      </c>
    </row>
    <row r="7">
      <c r="A7" s="5" t="inlineStr">
        <is>
          <t>Academic Group</t>
        </is>
      </c>
      <c r="B7" s="5" t="inlineStr">
        <is>
          <t>Average %</t>
        </is>
      </c>
      <c r="C7" s="5" t="inlineStr">
        <is>
          <t>Status</t>
        </is>
      </c>
    </row>
    <row r="8">
      <c r="A8" t="inlineStr">
        <is>
          <t>Early Years</t>
        </is>
      </c>
      <c r="B8">
        <f>IF($B$4="",ROUND(AVERAGEIFS(Assessments!$J:$J,Assessments!$M:$M,"Early Years",Assessments!$C:$C,"Upper"),0),ROUND(AVERAGEIFS(Assessments!$J:$J,Assessments!$M:$M,"Early Years",Assessments!$C:$C,"Upper",Assessments!$B:$B,$B$4),0))</f>
        <v/>
      </c>
      <c r="C8">
        <f>IF(B8="","",IF(B8&gt;=70,"🟢",IF(B8&gt;=50,"🟠","🔴")))</f>
        <v/>
      </c>
    </row>
    <row r="9">
      <c r="A9" t="inlineStr">
        <is>
          <t>Lower Primary</t>
        </is>
      </c>
      <c r="B9">
        <f>IF($B$4="",ROUND(AVERAGEIFS(Assessments!$J:$J,Assessments!$M:$M,"Lower Primary",Assessments!$C:$C,"Upper"),0),ROUND(AVERAGEIFS(Assessments!$J:$J,Assessments!$M:$M,"Lower Primary",Assessments!$C:$C,"Upper",Assessments!$B:$B,$B$4),0))</f>
        <v/>
      </c>
      <c r="C9">
        <f>IF(B9="","",IF(B9&gt;=70,"🟢",IF(B9&gt;=50,"🟠","🔴")))</f>
        <v/>
      </c>
    </row>
    <row r="11">
      <c r="A11" s="3" t="inlineStr">
        <is>
          <t>2. CURRICULUM COVERAGE (ON TRACK RATE %)</t>
        </is>
      </c>
    </row>
    <row r="12">
      <c r="A12" s="5" t="inlineStr">
        <is>
          <t>Academic Group</t>
        </is>
      </c>
      <c r="B12" s="5" t="inlineStr">
        <is>
          <t>% On Track</t>
        </is>
      </c>
      <c r="C12" s="5" t="inlineStr">
        <is>
          <t>Status</t>
        </is>
      </c>
    </row>
    <row r="13">
      <c r="A13" t="inlineStr">
        <is>
          <t>Early Years</t>
        </is>
      </c>
      <c r="B13">
        <f>IF($B$4="",ROUND(100*COUNTIFS('Subject Reports'!$P:$P,"Early Years",'Subject Reports'!$B:$B,"Upper",'Subject Reports'!$G:$G,"On Track")/MAX(1,COUNTIFS('Subject Reports'!$P:$P,"Early Years",'Subject Reports'!$B:$B,"Upper")),0),ROUND(100*COUNTIFS('Subject Reports'!$P:$P,"Early Years",'Subject Reports'!$B:$B,"Upper",'Subject Reports'!A:A,$B$4,'Subject Reports'!$G:$G,"On Track")/MAX(1,COUNTIFS('Subject Reports'!$P:$P,"Early Years",'Subject Reports'!$B:$B,"Upper",'Subject Reports'!A:A,$B$4)),0))</f>
        <v/>
      </c>
      <c r="C13">
        <f>IF(B13="","",IF(B13&gt;=85,"🟢",IF(B13&gt;=70,"🟠","🔴")))</f>
        <v/>
      </c>
    </row>
    <row r="14">
      <c r="A14" t="inlineStr">
        <is>
          <t>Lower Primary</t>
        </is>
      </c>
      <c r="B14">
        <f>IF($B$4="",ROUND(100*COUNTIFS('Subject Reports'!$P:$P,"Lower Primary",'Subject Reports'!$B:$B,"Upper",'Subject Reports'!$G:$G,"On Track")/MAX(1,COUNTIFS('Subject Reports'!$P:$P,"Lower Primary",'Subject Reports'!$B:$B,"Upper")),0),ROUND(100*COUNTIFS('Subject Reports'!$P:$P,"Lower Primary",'Subject Reports'!$B:$B,"Upper",'Subject Reports'!A:A,$B$4,'Subject Reports'!$G:$G,"On Track")/MAX(1,COUNTIFS('Subject Reports'!$P:$P,"Lower Primary",'Subject Reports'!$B:$B,"Upper",'Subject Reports'!A:A,$B$4)),0))</f>
        <v/>
      </c>
      <c r="C14">
        <f>IF(B14="","",IF(B14&gt;=85,"🟢",IF(B14&gt;=70,"🟠","🔴")))</f>
        <v/>
      </c>
    </row>
    <row r="16">
      <c r="A16" s="3" t="inlineStr">
        <is>
          <t>Tip: Open this file in Google Sheets on phone. Use dropdowns for Class and Subject; Academic Group fills automatically.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2026-02-01T00:50:06Z</dcterms:created>
  <dcterms:modified xmlns:dcterms="http://purl.org/dc/terms/" xmlns:xsi="http://www.w3.org/2001/XMLSchema-instance" xsi:type="dcterms:W3CDTF">2026-02-01T02:48:12Z</dcterms:modified>
</cp:coreProperties>
</file>